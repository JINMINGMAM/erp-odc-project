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2차\"/>
    </mc:Choice>
  </mc:AlternateContent>
  <xr:revisionPtr revIDLastSave="0" documentId="13_ncr:1_{E6258320-7A5B-47DF-9FCF-D1A275F2FBB4}" xr6:coauthVersionLast="47" xr6:coauthVersionMax="47" xr10:uidLastSave="{00000000-0000-0000-0000-000000000000}"/>
  <bookViews>
    <workbookView xWindow="-28920" yWindow="-15" windowWidth="29040" windowHeight="15840" tabRatio="590" activeTab="1" xr2:uid="{00000000-000D-0000-FFFF-FFFF00000000}"/>
  </bookViews>
  <sheets>
    <sheet name="WBS" sheetId="3" r:id="rId1"/>
    <sheet name="상세 스케줄 " sheetId="10" r:id="rId2"/>
    <sheet name="상세개발항목" sheetId="11" r:id="rId3"/>
  </sheets>
  <definedNames>
    <definedName name="____DD2" localSheetId="1">#REF!</definedName>
    <definedName name="____DD2">#REF!</definedName>
    <definedName name="____SS2" localSheetId="1">#REF!</definedName>
    <definedName name="____SS2">#REF!</definedName>
    <definedName name="__123Graph_A그래프2" localSheetId="1">#REF!</definedName>
    <definedName name="__123Graph_A그래프2">#REF!</definedName>
    <definedName name="__123Graph_B그래프2" localSheetId="1">#REF!</definedName>
    <definedName name="__123Graph_B그래프2">#REF!</definedName>
    <definedName name="__123Graph_X그래프2" localSheetId="1">#REF!</definedName>
    <definedName name="__123Graph_X그래프2">#REF!</definedName>
    <definedName name="__DD2" localSheetId="1">#REF!</definedName>
    <definedName name="__DD2">#REF!</definedName>
    <definedName name="__SS2" localSheetId="1">#REF!</definedName>
    <definedName name="__SS2">#REF!</definedName>
    <definedName name="_DD2" localSheetId="1">#REF!</definedName>
    <definedName name="_DD2">#REF!</definedName>
    <definedName name="_Fill" localSheetId="1">#REF!</definedName>
    <definedName name="_Fill">#REF!</definedName>
    <definedName name="_xlnm._FilterDatabase" localSheetId="1" hidden="1">'상세 스케줄 '!$B$5:$I$5</definedName>
    <definedName name="_Key1" localSheetId="1">#REF!</definedName>
    <definedName name="_Key1">#REF!</definedName>
    <definedName name="_Key2" localSheetId="1">#REF!</definedName>
    <definedName name="_Key2">#REF!</definedName>
    <definedName name="_Sort" localSheetId="1">#REF!</definedName>
    <definedName name="_Sort">#REF!</definedName>
    <definedName name="_SS2" localSheetId="1">#REF!</definedName>
    <definedName name="_SS2">#REF!</definedName>
    <definedName name="_Table1_In1" localSheetId="1">#REF!</definedName>
    <definedName name="_Table1_In1">#REF!</definedName>
    <definedName name="ACCT_ID" localSheetId="1">#REF!</definedName>
    <definedName name="ACCT_ID">#REF!</definedName>
    <definedName name="AJHD" localSheetId="1">#REF!</definedName>
    <definedName name="AJHD">#REF!</definedName>
    <definedName name="baseline" localSheetId="1">#REF!</definedName>
    <definedName name="baseline">#REF!</definedName>
    <definedName name="BBB" localSheetId="1">#REF!</definedName>
    <definedName name="BBB">#REF!</definedName>
    <definedName name="BVV" localSheetId="1">#REF!</definedName>
    <definedName name="BVV">#REF!</definedName>
    <definedName name="CASE2" localSheetId="1">#REF!</definedName>
    <definedName name="CASE2">#REF!</definedName>
    <definedName name="CCC" localSheetId="1">#REF!</definedName>
    <definedName name="CCC">#REF!</definedName>
    <definedName name="CSR_STEP" localSheetId="1">#REF!</definedName>
    <definedName name="CSR_STEP">#REF!</definedName>
    <definedName name="CSR단계" localSheetId="1">#REF!</definedName>
    <definedName name="CSR단계">#REF!</definedName>
    <definedName name="ddd" localSheetId="1">#REF!</definedName>
    <definedName name="ddd">#REF!</definedName>
    <definedName name="ddddd" localSheetId="1">#REF!</definedName>
    <definedName name="ddddd">#REF!</definedName>
    <definedName name="DDFRE" localSheetId="1">#REF!</definedName>
    <definedName name="DDFRE">#REF!</definedName>
    <definedName name="DFSWE" localSheetId="1">#REF!</definedName>
    <definedName name="DFSWE">#REF!</definedName>
    <definedName name="DK" localSheetId="1">#REF!</definedName>
    <definedName name="DK">#REF!</definedName>
    <definedName name="dkfj" localSheetId="1">#REF!</definedName>
    <definedName name="dkfj">#REF!</definedName>
    <definedName name="EEE" localSheetId="1">#REF!</definedName>
    <definedName name="EEE">#REF!</definedName>
    <definedName name="ENJA" localSheetId="1">#REF!</definedName>
    <definedName name="ENJA">#REF!</definedName>
    <definedName name="FEFADSF" localSheetId="1">#REF!</definedName>
    <definedName name="FEFADSF">#REF!</definedName>
    <definedName name="FL" localSheetId="1">#REF!</definedName>
    <definedName name="FL">#REF!</definedName>
    <definedName name="FLOW" localSheetId="1">#REF!</definedName>
    <definedName name="FLOW">#REF!</definedName>
    <definedName name="GEMCO" localSheetId="1">#REF!</definedName>
    <definedName name="GEMCO">#REF!</definedName>
    <definedName name="GGG" localSheetId="1">#REF!</definedName>
    <definedName name="GGG">#REF!</definedName>
    <definedName name="GGGTR" localSheetId="1">#REF!</definedName>
    <definedName name="GGGTR">#REF!</definedName>
    <definedName name="GGTREW" localSheetId="1">#REF!</definedName>
    <definedName name="GGTREW">#REF!</definedName>
    <definedName name="GJTL" localSheetId="1">#REF!</definedName>
    <definedName name="GJTL">#REF!</definedName>
    <definedName name="hardwar" localSheetId="1">#REF!</definedName>
    <definedName name="hardwar">#REF!</definedName>
    <definedName name="IIJELLSS" localSheetId="1">#REF!</definedName>
    <definedName name="IIJELLSS">#REF!</definedName>
    <definedName name="JJFORS" localSheetId="1">#REF!</definedName>
    <definedName name="JJFORS">#REF!</definedName>
    <definedName name="JJHSHHA" localSheetId="1">#REF!</definedName>
    <definedName name="JJHSHHA">#REF!</definedName>
    <definedName name="JJJJ" localSheetId="1">#REF!</definedName>
    <definedName name="JJJJ">#REF!</definedName>
    <definedName name="JJSUWE" localSheetId="1">#REF!</definedName>
    <definedName name="JJSUWE">#REF!</definedName>
    <definedName name="JSHS" localSheetId="1">#REF!</definedName>
    <definedName name="JSHS">#REF!</definedName>
    <definedName name="KKA" localSheetId="1">#REF!</definedName>
    <definedName name="KKA">#REF!</definedName>
    <definedName name="KKDAW" localSheetId="1">#REF!</definedName>
    <definedName name="KKDAW">#REF!</definedName>
    <definedName name="KKDIE" localSheetId="1">#REF!</definedName>
    <definedName name="KKDIE">#REF!</definedName>
    <definedName name="KKDUEKS" localSheetId="1">#REF!</definedName>
    <definedName name="KKDUEKS">#REF!</definedName>
    <definedName name="KKISJJD" localSheetId="1">#REF!</definedName>
    <definedName name="KKISJJD">#REF!</definedName>
    <definedName name="KKKD" localSheetId="1">#REF!</definedName>
    <definedName name="KKKD">#REF!</definedName>
    <definedName name="KKKDJJS" localSheetId="1">#REF!</definedName>
    <definedName name="KKKDJJS">#REF!</definedName>
    <definedName name="KKKEEP" localSheetId="1">#REF!</definedName>
    <definedName name="KKKEEP">#REF!</definedName>
    <definedName name="KKKSJS" localSheetId="1">#REF!</definedName>
    <definedName name="KKKSJS">#REF!</definedName>
    <definedName name="KKKSSL" localSheetId="1">#REF!</definedName>
    <definedName name="KKKSSL">#REF!</definedName>
    <definedName name="KKSIIEJD" localSheetId="1">#REF!</definedName>
    <definedName name="KKSIIEJD">#REF!</definedName>
    <definedName name="KKSJJWUJD" localSheetId="1">#REF!</definedName>
    <definedName name="KKSJJWUJD">#REF!</definedName>
    <definedName name="KKSJWEI" localSheetId="1">#REF!</definedName>
    <definedName name="KKSJWEI">#REF!</definedName>
    <definedName name="LAK" localSheetId="1">#REF!</definedName>
    <definedName name="LAK">#REF!</definedName>
    <definedName name="LBJ" localSheetId="1">#REF!</definedName>
    <definedName name="LBJ">#REF!</definedName>
    <definedName name="LL" localSheetId="1">#REF!</definedName>
    <definedName name="LL">#REF!</definedName>
    <definedName name="LLDIEKKS" localSheetId="1">#REF!</definedName>
    <definedName name="LLDIEKKS">#REF!</definedName>
    <definedName name="LLKD" localSheetId="1">#REF!</definedName>
    <definedName name="LLKD">#REF!</definedName>
    <definedName name="LLLS" localSheetId="1">#REF!</definedName>
    <definedName name="LLLS">#REF!</definedName>
    <definedName name="LLLSE" localSheetId="1">#REF!</definedName>
    <definedName name="LLLSE">#REF!</definedName>
    <definedName name="LLSIEKDKD" localSheetId="1">#REF!</definedName>
    <definedName name="LLSIEKDKD">#REF!</definedName>
    <definedName name="LLSKEIE" localSheetId="1">#REF!</definedName>
    <definedName name="LLSKEIE">#REF!</definedName>
    <definedName name="MMM" localSheetId="1">#REF!</definedName>
    <definedName name="MMM">#REF!</definedName>
    <definedName name="MNCT" localSheetId="1">#REF!</definedName>
    <definedName name="MNCT">#REF!</definedName>
    <definedName name="OUTPUT_TYPE" localSheetId="1">#REF!</definedName>
    <definedName name="OUTPUT_TYPE">#REF!</definedName>
    <definedName name="QWS" localSheetId="1">#REF!</definedName>
    <definedName name="QWS">#REF!</definedName>
    <definedName name="REFSDF" localSheetId="1">#REF!</definedName>
    <definedName name="REFSDF">#REF!</definedName>
    <definedName name="SAD" localSheetId="1">#REF!</definedName>
    <definedName name="SAD">#REF!</definedName>
    <definedName name="SDA" localSheetId="1">#REF!</definedName>
    <definedName name="SDA">#REF!</definedName>
    <definedName name="SDAS" localSheetId="1">#REF!</definedName>
    <definedName name="SDAS">#REF!</definedName>
    <definedName name="SDFDFSDSFD" localSheetId="1">#REF!</definedName>
    <definedName name="SDFDFSDSFD">#REF!</definedName>
    <definedName name="SDFDFSFSDAF" localSheetId="1">#REF!</definedName>
    <definedName name="SDFDFSFSDAF">#REF!</definedName>
    <definedName name="SK" localSheetId="1">#REF!</definedName>
    <definedName name="SK">#REF!</definedName>
    <definedName name="SSS" localSheetId="1">#REF!</definedName>
    <definedName name="SSS">#REF!</definedName>
    <definedName name="SSSEE" localSheetId="1">#REF!</definedName>
    <definedName name="SSSEE">#REF!</definedName>
    <definedName name="tol" localSheetId="1">#REF!</definedName>
    <definedName name="tol">#REF!</definedName>
    <definedName name="wrn.DACOM._.광전송장치._.투찰가._.검토." localSheetId="1">#REF!</definedName>
    <definedName name="wrn.DACOM._.광전송장치._.투찰가._.검토.">#REF!</definedName>
    <definedName name="wrn.DDD." localSheetId="1">#REF!</definedName>
    <definedName name="wrn.DDD.">#REF!</definedName>
    <definedName name="wrn.RPT." localSheetId="1">#REF!</definedName>
    <definedName name="wrn.RPT.">#REF!</definedName>
    <definedName name="wrn.부산주경기장." localSheetId="1">#REF!</definedName>
    <definedName name="wrn.부산주경기장.">#REF!</definedName>
    <definedName name="wrn.신용찬." localSheetId="1">#REF!</definedName>
    <definedName name="wrn.신용찬.">#REF!</definedName>
    <definedName name="wrn.주간._.보고." localSheetId="1">#REF!</definedName>
    <definedName name="wrn.주간._.보고.">#REF!</definedName>
    <definedName name="WWW" localSheetId="1">#REF!</definedName>
    <definedName name="WWW">#REF!</definedName>
    <definedName name="YYY" localSheetId="1">#REF!</definedName>
    <definedName name="YYY">#REF!</definedName>
    <definedName name="ZZZ" localSheetId="1">#REF!</definedName>
    <definedName name="ZZZ">#REF!</definedName>
    <definedName name="가나다" localSheetId="1">#REF!</definedName>
    <definedName name="가나다">#REF!</definedName>
    <definedName name="검토유형" localSheetId="1">#REF!</definedName>
    <definedName name="검토유형">#REF!</definedName>
    <definedName name="계측기기" localSheetId="1">#REF!</definedName>
    <definedName name="계측기기">#REF!</definedName>
    <definedName name="공공도서" localSheetId="1">#REF!</definedName>
    <definedName name="공공도서">#REF!</definedName>
    <definedName name="공공도서1" localSheetId="1">#REF!</definedName>
    <definedName name="공공도서1">#REF!</definedName>
    <definedName name="기능그룹" localSheetId="1">#REF!</definedName>
    <definedName name="기능그룹">#REF!</definedName>
    <definedName name="ㄴㄴ" localSheetId="1">#REF!</definedName>
    <definedName name="ㄴㄴ">#REF!</definedName>
    <definedName name="나ㅏㅓㄹ" localSheetId="1">#REF!</definedName>
    <definedName name="나ㅏㅓㄹ">#REF!</definedName>
    <definedName name="남남" localSheetId="1">#REF!</definedName>
    <definedName name="남남">#REF!</definedName>
    <definedName name="내장" localSheetId="1">#REF!</definedName>
    <definedName name="내장">#REF!</definedName>
    <definedName name="노원문화" localSheetId="1">#REF!</definedName>
    <definedName name="노원문화">#REF!</definedName>
    <definedName name="노원문화1" localSheetId="1">#REF!</definedName>
    <definedName name="노원문화1">#REF!</definedName>
    <definedName name="ㄷ" localSheetId="1">#REF!</definedName>
    <definedName name="ㄷ">#REF!</definedName>
    <definedName name="단가조사자료" localSheetId="1">#REF!</definedName>
    <definedName name="단가조사자료">#REF!</definedName>
    <definedName name="대구공항" localSheetId="1">#REF!</definedName>
    <definedName name="대구공항">#REF!</definedName>
    <definedName name="도사" localSheetId="1">#REF!</definedName>
    <definedName name="도사">#REF!</definedName>
    <definedName name="ㄹ" localSheetId="1">#REF!</definedName>
    <definedName name="ㄹ">#REF!</definedName>
    <definedName name="ㄹㄹㄹ" localSheetId="1">#REF!</definedName>
    <definedName name="ㄹㄹㄹ">#REF!</definedName>
    <definedName name="ㄹㄹㅇㄴㄴ" localSheetId="1">#REF!</definedName>
    <definedName name="ㄹㄹㅇㄴㄴ">#REF!</definedName>
    <definedName name="ㄹ로" localSheetId="1">#REF!</definedName>
    <definedName name="ㄹ로">#REF!</definedName>
    <definedName name="ㄹㅇㄴ" localSheetId="1">#REF!</definedName>
    <definedName name="ㄹㅇㄴ">#REF!</definedName>
    <definedName name="ㄹㅇㄶ" localSheetId="1">#REF!</definedName>
    <definedName name="ㄹㅇㄶ">#REF!</definedName>
    <definedName name="라" localSheetId="1">#REF!</definedName>
    <definedName name="라">#REF!</definedName>
    <definedName name="라ㅓㅇ" localSheetId="1">#REF!</definedName>
    <definedName name="라ㅓㅇ">#REF!</definedName>
    <definedName name="ㅁㅅㅅㅁㄱㅈ" localSheetId="1">#REF!</definedName>
    <definedName name="ㅁㅅㅅㅁㄱㅈ">#REF!</definedName>
    <definedName name="물가변동내역서" localSheetId="1">#REF!</definedName>
    <definedName name="물가변동내역서">#REF!</definedName>
    <definedName name="미" localSheetId="1">#REF!</definedName>
    <definedName name="미">#REF!</definedName>
    <definedName name="미승인" localSheetId="1">#REF!</definedName>
    <definedName name="미승인">#REF!</definedName>
    <definedName name="ㅂ" localSheetId="1">#REF!</definedName>
    <definedName name="ㅂ">#REF!</definedName>
    <definedName name="ㅂㅂ" localSheetId="1">#REF!</definedName>
    <definedName name="ㅂㅂ">#REF!</definedName>
    <definedName name="보오링그라우팅" localSheetId="1">#REF!</definedName>
    <definedName name="보오링그라우팅">#REF!</definedName>
    <definedName name="부산주경기장" localSheetId="1">#REF!</definedName>
    <definedName name="부산주경기장">#REF!</definedName>
    <definedName name="분야" localSheetId="1">#REF!</definedName>
    <definedName name="분야">#REF!</definedName>
    <definedName name="분야별" localSheetId="1">#REF!</definedName>
    <definedName name="분야별">#REF!</definedName>
    <definedName name="분야별공사비" localSheetId="1">#REF!</definedName>
    <definedName name="분야별공사비">#REF!</definedName>
    <definedName name="분양별" localSheetId="1">#REF!</definedName>
    <definedName name="분양별">#REF!</definedName>
    <definedName name="ㅅ" localSheetId="1">#REF!</definedName>
    <definedName name="ㅅ">#REF!</definedName>
    <definedName name="산출물종류" localSheetId="1">#REF!</definedName>
    <definedName name="산출물종류">#REF!</definedName>
    <definedName name="산출물종류2" localSheetId="1">#REF!</definedName>
    <definedName name="산출물종류2">#REF!</definedName>
    <definedName name="생산" localSheetId="1">#REF!</definedName>
    <definedName name="생산">#REF!</definedName>
    <definedName name="순공사" localSheetId="1">#REF!</definedName>
    <definedName name="순공사">#REF!</definedName>
    <definedName name="순공사비집" localSheetId="1">#REF!</definedName>
    <definedName name="순공사비집">#REF!</definedName>
    <definedName name="ㅇㄹㅇㄴㄹㅇ" localSheetId="1">#REF!</definedName>
    <definedName name="ㅇㄹㅇㄴㄹㅇ">#REF!</definedName>
    <definedName name="ㅇ라ㅓㅏㅗㄹ" localSheetId="1">#REF!</definedName>
    <definedName name="ㅇ라ㅓㅏㅗㄹ">#REF!</definedName>
    <definedName name="아ㅏㅓ랜" localSheetId="1">#REF!</definedName>
    <definedName name="아ㅏㅓ랜">#REF!</definedName>
    <definedName name="아ㅏㅓㅗㄹ" localSheetId="1">#REF!</definedName>
    <definedName name="아ㅏㅓㅗㄹ">#REF!</definedName>
    <definedName name="어ㅓㅓㅇ" localSheetId="1">#REF!</definedName>
    <definedName name="어ㅓㅓㅇ">#REF!</definedName>
    <definedName name="어ㅘㄴ" localSheetId="1">#REF!</definedName>
    <definedName name="어ㅘㄴ">#REF!</definedName>
    <definedName name="옥" localSheetId="1">#REF!</definedName>
    <definedName name="옥">#REF!</definedName>
    <definedName name="원가계간" localSheetId="1">#REF!</definedName>
    <definedName name="원가계간">#REF!</definedName>
    <definedName name="원가계산19" localSheetId="1">#REF!</definedName>
    <definedName name="원가계산19">#REF!</definedName>
    <definedName name="원각" localSheetId="1">#REF!</definedName>
    <definedName name="원각">#REF!</definedName>
    <definedName name="원기기ㅣㅇ" localSheetId="1">#REF!</definedName>
    <definedName name="원기기ㅣㅇ">#REF!</definedName>
    <definedName name="이법제" localSheetId="1">#REF!</definedName>
    <definedName name="이법제">#REF!</definedName>
    <definedName name="인사급여" localSheetId="1">#REF!</definedName>
    <definedName name="인사급여">#REF!</definedName>
    <definedName name="인천지검" localSheetId="1">#REF!</definedName>
    <definedName name="인천지검">#REF!</definedName>
    <definedName name="제조3" localSheetId="1">#REF!</definedName>
    <definedName name="제조3">#REF!</definedName>
    <definedName name="종합청사" localSheetId="1">#REF!</definedName>
    <definedName name="종합청사">#REF!</definedName>
    <definedName name="지원사이트" localSheetId="1">#REF!</definedName>
    <definedName name="지원사이트">#REF!</definedName>
    <definedName name="직매54P" localSheetId="1">#REF!</definedName>
    <definedName name="직매54P">#REF!</definedName>
    <definedName name="철근자료" localSheetId="1">#REF!</definedName>
    <definedName name="철근자료">#REF!</definedName>
    <definedName name="케이블간지" localSheetId="1">#REF!</definedName>
    <definedName name="케이블간지">#REF!</definedName>
    <definedName name="품질" localSheetId="1">#REF!</definedName>
    <definedName name="품질">#REF!</definedName>
    <definedName name="ㅎㅎㅎㅇ" localSheetId="1">#REF!</definedName>
    <definedName name="ㅎㅎㅎㅇ">#REF!</definedName>
    <definedName name="하도사" localSheetId="1">#REF!</definedName>
    <definedName name="하도사">#REF!</definedName>
    <definedName name="하동사" localSheetId="1">#REF!</definedName>
    <definedName name="하동사">#REF!</definedName>
    <definedName name="하수도2" localSheetId="1">#REF!</definedName>
    <definedName name="하수도2">#REF!</definedName>
    <definedName name="ㅏㅏㅏ" localSheetId="1">#REF!</definedName>
    <definedName name="ㅏㅏㅏ">#REF!</definedName>
    <definedName name="ㅏㅏㅏ갸" localSheetId="1">#REF!</definedName>
    <definedName name="ㅏㅏㅏ갸">#REF!</definedName>
    <definedName name="ㅏㅏㅏ데" localSheetId="1">#REF!</definedName>
    <definedName name="ㅏㅏㅏ데">#REF!</definedName>
    <definedName name="ㅏㅏㅣ" localSheetId="1">#REF!</definedName>
    <definedName name="ㅏㅏㅣ">#REF!</definedName>
    <definedName name="ㅓ난" localSheetId="1">#REF!</definedName>
    <definedName name="ㅓ난">#REF!</definedName>
    <definedName name="ㅓㄹ" localSheetId="1">#REF!</definedName>
    <definedName name="ㅓㄹ">#REF!</definedName>
    <definedName name="ㅓㅓ" localSheetId="1">#REF!</definedName>
    <definedName name="ㅓㅓ">#REF!</definedName>
    <definedName name="ㅓㅓㄹ" localSheetId="1">#REF!</definedName>
    <definedName name="ㅓㅓㄹ">#REF!</definedName>
    <definedName name="ㅓㅓㅏ니ㅣㅇ" localSheetId="1">#REF!</definedName>
    <definedName name="ㅓㅓㅏ니ㅣㅇ">#REF!</definedName>
    <definedName name="ㅓㅓㅓㄴ" localSheetId="1">#REF!</definedName>
    <definedName name="ㅓㅓㅓㄴ">#REF!</definedName>
    <definedName name="ㅓㅗㅎ" localSheetId="1">#REF!</definedName>
    <definedName name="ㅓㅗㅎ">#REF!</definedName>
    <definedName name="ㅗ" localSheetId="1">#REF!</definedName>
    <definedName name="ㅗ">#REF!</definedName>
    <definedName name="ㅗ마ㅓ리" localSheetId="1">#REF!</definedName>
    <definedName name="ㅗ마ㅓ리">#REF!</definedName>
    <definedName name="ㅗㅎ" localSheetId="1">#REF!</definedName>
    <definedName name="ㅗㅎ">#REF!</definedName>
    <definedName name="ㅗㅗㅗ" localSheetId="1">#REF!</definedName>
    <definedName name="ㅗㅗㅗ">#REF!</definedName>
    <definedName name="ㅣㅏ아ㅓㄴ" localSheetId="1">#REF!</definedName>
    <definedName name="ㅣㅏ아ㅓㄴ">#REF!</definedName>
    <definedName name="ㅣㅣㅣ" localSheetId="1">#REF!</definedName>
    <definedName name="ㅣㅣㅣ">#REF!</definedName>
    <definedName name="ㅣㅣㅣ노원문화" localSheetId="1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H7" i="3" l="1"/>
  <c r="D17" i="11"/>
  <c r="B3" i="3" l="1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4" authorId="0" shapeId="0" xr:uid="{9F139A72-1BF7-40D3-8A66-49513BD2454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<sst xmlns="http://schemas.openxmlformats.org/spreadsheetml/2006/main" count="153" uniqueCount="98">
  <si>
    <t>Project WBS</t>
  </si>
  <si>
    <t>Enter Project Range</t>
  </si>
  <si>
    <t>Start Date</t>
  </si>
  <si>
    <t>End Date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</si>
  <si>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</si>
  <si>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</si>
  <si>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</si>
  <si>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</si>
  <si>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</si>
  <si>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</si>
  <si>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</si>
  <si>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</si>
  <si>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</si>
  <si>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</si>
  <si>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</si>
  <si>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</si>
  <si>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</si>
  <si>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</si>
  <si>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</si>
  <si>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</si>
  <si>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◎ ERP QR코드 도입 상세 마스터 스케줄</t>
    <phoneticPr fontId="15" type="noConversion"/>
  </si>
  <si>
    <t>No</t>
    <phoneticPr fontId="15" type="noConversion"/>
  </si>
  <si>
    <t>업무 구분</t>
    <phoneticPr fontId="13" type="noConversion"/>
  </si>
  <si>
    <t>개발우선순위</t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</si>
  <si>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</si>
  <si>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</si>
  <si>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</si>
  <si>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</si>
  <si>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시작</t>
    <phoneticPr fontId="15" type="noConversion"/>
  </si>
  <si>
    <t>종료</t>
    <phoneticPr fontId="15" type="noConversion"/>
  </si>
  <si>
    <t>1일~15일</t>
    <phoneticPr fontId="13" type="noConversion"/>
  </si>
  <si>
    <t>16일~31일</t>
    <phoneticPr fontId="13" type="noConversion"/>
  </si>
  <si>
    <t>화면 설계 및 Spec 작성</t>
    <phoneticPr fontId="13" type="noConversion"/>
  </si>
  <si>
    <t>계획</t>
  </si>
  <si>
    <t>실행</t>
  </si>
  <si>
    <t>ERP 개발</t>
    <phoneticPr fontId="13" type="noConversion"/>
  </si>
  <si>
    <t>4</t>
  </si>
  <si>
    <t>5</t>
  </si>
  <si>
    <t>8</t>
  </si>
  <si>
    <t>9</t>
  </si>
  <si>
    <t>10</t>
  </si>
  <si>
    <t>11</t>
  </si>
  <si>
    <t>12</t>
  </si>
  <si>
    <t>13</t>
  </si>
  <si>
    <t>테스트 및 수정 보완</t>
    <phoneticPr fontId="13" type="noConversion"/>
  </si>
  <si>
    <t>산출물 정리 및 인계</t>
    <phoneticPr fontId="13" type="noConversion"/>
  </si>
  <si>
    <t>프로젝트 종료 보고</t>
    <phoneticPr fontId="13" type="noConversion"/>
  </si>
  <si>
    <t>■ 2024. 05. 30.</t>
  </si>
  <si>
    <t>구분</t>
    <phoneticPr fontId="13" type="noConversion"/>
  </si>
  <si>
    <t>상세개발내역
(상세내역 자세히 기록)</t>
    <phoneticPr fontId="13" type="noConversion"/>
  </si>
  <si>
    <t>개발
구분</t>
    <phoneticPr fontId="13" type="noConversion"/>
  </si>
  <si>
    <t>개발공수
(M/D)</t>
    <phoneticPr fontId="13" type="noConversion"/>
  </si>
  <si>
    <r>
      <rPr>
        <b/>
        <sz val="10"/>
        <color rgb="FFC00000"/>
        <rFont val="맑은 고딕"/>
        <family val="3"/>
        <charset val="129"/>
      </rPr>
      <t>[구매발주서]</t>
    </r>
    <r>
      <rPr>
        <sz val="10"/>
        <rFont val="맑은 고딕"/>
        <family val="3"/>
        <charset val="129"/>
      </rPr>
      <t xml:space="preserve">
 1. 현재 사용중인 구매발주서 양식 수정</t>
    </r>
  </si>
  <si>
    <t>수정</t>
    <phoneticPr fontId="13" type="noConversion"/>
  </si>
  <si>
    <r>
      <rPr>
        <b/>
        <sz val="10"/>
        <color rgb="FFC00000"/>
        <rFont val="맑은 고딕"/>
        <family val="3"/>
        <charset val="129"/>
      </rPr>
      <t>[수입발주서]</t>
    </r>
    <r>
      <rPr>
        <sz val="10"/>
        <rFont val="맑은 고딕"/>
        <family val="3"/>
        <charset val="129"/>
      </rPr>
      <t xml:space="preserve">
 1. 사이트용 수입Order발주서 양식 신규개발</t>
    </r>
  </si>
  <si>
    <t>신규</t>
    <phoneticPr fontId="13" type="noConversion"/>
  </si>
  <si>
    <r>
      <rPr>
        <b/>
        <sz val="10"/>
        <color rgb="FFC00000"/>
        <rFont val="맑은 고딕"/>
        <family val="3"/>
        <charset val="129"/>
      </rPr>
      <t>[수입Order - Email]</t>
    </r>
    <r>
      <rPr>
        <sz val="10"/>
        <rFont val="맑은 고딕"/>
        <family val="3"/>
        <charset val="129"/>
      </rPr>
      <t xml:space="preserve">
 1. 양식 설정하여 Email로 수입 발주서 발송
 2. 변경 개발한 구매발주서 발송</t>
    </r>
  </si>
  <si>
    <r>
      <rPr>
        <b/>
        <sz val="10"/>
        <color rgb="FFC00000"/>
        <rFont val="맑은 고딕"/>
        <family val="3"/>
        <charset val="129"/>
      </rPr>
      <t>[납기준수율조회]</t>
    </r>
    <r>
      <rPr>
        <sz val="10"/>
        <rFont val="맑은 고딕"/>
        <family val="3"/>
        <charset val="129"/>
      </rPr>
      <t xml:space="preserve">
 1. 연도별 거래처별 품목별 납기준수율 다이나믹조회
 2. 관리 필요한 거래처는 사용자정의코드로 관리
 ※ 그래프 적용 공수는 포함되지 않았습니다.</t>
    </r>
  </si>
  <si>
    <r>
      <rPr>
        <b/>
        <sz val="10"/>
        <color rgb="FFC00000"/>
        <rFont val="맑은 고딕"/>
        <family val="3"/>
        <charset val="129"/>
      </rPr>
      <t>[자재일괄투입]</t>
    </r>
    <r>
      <rPr>
        <sz val="10"/>
        <rFont val="맑은 고딕"/>
        <family val="3"/>
        <charset val="129"/>
      </rPr>
      <t xml:space="preserve">
 1. 일자별 작업실적 조회 후 자재 일괄투입처리</t>
    </r>
  </si>
  <si>
    <r>
      <rPr>
        <b/>
        <sz val="10"/>
        <color rgb="FFC00000"/>
        <rFont val="맑은 고딕"/>
        <family val="3"/>
        <charset val="129"/>
      </rPr>
      <t>[반제품입고]</t>
    </r>
    <r>
      <rPr>
        <sz val="10"/>
        <rFont val="맑은 고딕"/>
        <family val="3"/>
        <charset val="129"/>
      </rPr>
      <t xml:space="preserve">
 1. 반제품 실적과 입고월이 다를 경우 체크로직 보완</t>
    </r>
  </si>
  <si>
    <r>
      <rPr>
        <b/>
        <sz val="10"/>
        <color rgb="FFC00000"/>
        <rFont val="맑은 고딕"/>
        <family val="3"/>
        <charset val="129"/>
      </rPr>
      <t>[작업지시 기준 창고별재고조회]</t>
    </r>
    <r>
      <rPr>
        <sz val="10"/>
        <rFont val="맑은 고딕"/>
        <family val="3"/>
        <charset val="129"/>
      </rPr>
      <t xml:space="preserve">
 1. 작업지시 기준으로 현재고를 조회할 수 있도록 화면개발</t>
    </r>
  </si>
  <si>
    <r>
      <rPr>
        <b/>
        <sz val="10"/>
        <color rgb="FFC00000"/>
        <rFont val="맑은 고딕"/>
        <family val="3"/>
        <charset val="129"/>
      </rPr>
      <t>[자재출고처리]</t>
    </r>
    <r>
      <rPr>
        <sz val="10"/>
        <rFont val="맑은 고딕"/>
        <family val="3"/>
        <charset val="129"/>
      </rPr>
      <t xml:space="preserve">
 1. LOT관리를 하지 않는 일반 구매품에 한하여 부분납품 및 이동이 가능하도록 프로세스 변경
 2. 개별 품목 바코드가 출력 되도록 수정
 3. 개별 품목으로 입력하여 출고할 수 있도록 탭 추가하여 모바일용 화면 수정</t>
    </r>
  </si>
  <si>
    <r>
      <rPr>
        <b/>
        <sz val="10"/>
        <color rgb="FFC00000"/>
        <rFont val="맑은 고딕"/>
        <family val="3"/>
        <charset val="129"/>
      </rPr>
      <t>[자재소요계획]</t>
    </r>
    <r>
      <rPr>
        <sz val="10"/>
        <rFont val="맑은 고딕"/>
        <family val="3"/>
        <charset val="129"/>
      </rPr>
      <t xml:space="preserve">
 1. 생산계획(또는 작업지시)와 무관하게 소요량을 산출 할 수 있도록 입력 화면 개발
 2. 대상 품목의 원부자재 소요량, 현재고 수량, 가용재고 수량, 입출고예정수량 조회 화면 개발</t>
    </r>
  </si>
  <si>
    <r>
      <rPr>
        <b/>
        <sz val="10"/>
        <color rgb="FFC00000"/>
        <rFont val="맑은 고딕"/>
        <family val="3"/>
        <charset val="129"/>
      </rPr>
      <t>[자재출고종합현황]</t>
    </r>
    <r>
      <rPr>
        <sz val="10"/>
        <rFont val="맑은 고딕"/>
        <family val="3"/>
        <charset val="129"/>
      </rPr>
      <t xml:space="preserve">
 1. 자재출고요청 기준의 BOM정보, 구매정보 등 조회
 2. 작업지시번호로 발주 건을 못찾는 경우는 별도 조회 기간을 두어 구매 건 합산조회
 3. 사용자정의코드를 활용하여 기간 설정
 4 자재미출고현황에서 본 화면으로 점프</t>
    </r>
  </si>
  <si>
    <r>
      <rPr>
        <b/>
        <sz val="10"/>
        <color rgb="FFC00000"/>
        <rFont val="맑은 고딕"/>
        <family val="3"/>
        <charset val="129"/>
      </rPr>
      <t>[창고별 재고조회]</t>
    </r>
    <r>
      <rPr>
        <sz val="10"/>
        <rFont val="맑은 고딕"/>
        <family val="3"/>
        <charset val="129"/>
      </rPr>
      <t xml:space="preserve">
 1. 창고를 N개 선택하여 조회할 수 있도록 조회 화면 개발</t>
    </r>
  </si>
  <si>
    <r>
      <rPr>
        <b/>
        <sz val="10"/>
        <color rgb="FFC00000"/>
        <rFont val="맑은 고딕"/>
        <family val="3"/>
        <charset val="129"/>
      </rPr>
      <t>[생산입고(PDA)]</t>
    </r>
    <r>
      <rPr>
        <sz val="10"/>
        <rFont val="맑은 고딕"/>
        <family val="3"/>
        <charset val="129"/>
      </rPr>
      <t xml:space="preserve">
 1. 입고 품목의 스캔시 정합성 로직 추가
 2. 다른 품목일 경우 빨간색 표기</t>
    </r>
  </si>
  <si>
    <r>
      <rPr>
        <b/>
        <sz val="10"/>
        <color rgb="FFC00000"/>
        <rFont val="맑은 고딕"/>
        <family val="3"/>
        <charset val="129"/>
      </rPr>
      <t>[자재조회(PDA)]</t>
    </r>
    <r>
      <rPr>
        <sz val="10"/>
        <rFont val="맑은 고딕"/>
        <family val="3"/>
        <charset val="129"/>
      </rPr>
      <t xml:space="preserve">
 1. PDA에서 자재정보를 조회할 수 있도록 화면 개발</t>
    </r>
  </si>
  <si>
    <t>추가개발 공수 합계 (M/D)</t>
    <phoneticPr fontId="13" type="noConversion"/>
  </si>
  <si>
    <t>컨설팅/IO설계</t>
  </si>
  <si>
    <t>Spec 작성</t>
  </si>
  <si>
    <t>15일~30일</t>
  </si>
  <si>
    <t>10-15일</t>
  </si>
  <si>
    <t>6월</t>
  </si>
  <si>
    <t>7월</t>
  </si>
  <si>
    <t>8월</t>
  </si>
  <si>
    <t>9월</t>
  </si>
  <si>
    <t>16일~30일</t>
  </si>
  <si>
    <t>16일~31일</t>
  </si>
  <si>
    <t>개발자 테스트(TEST DB)</t>
  </si>
  <si>
    <t>고객 테스트 및 수정사항 반영(TEST DB)</t>
  </si>
  <si>
    <t>개발 내역 반영(TEST DB-&gt;LIVE DB)</t>
  </si>
  <si>
    <t>[납기준수율조회]</t>
  </si>
  <si>
    <t>[수입Order - Email]</t>
  </si>
  <si>
    <t>[수입발주서]</t>
  </si>
  <si>
    <t>[구매발주서]</t>
  </si>
  <si>
    <t>2</t>
  </si>
  <si>
    <t>3</t>
  </si>
  <si>
    <t>6</t>
  </si>
  <si>
    <t>7</t>
  </si>
  <si>
    <t>[자재일괄투입]</t>
  </si>
  <si>
    <t xml:space="preserve">[반제품입고]
</t>
  </si>
  <si>
    <t>[작업지시 기준 창고별재고조회]</t>
  </si>
  <si>
    <t>[자재출고처리]</t>
  </si>
  <si>
    <t>[자재소요계획]</t>
  </si>
  <si>
    <t>[자재출고종합현황]</t>
  </si>
  <si>
    <t>[창고별 재고조회]</t>
  </si>
  <si>
    <t>[생산입고(PDA)]</t>
  </si>
  <si>
    <t>[자재조회(PDA)]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</si>
</sst>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yyyy\-mm\-dd"/>
    <numFmt numFmtId="178" formatCode="yyyy/mm/dd\(aaa\)"/>
    <numFmt numFmtId="179" formatCode="0&quot;%&quot;"/>
    <numFmt numFmtId="180" formatCode="#,##0_);[Red]\(#,##0\)"/>
  </numFmts>
  <fonts count="34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4">
      <alignment vertical="center"/>
    </xf>
    <xf numFmtId="0" fontId="27" fillId="0" borderId="4"/>
  </cellStyleXfs>
  <cellXfs count="123"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left" vertical="center"/>
    </xf>
    <xf numFmtId="177" fontId="8" fillId="3" borderId="9" xfId="0" applyNumberFormat="1" applyFont="1" applyFill="1" applyBorder="1" applyAlignment="1">
      <alignment horizontal="center" vertical="center"/>
    </xf>
    <xf numFmtId="177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19" fillId="0" borderId="14" xfId="1" applyNumberFormat="1" applyFont="1" applyBorder="1" applyAlignment="1">
      <alignment horizontal="center" vertical="center"/>
    </xf>
    <xf numFmtId="0" fontId="22" fillId="0" borderId="4" xfId="1" applyFont="1" applyAlignment="1">
      <alignment horizontal="center" vertical="center"/>
    </xf>
    <xf numFmtId="14" fontId="23" fillId="8" borderId="14" xfId="1" applyNumberFormat="1" applyFont="1" applyFill="1" applyBorder="1" applyAlignment="1">
      <alignment horizontal="center" vertical="center"/>
    </xf>
    <xf numFmtId="14" fontId="20" fillId="0" borderId="14" xfId="1" applyNumberFormat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6" fillId="0" borderId="4" xfId="1" applyFont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4" fontId="5" fillId="3" borderId="11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14" fontId="23" fillId="8" borderId="25" xfId="1" applyNumberFormat="1" applyFont="1" applyFill="1" applyBorder="1" applyAlignment="1">
      <alignment horizontal="center" vertical="center"/>
    </xf>
    <xf numFmtId="14" fontId="20" fillId="0" borderId="20" xfId="1" applyNumberFormat="1" applyFont="1" applyBorder="1" applyAlignment="1">
      <alignment horizontal="center" vertical="center"/>
    </xf>
    <xf numFmtId="0" fontId="22" fillId="11" borderId="14" xfId="1" applyFont="1" applyFill="1" applyBorder="1" applyAlignment="1">
      <alignment horizontal="center" vertical="center"/>
    </xf>
    <xf numFmtId="0" fontId="21" fillId="12" borderId="15" xfId="1" applyFont="1" applyFill="1" applyBorder="1" applyAlignment="1">
      <alignment horizontal="center" vertical="center"/>
    </xf>
    <xf numFmtId="180" fontId="30" fillId="0" borderId="14" xfId="2" applyNumberFormat="1" applyFont="1" applyBorder="1" applyAlignment="1">
      <alignment vertical="center" wrapText="1"/>
    </xf>
    <xf numFmtId="180" fontId="30" fillId="0" borderId="14" xfId="2" applyNumberFormat="1" applyFont="1" applyBorder="1" applyAlignment="1">
      <alignment horizontal="center" vertical="center"/>
    </xf>
    <xf numFmtId="180" fontId="19" fillId="15" borderId="14" xfId="2" applyNumberFormat="1" applyFont="1" applyFill="1" applyBorder="1" applyAlignment="1">
      <alignment horizontal="center" vertical="center"/>
    </xf>
    <xf numFmtId="49" fontId="14" fillId="0" borderId="4" xfId="1" applyNumberFormat="1" applyFont="1">
      <alignment vertical="center"/>
    </xf>
    <xf numFmtId="49" fontId="18" fillId="0" borderId="4" xfId="1" applyNumberFormat="1" applyFont="1">
      <alignment vertical="center"/>
    </xf>
    <xf numFmtId="49" fontId="19" fillId="6" borderId="19" xfId="1" applyNumberFormat="1" applyFont="1" applyFill="1" applyBorder="1" applyAlignment="1">
      <alignment horizontal="center" vertical="center" wrapText="1"/>
    </xf>
    <xf numFmtId="49" fontId="19" fillId="6" borderId="17" xfId="1" applyNumberFormat="1" applyFont="1" applyFill="1" applyBorder="1" applyAlignment="1">
      <alignment horizontal="center" vertical="center" wrapText="1"/>
    </xf>
    <xf numFmtId="49" fontId="19" fillId="6" borderId="24" xfId="1" applyNumberFormat="1" applyFont="1" applyFill="1" applyBorder="1" applyAlignment="1">
      <alignment horizontal="center" vertical="center" wrapText="1"/>
    </xf>
    <xf numFmtId="49" fontId="19" fillId="10" borderId="19" xfId="1" applyNumberFormat="1" applyFont="1" applyFill="1" applyBorder="1" applyAlignment="1">
      <alignment horizontal="center" vertical="center" wrapText="1"/>
    </xf>
    <xf numFmtId="49" fontId="19" fillId="10" borderId="17" xfId="1" applyNumberFormat="1" applyFont="1" applyFill="1" applyBorder="1" applyAlignment="1">
      <alignment horizontal="center" vertical="center" wrapText="1"/>
    </xf>
    <xf numFmtId="49" fontId="19" fillId="10" borderId="24" xfId="1" applyNumberFormat="1" applyFont="1" applyFill="1" applyBorder="1" applyAlignment="1">
      <alignment horizontal="center" vertical="center" wrapText="1"/>
    </xf>
    <xf numFmtId="49" fontId="17" fillId="0" borderId="4" xfId="1" applyNumberFormat="1" applyFont="1" applyAlignment="1">
      <alignment horizontal="center" vertical="center"/>
    </xf>
    <xf numFmtId="0" fontId="16" fillId="0" borderId="4" xfId="1" applyFont="1" applyAlignment="1">
      <alignment horizontal="left"/>
    </xf>
    <xf numFmtId="0" fontId="17" fillId="0" borderId="4" xfId="1" applyFont="1" applyAlignment="1">
      <alignment horizontal="left" vertical="center"/>
    </xf>
    <xf numFmtId="180" fontId="33" fillId="6" borderId="14" xfId="2" applyNumberFormat="1" applyFont="1" applyFill="1" applyBorder="1" applyAlignment="1">
      <alignment horizontal="center" vertical="center"/>
    </xf>
    <xf numFmtId="0" fontId="19" fillId="0" borderId="29" xfId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49" fontId="19" fillId="9" borderId="14" xfId="1" applyNumberFormat="1" applyFont="1" applyFill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left" vertical="center" wrapText="1"/>
    </xf>
    <xf numFmtId="179" fontId="19" fillId="7" borderId="15" xfId="1" applyNumberFormat="1" applyFont="1" applyFill="1" applyBorder="1" applyAlignment="1">
      <alignment horizontal="center" vertical="center"/>
    </xf>
    <xf numFmtId="179" fontId="19" fillId="7" borderId="16" xfId="1" applyNumberFormat="1" applyFont="1" applyFill="1" applyBorder="1" applyAlignment="1">
      <alignment horizontal="center" vertical="center"/>
    </xf>
    <xf numFmtId="0" fontId="19" fillId="0" borderId="22" xfId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left" vertical="center" wrapText="1"/>
    </xf>
    <xf numFmtId="179" fontId="19" fillId="0" borderId="15" xfId="1" applyNumberFormat="1" applyFont="1" applyBorder="1" applyAlignment="1">
      <alignment horizontal="center" vertical="center"/>
    </xf>
    <xf numFmtId="179" fontId="19" fillId="0" borderId="24" xfId="1" applyNumberFormat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 wrapText="1"/>
    </xf>
    <xf numFmtId="0" fontId="19" fillId="10" borderId="19" xfId="1" applyFont="1" applyFill="1" applyBorder="1" applyAlignment="1">
      <alignment horizontal="center" vertical="center" wrapText="1"/>
    </xf>
    <xf numFmtId="0" fontId="19" fillId="10" borderId="17" xfId="1" applyFont="1" applyFill="1" applyBorder="1" applyAlignment="1">
      <alignment horizontal="center" vertical="center" wrapText="1"/>
    </xf>
    <xf numFmtId="0" fontId="19" fillId="10" borderId="24" xfId="1" applyFont="1" applyFill="1" applyBorder="1" applyAlignment="1">
      <alignment horizontal="center" vertical="center" wrapText="1"/>
    </xf>
    <xf numFmtId="179" fontId="19" fillId="0" borderId="19" xfId="1" applyNumberFormat="1" applyFont="1" applyBorder="1" applyAlignment="1">
      <alignment horizontal="center" vertical="center"/>
    </xf>
    <xf numFmtId="179" fontId="19" fillId="0" borderId="16" xfId="1" applyNumberFormat="1" applyFont="1" applyBorder="1" applyAlignment="1">
      <alignment horizontal="center" vertical="center"/>
    </xf>
    <xf numFmtId="0" fontId="19" fillId="9" borderId="19" xfId="1" applyFont="1" applyFill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center" wrapText="1"/>
    </xf>
    <xf numFmtId="49" fontId="19" fillId="9" borderId="19" xfId="1" applyNumberFormat="1" applyFont="1" applyFill="1" applyBorder="1" applyAlignment="1">
      <alignment horizontal="center" vertical="center" wrapText="1"/>
    </xf>
    <xf numFmtId="49" fontId="19" fillId="9" borderId="16" xfId="1" applyNumberFormat="1" applyFont="1" applyFill="1" applyBorder="1" applyAlignment="1">
      <alignment horizontal="center" vertical="center" wrapText="1"/>
    </xf>
    <xf numFmtId="49" fontId="19" fillId="9" borderId="15" xfId="1" applyNumberFormat="1" applyFont="1" applyFill="1" applyBorder="1" applyAlignment="1">
      <alignment horizontal="center" vertical="center" wrapText="1"/>
    </xf>
    <xf numFmtId="0" fontId="19" fillId="9" borderId="15" xfId="1" applyFont="1" applyFill="1" applyBorder="1" applyAlignment="1">
      <alignment horizontal="left" vertical="center" wrapText="1"/>
    </xf>
    <xf numFmtId="0" fontId="19" fillId="9" borderId="16" xfId="1" applyFont="1" applyFill="1" applyBorder="1" applyAlignment="1">
      <alignment horizontal="left" vertical="center" wrapText="1"/>
    </xf>
    <xf numFmtId="179" fontId="19" fillId="7" borderId="19" xfId="1" applyNumberFormat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left" vertical="center"/>
    </xf>
    <xf numFmtId="0" fontId="19" fillId="5" borderId="15" xfId="1" applyFont="1" applyFill="1" applyBorder="1" applyAlignment="1">
      <alignment horizontal="left" vertical="center"/>
    </xf>
    <xf numFmtId="0" fontId="19" fillId="5" borderId="15" xfId="1" applyFont="1" applyFill="1" applyBorder="1" applyAlignment="1">
      <alignment horizontal="center" vertical="center" wrapText="1"/>
    </xf>
    <xf numFmtId="0" fontId="19" fillId="5" borderId="17" xfId="1" applyFont="1" applyFill="1" applyBorder="1" applyAlignment="1">
      <alignment horizontal="center" vertical="center" wrapText="1"/>
    </xf>
    <xf numFmtId="49" fontId="19" fillId="5" borderId="15" xfId="1" applyNumberFormat="1" applyFont="1" applyFill="1" applyBorder="1" applyAlignment="1">
      <alignment horizontal="center" vertical="center"/>
    </xf>
    <xf numFmtId="49" fontId="19" fillId="5" borderId="24" xfId="1" applyNumberFormat="1" applyFont="1" applyFill="1" applyBorder="1" applyAlignment="1">
      <alignment horizontal="center" vertical="center"/>
    </xf>
    <xf numFmtId="0" fontId="21" fillId="12" borderId="14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 wrapText="1"/>
    </xf>
    <xf numFmtId="0" fontId="21" fillId="12" borderId="26" xfId="1" applyFont="1" applyFill="1" applyBorder="1" applyAlignment="1">
      <alignment horizontal="center" vertical="center"/>
    </xf>
    <xf numFmtId="0" fontId="21" fillId="12" borderId="28" xfId="1" applyFont="1" applyFill="1" applyBorder="1" applyAlignment="1">
      <alignment horizontal="center" vertical="center"/>
    </xf>
    <xf numFmtId="0" fontId="19" fillId="6" borderId="19" xfId="1" applyFont="1" applyFill="1" applyBorder="1" applyAlignment="1">
      <alignment horizontal="center"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19" fillId="6" borderId="24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left" vertical="center" wrapText="1"/>
    </xf>
    <xf numFmtId="0" fontId="19" fillId="6" borderId="14" xfId="1" applyFont="1" applyFill="1" applyBorder="1" applyAlignment="1">
      <alignment horizontal="left" vertical="center" wrapText="1"/>
    </xf>
    <xf numFmtId="0" fontId="19" fillId="6" borderId="15" xfId="1" applyFont="1" applyFill="1" applyBorder="1" applyAlignment="1">
      <alignment horizontal="left" vertical="center" wrapText="1"/>
    </xf>
    <xf numFmtId="0" fontId="19" fillId="6" borderId="24" xfId="1" applyFont="1" applyFill="1" applyBorder="1" applyAlignment="1">
      <alignment horizontal="left" vertical="center" wrapText="1"/>
    </xf>
    <xf numFmtId="0" fontId="28" fillId="13" borderId="14" xfId="2" applyFont="1" applyFill="1" applyBorder="1" applyAlignment="1">
      <alignment horizontal="center" vertical="center" wrapText="1"/>
    </xf>
    <xf numFmtId="0" fontId="29" fillId="14" borderId="15" xfId="2" applyFont="1" applyFill="1" applyBorder="1" applyAlignment="1">
      <alignment horizontal="center" vertical="center"/>
    </xf>
    <xf numFmtId="0" fontId="29" fillId="14" borderId="17" xfId="2" applyFont="1" applyFill="1" applyBorder="1" applyAlignment="1">
      <alignment horizontal="center" vertical="center"/>
    </xf>
    <xf numFmtId="0" fontId="32" fillId="14" borderId="26" xfId="2" applyFont="1" applyFill="1" applyBorder="1" applyAlignment="1">
      <alignment horizontal="center" vertical="center"/>
    </xf>
    <xf numFmtId="0" fontId="32" fillId="14" borderId="27" xfId="2" applyFont="1" applyFill="1" applyBorder="1" applyAlignment="1">
      <alignment horizontal="center" vertical="center"/>
    </xf>
    <xf numFmtId="0" fontId="32" fillId="14" borderId="28" xfId="2" applyFont="1" applyFill="1" applyBorder="1" applyAlignment="1">
      <alignment horizontal="center" vertical="center"/>
    </xf>
  </cellXfs>
  <cellStyles count="3">
    <cellStyle name="표준" xfId="0" builtinId="0"/>
    <cellStyle name="표준 10" xfId="2" xr:uid="{DC17DF4B-A97F-4E46-B8F2-8DA03DB4070A}"/>
    <cellStyle name="표준 2" xfId="1" xr:uid="{7C637B8C-2B17-4ADF-ACDD-26C842114030}"/>
  </cellStyles>
  <dxfs count="17">
    <dxf>
      <fill>
        <patternFill patternType="solid">
          <fgColor rgb="FFFF9900"/>
          <bgColor rgb="FFFF99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93133</xdr:colOff>
      <xdr:row>5</xdr:row>
      <xdr:rowOff>48304</xdr:rowOff>
    </xdr:from>
    <xdr:to>
      <xdr:col>10</xdr:col>
      <xdr:colOff>1683</xdr:colOff>
      <xdr:row>6</xdr:row>
      <xdr:rowOff>16934</xdr:rowOff>
    </xdr:to>
    <xdr:sp macro="" textlink="">
      <xdr:nvSpPr>
        <xdr:cNvPr id="2" name="화살표: 오른쪽 2">
          <a:extLst>
            <a:ext uri="{FF2B5EF4-FFF2-40B4-BE49-F238E27FC236}">
              <a16:creationId xmlns:a16="http://schemas.microsoft.com/office/drawing/2014/main" id="{B41F37F7-BD69-4297-A287-9FBBE5CF63B9}"/>
            </a:ext>
          </a:extLst>
        </xdr:cNvPr>
        <xdr:cNvSpPr/>
      </xdr:nvSpPr>
      <xdr:spPr>
        <a:xfrm>
          <a:off x="8636000" y="1470704"/>
          <a:ext cx="535083" cy="239563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624840</xdr:colOff>
      <xdr:row>7</xdr:row>
      <xdr:rowOff>39204</xdr:rowOff>
    </xdr:from>
    <xdr:to>
      <xdr:col>10</xdr:col>
      <xdr:colOff>609601</xdr:colOff>
      <xdr:row>7</xdr:row>
      <xdr:rowOff>254000</xdr:rowOff>
    </xdr:to>
    <xdr:sp macro="" textlink="">
      <xdr:nvSpPr>
        <xdr:cNvPr id="3" name="화살표: 오른쪽 3">
          <a:extLst>
            <a:ext uri="{FF2B5EF4-FFF2-40B4-BE49-F238E27FC236}">
              <a16:creationId xmlns:a16="http://schemas.microsoft.com/office/drawing/2014/main" id="{FEFA12CF-F4CF-44AB-B8DA-C9364C597528}"/>
            </a:ext>
          </a:extLst>
        </xdr:cNvPr>
        <xdr:cNvSpPr/>
      </xdr:nvSpPr>
      <xdr:spPr>
        <a:xfrm>
          <a:off x="9167707" y="2003471"/>
          <a:ext cx="611294" cy="214796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174202</xdr:colOff>
      <xdr:row>26</xdr:row>
      <xdr:rowOff>205316</xdr:rowOff>
    </xdr:from>
    <xdr:to>
      <xdr:col>15</xdr:col>
      <xdr:colOff>347134</xdr:colOff>
      <xdr:row>27</xdr:row>
      <xdr:rowOff>211667</xdr:rowOff>
    </xdr:to>
    <xdr:sp macro="" textlink="">
      <xdr:nvSpPr>
        <xdr:cNvPr id="4" name="화살표: 오른쪽 5">
          <a:extLst>
            <a:ext uri="{FF2B5EF4-FFF2-40B4-BE49-F238E27FC236}">
              <a16:creationId xmlns:a16="http://schemas.microsoft.com/office/drawing/2014/main" id="{DE11C818-61A9-45B3-A3C9-A0C6AA9BDEA9}"/>
            </a:ext>
          </a:extLst>
        </xdr:cNvPr>
        <xdr:cNvSpPr/>
      </xdr:nvSpPr>
      <xdr:spPr>
        <a:xfrm>
          <a:off x="14872335" y="7325783"/>
          <a:ext cx="172932" cy="2264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477943</xdr:colOff>
      <xdr:row>28</xdr:row>
      <xdr:rowOff>212091</xdr:rowOff>
    </xdr:from>
    <xdr:to>
      <xdr:col>15</xdr:col>
      <xdr:colOff>787400</xdr:colOff>
      <xdr:row>29</xdr:row>
      <xdr:rowOff>211666</xdr:rowOff>
    </xdr:to>
    <xdr:sp macro="" textlink="">
      <xdr:nvSpPr>
        <xdr:cNvPr id="7" name="화살표: 오른쪽 11">
          <a:extLst>
            <a:ext uri="{FF2B5EF4-FFF2-40B4-BE49-F238E27FC236}">
              <a16:creationId xmlns:a16="http://schemas.microsoft.com/office/drawing/2014/main" id="{D3B50140-9D55-4C40-AC07-741FAA8FA967}"/>
            </a:ext>
          </a:extLst>
        </xdr:cNvPr>
        <xdr:cNvSpPr/>
      </xdr:nvSpPr>
      <xdr:spPr>
        <a:xfrm>
          <a:off x="15176076" y="7772824"/>
          <a:ext cx="309457" cy="2197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905934</xdr:colOff>
      <xdr:row>35</xdr:row>
      <xdr:rowOff>50798</xdr:rowOff>
    </xdr:from>
    <xdr:to>
      <xdr:col>16</xdr:col>
      <xdr:colOff>389468</xdr:colOff>
      <xdr:row>36</xdr:row>
      <xdr:rowOff>8467</xdr:rowOff>
    </xdr:to>
    <xdr:sp macro="" textlink="">
      <xdr:nvSpPr>
        <xdr:cNvPr id="8" name="화살표: 오른쪽 12">
          <a:extLst>
            <a:ext uri="{FF2B5EF4-FFF2-40B4-BE49-F238E27FC236}">
              <a16:creationId xmlns:a16="http://schemas.microsoft.com/office/drawing/2014/main" id="{FD362B1C-0FF1-4E54-8902-89FBB364D442}"/>
            </a:ext>
          </a:extLst>
        </xdr:cNvPr>
        <xdr:cNvSpPr/>
      </xdr:nvSpPr>
      <xdr:spPr>
        <a:xfrm>
          <a:off x="11904134" y="8720665"/>
          <a:ext cx="3141134" cy="2286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434551</xdr:colOff>
      <xdr:row>9</xdr:row>
      <xdr:rowOff>4232</xdr:rowOff>
    </xdr:from>
    <xdr:to>
      <xdr:col>12</xdr:col>
      <xdr:colOff>567267</xdr:colOff>
      <xdr:row>9</xdr:row>
      <xdr:rowOff>194734</xdr:rowOff>
    </xdr:to>
    <xdr:sp macro="" textlink="">
      <xdr:nvSpPr>
        <xdr:cNvPr id="14" name="화살표: 오른쪽 8">
          <a:extLst>
            <a:ext uri="{FF2B5EF4-FFF2-40B4-BE49-F238E27FC236}">
              <a16:creationId xmlns:a16="http://schemas.microsoft.com/office/drawing/2014/main" id="{D805CE0C-D84D-4828-BCA6-A9E3905C4E36}"/>
            </a:ext>
          </a:extLst>
        </xdr:cNvPr>
        <xdr:cNvSpPr/>
      </xdr:nvSpPr>
      <xdr:spPr>
        <a:xfrm>
          <a:off x="11475084" y="2510365"/>
          <a:ext cx="1047116" cy="1905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600080</xdr:colOff>
      <xdr:row>11</xdr:row>
      <xdr:rowOff>8953</xdr:rowOff>
    </xdr:from>
    <xdr:to>
      <xdr:col>13</xdr:col>
      <xdr:colOff>42334</xdr:colOff>
      <xdr:row>11</xdr:row>
      <xdr:rowOff>186266</xdr:rowOff>
    </xdr:to>
    <xdr:sp macro="" textlink="">
      <xdr:nvSpPr>
        <xdr:cNvPr id="15" name="화살표: 오른쪽 18">
          <a:extLst>
            <a:ext uri="{FF2B5EF4-FFF2-40B4-BE49-F238E27FC236}">
              <a16:creationId xmlns:a16="http://schemas.microsoft.com/office/drawing/2014/main" id="{302E11B9-3986-4893-87E3-10C8389D3D75}"/>
            </a:ext>
          </a:extLst>
        </xdr:cNvPr>
        <xdr:cNvSpPr/>
      </xdr:nvSpPr>
      <xdr:spPr>
        <a:xfrm>
          <a:off x="12555013" y="2955353"/>
          <a:ext cx="356654" cy="1773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136737</xdr:colOff>
      <xdr:row>12</xdr:row>
      <xdr:rowOff>216323</xdr:rowOff>
    </xdr:from>
    <xdr:to>
      <xdr:col>13</xdr:col>
      <xdr:colOff>296334</xdr:colOff>
      <xdr:row>13</xdr:row>
      <xdr:rowOff>169332</xdr:rowOff>
    </xdr:to>
    <xdr:sp macro="" textlink="">
      <xdr:nvSpPr>
        <xdr:cNvPr id="16" name="화살표: 오른쪽 19">
          <a:extLst>
            <a:ext uri="{FF2B5EF4-FFF2-40B4-BE49-F238E27FC236}">
              <a16:creationId xmlns:a16="http://schemas.microsoft.com/office/drawing/2014/main" id="{ABACF494-97C4-492F-8247-2D027109CFFE}"/>
            </a:ext>
          </a:extLst>
        </xdr:cNvPr>
        <xdr:cNvSpPr/>
      </xdr:nvSpPr>
      <xdr:spPr>
        <a:xfrm>
          <a:off x="13006070" y="3382856"/>
          <a:ext cx="159597" cy="17314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349249</xdr:colOff>
      <xdr:row>15</xdr:row>
      <xdr:rowOff>25400</xdr:rowOff>
    </xdr:from>
    <xdr:to>
      <xdr:col>13</xdr:col>
      <xdr:colOff>609600</xdr:colOff>
      <xdr:row>15</xdr:row>
      <xdr:rowOff>215053</xdr:rowOff>
    </xdr:to>
    <xdr:sp macro="" textlink="">
      <xdr:nvSpPr>
        <xdr:cNvPr id="17" name="화살표: 오른쪽 20">
          <a:extLst>
            <a:ext uri="{FF2B5EF4-FFF2-40B4-BE49-F238E27FC236}">
              <a16:creationId xmlns:a16="http://schemas.microsoft.com/office/drawing/2014/main" id="{2459E2F4-5472-4079-8DCF-5093F196C979}"/>
            </a:ext>
          </a:extLst>
        </xdr:cNvPr>
        <xdr:cNvSpPr/>
      </xdr:nvSpPr>
      <xdr:spPr>
        <a:xfrm>
          <a:off x="13218582" y="4106333"/>
          <a:ext cx="260351" cy="1896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723476</xdr:colOff>
      <xdr:row>16</xdr:row>
      <xdr:rowOff>209822</xdr:rowOff>
    </xdr:from>
    <xdr:to>
      <xdr:col>14</xdr:col>
      <xdr:colOff>269452</xdr:colOff>
      <xdr:row>18</xdr:row>
      <xdr:rowOff>1482</xdr:rowOff>
    </xdr:to>
    <xdr:sp macro="" textlink="">
      <xdr:nvSpPr>
        <xdr:cNvPr id="18" name="화살표: 오른쪽 21">
          <a:extLst>
            <a:ext uri="{FF2B5EF4-FFF2-40B4-BE49-F238E27FC236}">
              <a16:creationId xmlns:a16="http://schemas.microsoft.com/office/drawing/2014/main" id="{31140A70-E96D-47EC-A359-9E29E2C484CA}"/>
            </a:ext>
          </a:extLst>
        </xdr:cNvPr>
        <xdr:cNvSpPr/>
      </xdr:nvSpPr>
      <xdr:spPr>
        <a:xfrm>
          <a:off x="13592809" y="4510889"/>
          <a:ext cx="460376" cy="2319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164888</xdr:colOff>
      <xdr:row>19</xdr:row>
      <xdr:rowOff>21167</xdr:rowOff>
    </xdr:from>
    <xdr:to>
      <xdr:col>14</xdr:col>
      <xdr:colOff>465668</xdr:colOff>
      <xdr:row>19</xdr:row>
      <xdr:rowOff>211667</xdr:rowOff>
    </xdr:to>
    <xdr:sp macro="" textlink="">
      <xdr:nvSpPr>
        <xdr:cNvPr id="19" name="화살표: 오른쪽 22">
          <a:extLst>
            <a:ext uri="{FF2B5EF4-FFF2-40B4-BE49-F238E27FC236}">
              <a16:creationId xmlns:a16="http://schemas.microsoft.com/office/drawing/2014/main" id="{AD726793-8ECF-4836-82F3-ED57AD36868C}"/>
            </a:ext>
          </a:extLst>
        </xdr:cNvPr>
        <xdr:cNvSpPr/>
      </xdr:nvSpPr>
      <xdr:spPr>
        <a:xfrm>
          <a:off x="13948621" y="5270500"/>
          <a:ext cx="30078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365758</xdr:colOff>
      <xdr:row>21</xdr:row>
      <xdr:rowOff>33867</xdr:rowOff>
    </xdr:from>
    <xdr:to>
      <xdr:col>14</xdr:col>
      <xdr:colOff>694267</xdr:colOff>
      <xdr:row>21</xdr:row>
      <xdr:rowOff>211666</xdr:rowOff>
    </xdr:to>
    <xdr:sp macro="" textlink="">
      <xdr:nvSpPr>
        <xdr:cNvPr id="20" name="화살표: 오른쪽 23">
          <a:extLst>
            <a:ext uri="{FF2B5EF4-FFF2-40B4-BE49-F238E27FC236}">
              <a16:creationId xmlns:a16="http://schemas.microsoft.com/office/drawing/2014/main" id="{93F62FFF-3571-492E-8B25-2FC9AA64BD25}"/>
            </a:ext>
          </a:extLst>
        </xdr:cNvPr>
        <xdr:cNvSpPr/>
      </xdr:nvSpPr>
      <xdr:spPr>
        <a:xfrm>
          <a:off x="14149491" y="5850467"/>
          <a:ext cx="328509" cy="1777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866987</xdr:colOff>
      <xdr:row>25</xdr:row>
      <xdr:rowOff>2795</xdr:rowOff>
    </xdr:from>
    <xdr:to>
      <xdr:col>15</xdr:col>
      <xdr:colOff>186267</xdr:colOff>
      <xdr:row>25</xdr:row>
      <xdr:rowOff>203200</xdr:rowOff>
    </xdr:to>
    <xdr:sp macro="" textlink="">
      <xdr:nvSpPr>
        <xdr:cNvPr id="21" name="화살표: 오른쪽 24">
          <a:extLst>
            <a:ext uri="{FF2B5EF4-FFF2-40B4-BE49-F238E27FC236}">
              <a16:creationId xmlns:a16="http://schemas.microsoft.com/office/drawing/2014/main" id="{F46113AB-EE98-4D81-9606-EA693727555F}"/>
            </a:ext>
          </a:extLst>
        </xdr:cNvPr>
        <xdr:cNvSpPr/>
      </xdr:nvSpPr>
      <xdr:spPr>
        <a:xfrm>
          <a:off x="14650720" y="6903128"/>
          <a:ext cx="233680" cy="2004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641350</xdr:colOff>
      <xdr:row>23</xdr:row>
      <xdr:rowOff>71755</xdr:rowOff>
    </xdr:from>
    <xdr:to>
      <xdr:col>15</xdr:col>
      <xdr:colOff>33866</xdr:colOff>
      <xdr:row>23</xdr:row>
      <xdr:rowOff>287866</xdr:rowOff>
    </xdr:to>
    <xdr:sp macro="" textlink="">
      <xdr:nvSpPr>
        <xdr:cNvPr id="22" name="화살표: 오른쪽 25">
          <a:extLst>
            <a:ext uri="{FF2B5EF4-FFF2-40B4-BE49-F238E27FC236}">
              <a16:creationId xmlns:a16="http://schemas.microsoft.com/office/drawing/2014/main" id="{F3E5B844-08D4-47E4-B15F-41C1F3FD689A}"/>
            </a:ext>
          </a:extLst>
        </xdr:cNvPr>
        <xdr:cNvSpPr/>
      </xdr:nvSpPr>
      <xdr:spPr>
        <a:xfrm>
          <a:off x="14425083" y="6328622"/>
          <a:ext cx="306916" cy="21611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421851</xdr:colOff>
      <xdr:row>55</xdr:row>
      <xdr:rowOff>168487</xdr:rowOff>
    </xdr:from>
    <xdr:to>
      <xdr:col>18</xdr:col>
      <xdr:colOff>533399</xdr:colOff>
      <xdr:row>57</xdr:row>
      <xdr:rowOff>10584</xdr:rowOff>
    </xdr:to>
    <xdr:sp macro="" textlink="">
      <xdr:nvSpPr>
        <xdr:cNvPr id="26" name="화살표: 오른쪽 16">
          <a:extLst>
            <a:ext uri="{FF2B5EF4-FFF2-40B4-BE49-F238E27FC236}">
              <a16:creationId xmlns:a16="http://schemas.microsoft.com/office/drawing/2014/main" id="{27DCEB7A-2AE0-456F-BF23-0812F2B51CD6}"/>
            </a:ext>
            <a:ext uri="{147F2762-F138-4A5C-976F-8EAC2B608ADB}">
              <a16:predDERef xmlns:a16="http://schemas.microsoft.com/office/drawing/2014/main" pred="{109304BE-1C70-4477-A896-E93F4F831A52}"/>
            </a:ext>
          </a:extLst>
        </xdr:cNvPr>
        <xdr:cNvSpPr/>
      </xdr:nvSpPr>
      <xdr:spPr>
        <a:xfrm>
          <a:off x="25872651" y="15532312"/>
          <a:ext cx="111548" cy="280247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1009650</xdr:colOff>
      <xdr:row>35</xdr:row>
      <xdr:rowOff>19050</xdr:rowOff>
    </xdr:from>
    <xdr:to>
      <xdr:col>17</xdr:col>
      <xdr:colOff>0</xdr:colOff>
      <xdr:row>36</xdr:row>
      <xdr:rowOff>0</xdr:rowOff>
    </xdr:to>
    <xdr:sp macro="" textlink="">
      <xdr:nvSpPr>
        <xdr:cNvPr id="5" name="오른쪽 화살표 4">
          <a:extLst>
            <a:ext uri="{FF2B5EF4-FFF2-40B4-BE49-F238E27FC236}">
              <a16:creationId xmlns:a16="http://schemas.microsoft.com/office/drawing/2014/main" id="{DC8FE9C4-5FCA-4012-A35D-1AB59D432AD5}"/>
            </a:ext>
            <a:ext uri="{147F2762-F138-4A5C-976F-8EAC2B608ADB}">
              <a16:predDERef xmlns:a16="http://schemas.microsoft.com/office/drawing/2014/main" pred="{24C515B2-A360-4E1F-A62E-50B7F61FF471}"/>
            </a:ext>
          </a:extLst>
        </xdr:cNvPr>
        <xdr:cNvSpPr/>
      </xdr:nvSpPr>
      <xdr:spPr>
        <a:xfrm>
          <a:off x="18573750" y="10420350"/>
          <a:ext cx="1143000" cy="257175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448732</xdr:colOff>
      <xdr:row>37</xdr:row>
      <xdr:rowOff>33866</xdr:rowOff>
    </xdr:from>
    <xdr:to>
      <xdr:col>16</xdr:col>
      <xdr:colOff>491067</xdr:colOff>
      <xdr:row>38</xdr:row>
      <xdr:rowOff>25400</xdr:rowOff>
    </xdr:to>
    <xdr:sp macro="" textlink="">
      <xdr:nvSpPr>
        <xdr:cNvPr id="25" name="화살표: 오른쪽 12">
          <a:extLst>
            <a:ext uri="{FF2B5EF4-FFF2-40B4-BE49-F238E27FC236}">
              <a16:creationId xmlns:a16="http://schemas.microsoft.com/office/drawing/2014/main" id="{E8A6D883-6F8F-4B6C-8C27-8F564D30FCD5}"/>
            </a:ext>
          </a:extLst>
        </xdr:cNvPr>
        <xdr:cNvSpPr/>
      </xdr:nvSpPr>
      <xdr:spPr>
        <a:xfrm>
          <a:off x="12361332" y="9245599"/>
          <a:ext cx="2785535" cy="2624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0</xdr:colOff>
      <xdr:row>39</xdr:row>
      <xdr:rowOff>42333</xdr:rowOff>
    </xdr:from>
    <xdr:to>
      <xdr:col>16</xdr:col>
      <xdr:colOff>524934</xdr:colOff>
      <xdr:row>40</xdr:row>
      <xdr:rowOff>25400</xdr:rowOff>
    </xdr:to>
    <xdr:sp macro="" textlink="">
      <xdr:nvSpPr>
        <xdr:cNvPr id="27" name="화살표: 오른쪽 12">
          <a:extLst>
            <a:ext uri="{FF2B5EF4-FFF2-40B4-BE49-F238E27FC236}">
              <a16:creationId xmlns:a16="http://schemas.microsoft.com/office/drawing/2014/main" id="{42DD8499-E963-4819-BFCC-DD11B31F9774}"/>
            </a:ext>
          </a:extLst>
        </xdr:cNvPr>
        <xdr:cNvSpPr/>
      </xdr:nvSpPr>
      <xdr:spPr>
        <a:xfrm>
          <a:off x="14655800" y="9795933"/>
          <a:ext cx="524934" cy="2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508000</xdr:colOff>
      <xdr:row>41</xdr:row>
      <xdr:rowOff>16933</xdr:rowOff>
    </xdr:from>
    <xdr:to>
      <xdr:col>16</xdr:col>
      <xdr:colOff>863600</xdr:colOff>
      <xdr:row>42</xdr:row>
      <xdr:rowOff>0</xdr:rowOff>
    </xdr:to>
    <xdr:sp macro="" textlink="">
      <xdr:nvSpPr>
        <xdr:cNvPr id="28" name="화살표: 오른쪽 12">
          <a:extLst>
            <a:ext uri="{FF2B5EF4-FFF2-40B4-BE49-F238E27FC236}">
              <a16:creationId xmlns:a16="http://schemas.microsoft.com/office/drawing/2014/main" id="{D0D8BB10-3943-4C82-B58B-F76294B0A845}"/>
            </a:ext>
          </a:extLst>
        </xdr:cNvPr>
        <xdr:cNvSpPr/>
      </xdr:nvSpPr>
      <xdr:spPr>
        <a:xfrm>
          <a:off x="15163800" y="10312400"/>
          <a:ext cx="355600" cy="2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558800</xdr:colOff>
      <xdr:row>43</xdr:row>
      <xdr:rowOff>8467</xdr:rowOff>
    </xdr:from>
    <xdr:to>
      <xdr:col>17</xdr:col>
      <xdr:colOff>0</xdr:colOff>
      <xdr:row>43</xdr:row>
      <xdr:rowOff>262467</xdr:rowOff>
    </xdr:to>
    <xdr:sp macro="" textlink="">
      <xdr:nvSpPr>
        <xdr:cNvPr id="29" name="화살표: 오른쪽 12">
          <a:extLst>
            <a:ext uri="{FF2B5EF4-FFF2-40B4-BE49-F238E27FC236}">
              <a16:creationId xmlns:a16="http://schemas.microsoft.com/office/drawing/2014/main" id="{1E3207A1-77B7-478B-97AB-86AFB41CAF0F}"/>
            </a:ext>
          </a:extLst>
        </xdr:cNvPr>
        <xdr:cNvSpPr/>
      </xdr:nvSpPr>
      <xdr:spPr>
        <a:xfrm>
          <a:off x="15214600" y="10845800"/>
          <a:ext cx="355600" cy="254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zoomScale="120" zoomScaleNormal="120" workbookViewId="0">
      <selection activeCell="I9" sqref="I9"/>
    </sheetView>
  </sheetViews>
  <sheetFormatPr defaultColWidth="12.69921875" defaultRowHeight="15" customHeight="1"/>
  <cols>
    <col min="1" max="1" width="4" customWidth="1"/>
    <col min="2" max="2" width="25.296875" customWidth="1"/>
    <col min="3" max="3" width="19" customWidth="1"/>
    <col min="4" max="4" width="7.09765625" customWidth="1"/>
    <col min="5" max="5" width="6" customWidth="1"/>
    <col min="6" max="6" width="5.3984375" customWidth="1"/>
    <col min="7" max="7" width="6.398437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35.25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"&amp;"(주)파크시스탬스 고도화추가개발_2차"</f>
        <v>Project : (주)파크시스탬스 고도화추가개발_2차</v>
      </c>
      <c r="C3" s="5"/>
      <c r="D3" s="6"/>
      <c r="E3" s="5"/>
      <c r="F3" s="5"/>
      <c r="G3" s="5"/>
      <c r="H3" s="69" t="s">
        <v>1</v>
      </c>
      <c r="I3" s="70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47</v>
      </c>
      <c r="B5" s="5"/>
      <c r="C5" s="5"/>
      <c r="D5" s="5"/>
      <c r="E5" s="5"/>
      <c r="F5" s="5"/>
      <c r="G5" s="5"/>
      <c r="H5" s="10">
        <v>45453</v>
      </c>
      <c r="I5" s="11">
        <v>45565</v>
      </c>
    </row>
    <row r="6" spans="1:9" ht="30" customHeight="1">
      <c r="A6" s="71" t="s">
        <v>4</v>
      </c>
      <c r="B6" s="72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26" t="s">
        <v>2</v>
      </c>
      <c r="I6" s="26" t="s">
        <v>3</v>
      </c>
    </row>
    <row r="7" spans="1:9" ht="17.25" customHeight="1">
      <c r="A7" s="67" t="s">
        <v>10</v>
      </c>
      <c r="B7" s="68"/>
      <c r="C7" s="39"/>
      <c r="D7" s="40"/>
      <c r="E7" s="41"/>
      <c r="F7" s="25"/>
      <c r="G7" s="25"/>
      <c r="H7" s="42">
        <f>MIN(H8:H10)</f>
        <v>45453</v>
      </c>
      <c r="I7" s="42">
        <f>MAX(I8:I10)</f>
        <v>45565</v>
      </c>
    </row>
    <row r="8" spans="1:9" ht="17.25" customHeight="1">
      <c r="A8" s="65" t="s">
        <v>11</v>
      </c>
      <c r="B8" s="66"/>
      <c r="C8" s="13" t="s">
        <v>12</v>
      </c>
      <c r="D8" s="16" t="s">
        <v>13</v>
      </c>
      <c r="E8" s="17" t="s">
        <v>14</v>
      </c>
      <c r="F8" s="14">
        <v>1</v>
      </c>
      <c r="G8" s="14">
        <v>0.4</v>
      </c>
      <c r="H8" s="15">
        <v>45453</v>
      </c>
      <c r="I8" s="15">
        <v>45468</v>
      </c>
    </row>
    <row r="9" spans="1:9" ht="17.25" customHeight="1">
      <c r="A9" s="65" t="s">
        <v>15</v>
      </c>
      <c r="B9" s="66"/>
      <c r="C9" s="18" t="s">
        <v>16</v>
      </c>
      <c r="D9" s="16" t="s">
        <v>17</v>
      </c>
      <c r="E9" s="17" t="s">
        <v>14</v>
      </c>
      <c r="F9" s="14">
        <v>2</v>
      </c>
      <c r="G9" s="14">
        <v>2.4</v>
      </c>
      <c r="H9" s="15">
        <v>45469</v>
      </c>
      <c r="I9" s="15">
        <v>45541</v>
      </c>
    </row>
    <row r="10" spans="1:9" ht="17.25" customHeight="1">
      <c r="A10" s="65" t="s">
        <v>18</v>
      </c>
      <c r="B10" s="66"/>
      <c r="C10" s="18" t="s">
        <v>19</v>
      </c>
      <c r="D10" s="16" t="s">
        <v>17</v>
      </c>
      <c r="E10" s="17" t="s">
        <v>14</v>
      </c>
      <c r="F10" s="14">
        <v>2</v>
      </c>
      <c r="G10" s="14">
        <v>0.9</v>
      </c>
      <c r="H10" s="15">
        <v>45544</v>
      </c>
      <c r="I10" s="15">
        <v>45565</v>
      </c>
    </row>
    <row r="11" spans="1:9" ht="15.75" customHeight="1">
      <c r="A11" s="19"/>
      <c r="B11" s="19"/>
      <c r="C11" s="20"/>
      <c r="D11" s="21"/>
      <c r="E11" s="22"/>
      <c r="F11" s="23"/>
      <c r="G11" s="23"/>
      <c r="H11" s="24"/>
      <c r="I11" s="24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10">
    <cfRule type="cellIs" dxfId="16" priority="266" stopIfTrue="1" operator="equal">
      <formula>"진행"</formula>
    </cfRule>
    <cfRule type="cellIs" dxfId="15" priority="267" stopIfTrue="1" operator="equal">
      <formula>"완료"</formula>
    </cfRule>
    <cfRule type="cellIs" dxfId="14" priority="268" stopIfTrue="1" operator="equal">
      <formula>"진행"</formula>
    </cfRule>
    <cfRule type="cellIs" dxfId="13" priority="269" stopIfTrue="1" operator="equal">
      <formula>"지연"</formula>
    </cfRule>
  </conditionalFormatting>
  <conditionalFormatting sqref="F7:G9">
    <cfRule type="cellIs" dxfId="12" priority="2" stopIfTrue="1" operator="equal">
      <formula>"완료"</formula>
    </cfRule>
    <cfRule type="cellIs" dxfId="11" priority="3" stopIfTrue="1" operator="equal">
      <formula>"지연"</formula>
    </cfRule>
  </conditionalFormatting>
  <conditionalFormatting sqref="F7:G11">
    <cfRule type="cellIs" dxfId="10" priority="1" stopIfTrue="1" operator="equal">
      <formula>"진행"</formula>
    </cfRule>
  </conditionalFormatting>
  <conditionalFormatting sqref="F9:G9">
    <cfRule type="cellIs" dxfId="9" priority="4" stopIfTrue="1" operator="equal">
      <formula>"진행"</formula>
    </cfRule>
    <cfRule type="cellIs" dxfId="8" priority="6" stopIfTrue="1" operator="equal">
      <formula>"지연"</formula>
    </cfRule>
  </conditionalFormatting>
  <conditionalFormatting sqref="F9:G11">
    <cfRule type="cellIs" dxfId="7" priority="5" stopIfTrue="1" operator="equal">
      <formula>"완료"</formula>
    </cfRule>
  </conditionalFormatting>
  <conditionalFormatting sqref="F10:G10">
    <cfRule type="cellIs" dxfId="6" priority="11" stopIfTrue="1" operator="equal">
      <formula>"진행"</formula>
    </cfRule>
  </conditionalFormatting>
  <conditionalFormatting sqref="F10:G11">
    <cfRule type="cellIs" dxfId="5" priority="12" stopIfTrue="1" operator="equal">
      <formula>"지연"</formula>
    </cfRule>
  </conditionalFormatting>
  <conditionalFormatting sqref="G10">
    <cfRule type="cellIs" dxfId="4" priority="7" stopIfTrue="1" operator="equal">
      <formula>"진행"</formula>
    </cfRule>
    <cfRule type="cellIs" dxfId="3" priority="8" stopIfTrue="1" operator="equal">
      <formula>"지연"</formula>
    </cfRule>
    <cfRule type="cellIs" dxfId="2" priority="9" stopIfTrue="1" operator="equal">
      <formula>"진행"</formula>
    </cfRule>
    <cfRule type="cellIs" dxfId="1" priority="10" stopIfTrue="1" operator="equal">
      <formula>"완료"</formula>
    </cfRule>
  </conditionalFormatting>
  <conditionalFormatting sqref="I11">
    <cfRule type="cellIs" dxfId="0" priority="96" stopIfTrue="1" operator="lessThan">
      <formula>H11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D12C-1E47-4D18-AF78-C5A181B3D144}">
  <sheetPr>
    <pageSetUpPr fitToPage="1"/>
  </sheetPr>
  <dimension ref="B1:Q45"/>
  <sheetViews>
    <sheetView showGridLines="0" tabSelected="1" zoomScale="90" zoomScaleNormal="90" workbookViewId="0">
      <pane xSplit="9" ySplit="5" topLeftCell="J27" activePane="bottomRight" state="frozen"/>
      <selection pane="topRight" activeCell="AP1" sqref="AP1"/>
      <selection pane="bottomLeft" activeCell="A6" sqref="A6"/>
      <selection pane="bottomRight" activeCell="M28" sqref="M28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0.59765625" style="29" customWidth="1"/>
    <col min="4" max="4" width="12.3984375" style="60" customWidth="1"/>
    <col min="5" max="5" width="44" style="62" customWidth="1"/>
    <col min="6" max="6" width="5.69921875" style="29" customWidth="1"/>
    <col min="7" max="7" width="14.8984375" style="29" customWidth="1"/>
    <col min="8" max="8" width="13.296875" style="29" customWidth="1"/>
    <col min="9" max="9" width="6.19921875" style="29" customWidth="1"/>
    <col min="10" max="10" width="8.19921875" style="29" customWidth="1"/>
    <col min="11" max="17" width="12" style="29" customWidth="1"/>
    <col min="18" max="16384" width="8" style="29"/>
  </cols>
  <sheetData>
    <row r="1" spans="2:17" ht="33" customHeight="1">
      <c r="B1" s="27" t="s">
        <v>20</v>
      </c>
      <c r="C1" s="27"/>
      <c r="D1" s="27"/>
      <c r="E1" s="27"/>
      <c r="F1" s="27"/>
      <c r="G1" s="27"/>
      <c r="H1" s="28"/>
      <c r="I1" s="28"/>
    </row>
    <row r="2" spans="2:17" ht="19.5" customHeight="1">
      <c r="B2" s="30"/>
      <c r="C2" s="30"/>
      <c r="D2" s="53"/>
      <c r="E2" s="61"/>
      <c r="F2" s="28"/>
      <c r="G2" s="28"/>
      <c r="H2" s="28"/>
      <c r="I2" s="28"/>
    </row>
    <row r="3" spans="2:17" ht="13.5" customHeight="1">
      <c r="B3" s="27"/>
      <c r="C3" s="27"/>
      <c r="D3" s="52"/>
      <c r="E3" s="61"/>
      <c r="F3" s="28"/>
      <c r="G3" s="28"/>
      <c r="H3" s="28"/>
      <c r="I3" s="28"/>
    </row>
    <row r="4" spans="2:17" s="37" customFormat="1" ht="24" customHeight="1">
      <c r="B4" s="97" t="s">
        <v>21</v>
      </c>
      <c r="C4" s="98" t="s">
        <v>22</v>
      </c>
      <c r="D4" s="104" t="s">
        <v>23</v>
      </c>
      <c r="E4" s="100" t="s">
        <v>24</v>
      </c>
      <c r="F4" s="102" t="s">
        <v>25</v>
      </c>
      <c r="G4" s="97" t="s">
        <v>26</v>
      </c>
      <c r="H4" s="97"/>
      <c r="I4" s="107" t="s">
        <v>27</v>
      </c>
      <c r="J4" s="108" t="s">
        <v>72</v>
      </c>
      <c r="K4" s="109"/>
      <c r="L4" s="106" t="s">
        <v>73</v>
      </c>
      <c r="M4" s="106"/>
      <c r="N4" s="106" t="s">
        <v>74</v>
      </c>
      <c r="O4" s="106"/>
      <c r="P4" s="106" t="s">
        <v>75</v>
      </c>
      <c r="Q4" s="106"/>
    </row>
    <row r="5" spans="2:17" s="37" customFormat="1" ht="22.5" customHeight="1" thickBot="1">
      <c r="B5" s="98"/>
      <c r="C5" s="99"/>
      <c r="D5" s="105"/>
      <c r="E5" s="101"/>
      <c r="F5" s="103"/>
      <c r="G5" s="38" t="s">
        <v>28</v>
      </c>
      <c r="H5" s="38" t="s">
        <v>29</v>
      </c>
      <c r="I5" s="102"/>
      <c r="J5" s="48" t="s">
        <v>71</v>
      </c>
      <c r="K5" s="48" t="s">
        <v>70</v>
      </c>
      <c r="L5" s="48" t="s">
        <v>30</v>
      </c>
      <c r="M5" s="48" t="s">
        <v>31</v>
      </c>
      <c r="N5" s="48" t="s">
        <v>30</v>
      </c>
      <c r="O5" s="48" t="s">
        <v>77</v>
      </c>
      <c r="P5" s="48" t="s">
        <v>30</v>
      </c>
      <c r="Q5" s="48" t="s">
        <v>76</v>
      </c>
    </row>
    <row r="6" spans="2:17" s="32" customFormat="1" ht="21.75" customHeight="1">
      <c r="B6" s="83">
        <v>1</v>
      </c>
      <c r="C6" s="110" t="s">
        <v>32</v>
      </c>
      <c r="D6" s="54"/>
      <c r="E6" s="113" t="s">
        <v>68</v>
      </c>
      <c r="F6" s="96">
        <v>0</v>
      </c>
      <c r="G6" s="15">
        <v>45453</v>
      </c>
      <c r="H6" s="15">
        <v>45457</v>
      </c>
      <c r="I6" s="43" t="s">
        <v>33</v>
      </c>
      <c r="J6" s="44"/>
      <c r="K6" s="44"/>
      <c r="L6" s="44"/>
      <c r="M6" s="44"/>
      <c r="N6" s="44"/>
      <c r="O6" s="44"/>
      <c r="P6" s="44"/>
      <c r="Q6" s="44"/>
    </row>
    <row r="7" spans="2:17" s="32" customFormat="1" ht="21.75" customHeight="1">
      <c r="B7" s="78"/>
      <c r="C7" s="111"/>
      <c r="D7" s="55"/>
      <c r="E7" s="114"/>
      <c r="F7" s="76"/>
      <c r="G7" s="47"/>
      <c r="H7" s="47"/>
      <c r="I7" s="33" t="s">
        <v>34</v>
      </c>
      <c r="J7" s="47"/>
      <c r="K7" s="47"/>
      <c r="L7" s="47"/>
      <c r="M7" s="47"/>
      <c r="N7" s="47"/>
      <c r="O7" s="47"/>
      <c r="P7" s="47"/>
      <c r="Q7" s="47"/>
    </row>
    <row r="8" spans="2:17" s="32" customFormat="1" ht="21.75" customHeight="1">
      <c r="B8" s="77">
        <v>2</v>
      </c>
      <c r="C8" s="111"/>
      <c r="D8" s="55"/>
      <c r="E8" s="115" t="s">
        <v>69</v>
      </c>
      <c r="F8" s="81">
        <v>0</v>
      </c>
      <c r="G8" s="15">
        <v>45460</v>
      </c>
      <c r="H8" s="15">
        <v>45468</v>
      </c>
      <c r="I8" s="31" t="s">
        <v>33</v>
      </c>
      <c r="J8" s="36"/>
      <c r="K8" s="36"/>
      <c r="L8" s="36"/>
      <c r="M8" s="36"/>
      <c r="N8" s="36"/>
      <c r="O8" s="36"/>
      <c r="P8" s="36"/>
      <c r="Q8" s="36"/>
    </row>
    <row r="9" spans="2:17" s="32" customFormat="1" ht="21.75" customHeight="1" thickBot="1">
      <c r="B9" s="79"/>
      <c r="C9" s="112"/>
      <c r="D9" s="56"/>
      <c r="E9" s="116"/>
      <c r="F9" s="82"/>
      <c r="G9" s="47"/>
      <c r="H9" s="47"/>
      <c r="I9" s="45" t="s">
        <v>34</v>
      </c>
      <c r="J9" s="47"/>
      <c r="K9" s="47"/>
      <c r="L9" s="47"/>
      <c r="M9" s="47"/>
      <c r="N9" s="47"/>
      <c r="O9" s="47"/>
      <c r="P9" s="47"/>
      <c r="Q9" s="47"/>
    </row>
    <row r="10" spans="2:17" s="32" customFormat="1">
      <c r="B10" s="83">
        <v>4</v>
      </c>
      <c r="C10" s="89" t="s">
        <v>35</v>
      </c>
      <c r="D10" s="91">
        <v>1</v>
      </c>
      <c r="E10" s="94" t="s">
        <v>84</v>
      </c>
      <c r="F10" s="96">
        <v>0</v>
      </c>
      <c r="G10" s="15">
        <v>45467</v>
      </c>
      <c r="H10" s="15">
        <v>45468</v>
      </c>
      <c r="I10" s="43" t="s">
        <v>33</v>
      </c>
      <c r="J10" s="44"/>
      <c r="K10" s="44"/>
      <c r="L10" s="44"/>
      <c r="M10" s="44"/>
      <c r="N10" s="44"/>
      <c r="O10" s="44"/>
      <c r="P10" s="44"/>
      <c r="Q10" s="44"/>
    </row>
    <row r="11" spans="2:17" s="32" customFormat="1">
      <c r="B11" s="78"/>
      <c r="C11" s="90"/>
      <c r="D11" s="92"/>
      <c r="E11" s="95"/>
      <c r="F11" s="76"/>
      <c r="G11" s="47"/>
      <c r="H11" s="47"/>
      <c r="I11" s="33" t="s">
        <v>34</v>
      </c>
      <c r="J11" s="47"/>
      <c r="K11" s="47"/>
      <c r="L11" s="47"/>
      <c r="M11" s="47"/>
      <c r="N11" s="47"/>
      <c r="O11" s="47"/>
      <c r="P11" s="47"/>
      <c r="Q11" s="47"/>
    </row>
    <row r="12" spans="2:17" s="32" customFormat="1">
      <c r="B12" s="77">
        <v>5</v>
      </c>
      <c r="C12" s="90"/>
      <c r="D12" s="93" t="s">
        <v>85</v>
      </c>
      <c r="E12" s="94" t="s">
        <v>83</v>
      </c>
      <c r="F12" s="75">
        <v>0</v>
      </c>
      <c r="G12" s="15">
        <v>45469</v>
      </c>
      <c r="H12" s="15">
        <v>45471</v>
      </c>
      <c r="I12" s="31" t="s">
        <v>33</v>
      </c>
      <c r="J12" s="36"/>
      <c r="K12" s="36"/>
      <c r="L12" s="36"/>
      <c r="M12" s="36"/>
      <c r="N12" s="36"/>
      <c r="O12" s="36"/>
      <c r="P12" s="36"/>
      <c r="Q12" s="36"/>
    </row>
    <row r="13" spans="2:17" s="32" customFormat="1">
      <c r="B13" s="78"/>
      <c r="C13" s="90"/>
      <c r="D13" s="92"/>
      <c r="E13" s="95"/>
      <c r="F13" s="76"/>
      <c r="G13" s="47"/>
      <c r="H13" s="47"/>
      <c r="I13" s="33" t="s">
        <v>34</v>
      </c>
      <c r="J13" s="47"/>
      <c r="K13" s="47"/>
      <c r="L13" s="47"/>
      <c r="M13" s="47"/>
      <c r="N13" s="47"/>
      <c r="O13" s="47"/>
      <c r="P13" s="47"/>
      <c r="Q13" s="47"/>
    </row>
    <row r="14" spans="2:17" s="32" customFormat="1">
      <c r="B14" s="77">
        <v>6</v>
      </c>
      <c r="C14" s="90"/>
      <c r="D14" s="93" t="s">
        <v>86</v>
      </c>
      <c r="E14" s="94" t="s">
        <v>82</v>
      </c>
      <c r="F14" s="75">
        <v>0</v>
      </c>
      <c r="G14" s="15">
        <v>45474</v>
      </c>
      <c r="H14" s="15">
        <v>45475</v>
      </c>
      <c r="I14" s="31" t="s">
        <v>33</v>
      </c>
      <c r="J14" s="36"/>
      <c r="K14" s="36"/>
      <c r="L14" s="36"/>
      <c r="M14" s="36"/>
      <c r="N14" s="36"/>
      <c r="O14" s="36"/>
      <c r="P14" s="36"/>
      <c r="Q14" s="36"/>
    </row>
    <row r="15" spans="2:17" s="32" customFormat="1">
      <c r="B15" s="78"/>
      <c r="C15" s="90"/>
      <c r="D15" s="92"/>
      <c r="E15" s="95"/>
      <c r="F15" s="76"/>
      <c r="G15" s="47"/>
      <c r="H15" s="47"/>
      <c r="I15" s="33" t="s">
        <v>34</v>
      </c>
      <c r="J15" s="47"/>
      <c r="K15" s="47"/>
      <c r="L15" s="47"/>
      <c r="M15" s="47"/>
      <c r="N15" s="47"/>
      <c r="O15" s="47"/>
      <c r="P15" s="47"/>
      <c r="Q15" s="47"/>
    </row>
    <row r="16" spans="2:17" s="32" customFormat="1">
      <c r="B16" s="77">
        <v>7</v>
      </c>
      <c r="C16" s="90"/>
      <c r="D16" s="93" t="s">
        <v>36</v>
      </c>
      <c r="E16" s="94" t="s">
        <v>81</v>
      </c>
      <c r="F16" s="75">
        <v>0</v>
      </c>
      <c r="G16" s="15">
        <v>45476</v>
      </c>
      <c r="H16" s="15">
        <v>45482</v>
      </c>
      <c r="I16" s="31" t="s">
        <v>33</v>
      </c>
      <c r="J16" s="36"/>
      <c r="K16" s="36"/>
      <c r="L16" s="36"/>
      <c r="M16" s="36"/>
      <c r="N16" s="36"/>
      <c r="O16" s="36"/>
      <c r="P16" s="36"/>
      <c r="Q16" s="36"/>
    </row>
    <row r="17" spans="2:17" s="32" customFormat="1">
      <c r="B17" s="78"/>
      <c r="C17" s="90"/>
      <c r="D17" s="92"/>
      <c r="E17" s="95"/>
      <c r="F17" s="76"/>
      <c r="G17" s="47"/>
      <c r="H17" s="47"/>
      <c r="I17" s="33" t="s">
        <v>34</v>
      </c>
      <c r="J17" s="47"/>
      <c r="K17" s="47"/>
      <c r="L17" s="47"/>
      <c r="M17" s="47"/>
      <c r="N17" s="47"/>
      <c r="O17" s="47"/>
      <c r="P17" s="47"/>
      <c r="Q17" s="47"/>
    </row>
    <row r="18" spans="2:17" s="32" customFormat="1">
      <c r="B18" s="77">
        <v>9</v>
      </c>
      <c r="C18" s="90"/>
      <c r="D18" s="93" t="s">
        <v>37</v>
      </c>
      <c r="E18" s="94" t="s">
        <v>89</v>
      </c>
      <c r="F18" s="75">
        <v>0</v>
      </c>
      <c r="G18" s="15">
        <v>45483</v>
      </c>
      <c r="H18" s="15">
        <v>45489</v>
      </c>
      <c r="I18" s="31" t="s">
        <v>33</v>
      </c>
      <c r="J18" s="36"/>
      <c r="K18" s="36"/>
      <c r="L18" s="36"/>
      <c r="M18" s="36"/>
      <c r="N18" s="36"/>
      <c r="O18" s="36"/>
      <c r="P18" s="36"/>
      <c r="Q18" s="36"/>
    </row>
    <row r="19" spans="2:17" s="32" customFormat="1">
      <c r="B19" s="78"/>
      <c r="C19" s="90"/>
      <c r="D19" s="92"/>
      <c r="E19" s="95"/>
      <c r="F19" s="76"/>
      <c r="G19" s="47"/>
      <c r="H19" s="47"/>
      <c r="I19" s="33" t="s">
        <v>34</v>
      </c>
      <c r="J19" s="47"/>
      <c r="K19" s="47"/>
      <c r="L19" s="47"/>
      <c r="M19" s="47"/>
      <c r="N19" s="47"/>
      <c r="O19" s="47"/>
      <c r="P19" s="47"/>
      <c r="Q19" s="47"/>
    </row>
    <row r="20" spans="2:17" s="32" customFormat="1">
      <c r="B20" s="77">
        <v>10</v>
      </c>
      <c r="C20" s="90"/>
      <c r="D20" s="93" t="s">
        <v>87</v>
      </c>
      <c r="E20" s="94" t="s">
        <v>90</v>
      </c>
      <c r="F20" s="81">
        <v>0</v>
      </c>
      <c r="G20" s="15">
        <v>45490</v>
      </c>
      <c r="H20" s="15">
        <v>45491</v>
      </c>
      <c r="I20" s="31" t="s">
        <v>33</v>
      </c>
      <c r="J20" s="36"/>
      <c r="K20" s="36"/>
      <c r="L20" s="36"/>
      <c r="M20" s="36"/>
      <c r="N20" s="36"/>
      <c r="O20" s="36"/>
      <c r="P20" s="36"/>
      <c r="Q20" s="36"/>
    </row>
    <row r="21" spans="2:17" s="32" customFormat="1">
      <c r="B21" s="78"/>
      <c r="C21" s="90"/>
      <c r="D21" s="92"/>
      <c r="E21" s="95"/>
      <c r="F21" s="88"/>
      <c r="G21" s="47"/>
      <c r="H21" s="47"/>
      <c r="I21" s="33" t="s">
        <v>34</v>
      </c>
      <c r="J21" s="47"/>
      <c r="K21" s="47"/>
      <c r="L21" s="47"/>
      <c r="M21" s="47"/>
      <c r="N21" s="47"/>
      <c r="O21" s="47"/>
      <c r="P21" s="47"/>
      <c r="Q21" s="47"/>
    </row>
    <row r="22" spans="2:17" s="32" customFormat="1">
      <c r="B22" s="77">
        <v>11</v>
      </c>
      <c r="C22" s="90"/>
      <c r="D22" s="93" t="s">
        <v>88</v>
      </c>
      <c r="E22" s="94" t="s">
        <v>91</v>
      </c>
      <c r="F22" s="81">
        <v>0</v>
      </c>
      <c r="G22" s="15">
        <v>45492</v>
      </c>
      <c r="H22" s="15">
        <v>45498</v>
      </c>
      <c r="I22" s="31" t="s">
        <v>33</v>
      </c>
      <c r="J22" s="36"/>
      <c r="K22" s="36"/>
      <c r="L22" s="36"/>
      <c r="M22" s="36"/>
      <c r="N22" s="36"/>
      <c r="O22" s="36"/>
      <c r="P22" s="36"/>
      <c r="Q22" s="36"/>
    </row>
    <row r="23" spans="2:17" s="32" customFormat="1">
      <c r="B23" s="78"/>
      <c r="C23" s="90"/>
      <c r="D23" s="92"/>
      <c r="E23" s="95"/>
      <c r="F23" s="88"/>
      <c r="G23" s="47"/>
      <c r="H23" s="47"/>
      <c r="I23" s="33" t="s">
        <v>34</v>
      </c>
      <c r="J23" s="47"/>
      <c r="K23" s="47"/>
      <c r="L23" s="47"/>
      <c r="M23" s="47"/>
      <c r="N23" s="47"/>
      <c r="O23" s="47"/>
      <c r="P23" s="47"/>
      <c r="Q23" s="47"/>
    </row>
    <row r="24" spans="2:17" s="32" customFormat="1">
      <c r="B24" s="77">
        <v>12</v>
      </c>
      <c r="C24" s="90"/>
      <c r="D24" s="93" t="s">
        <v>38</v>
      </c>
      <c r="E24" s="94" t="s">
        <v>92</v>
      </c>
      <c r="F24" s="81">
        <v>0</v>
      </c>
      <c r="G24" s="15">
        <v>45499</v>
      </c>
      <c r="H24" s="15">
        <v>45509</v>
      </c>
      <c r="I24" s="31" t="s">
        <v>33</v>
      </c>
      <c r="J24" s="36"/>
      <c r="K24" s="36"/>
      <c r="L24" s="36"/>
      <c r="M24" s="36"/>
      <c r="N24" s="36"/>
      <c r="O24" s="36"/>
      <c r="P24" s="36"/>
      <c r="Q24" s="36"/>
    </row>
    <row r="25" spans="2:17" s="32" customFormat="1">
      <c r="B25" s="78"/>
      <c r="C25" s="90"/>
      <c r="D25" s="92"/>
      <c r="E25" s="95"/>
      <c r="F25" s="88"/>
      <c r="G25" s="47"/>
      <c r="H25" s="47"/>
      <c r="I25" s="33" t="s">
        <v>34</v>
      </c>
      <c r="J25" s="47"/>
      <c r="K25" s="47"/>
      <c r="L25" s="47"/>
      <c r="M25" s="47"/>
      <c r="N25" s="47"/>
      <c r="O25" s="47"/>
      <c r="P25" s="47"/>
      <c r="Q25" s="47"/>
    </row>
    <row r="26" spans="2:17" s="32" customFormat="1">
      <c r="B26" s="77">
        <v>12</v>
      </c>
      <c r="C26" s="90"/>
      <c r="D26" s="93" t="s">
        <v>39</v>
      </c>
      <c r="E26" s="94" t="s">
        <v>93</v>
      </c>
      <c r="F26" s="81">
        <v>0</v>
      </c>
      <c r="G26" s="15">
        <v>45510</v>
      </c>
      <c r="H26" s="15">
        <v>45523</v>
      </c>
      <c r="I26" s="31" t="s">
        <v>33</v>
      </c>
      <c r="J26" s="36"/>
      <c r="K26" s="36"/>
      <c r="L26" s="36"/>
      <c r="M26" s="36"/>
      <c r="N26" s="36"/>
      <c r="O26" s="36"/>
      <c r="P26" s="36"/>
      <c r="Q26" s="36"/>
    </row>
    <row r="27" spans="2:17" s="32" customFormat="1">
      <c r="B27" s="78"/>
      <c r="C27" s="90"/>
      <c r="D27" s="92"/>
      <c r="E27" s="95"/>
      <c r="F27" s="88"/>
      <c r="G27" s="47"/>
      <c r="H27" s="47"/>
      <c r="I27" s="33" t="s">
        <v>34</v>
      </c>
      <c r="J27" s="47"/>
      <c r="K27" s="47"/>
      <c r="L27" s="47"/>
      <c r="M27" s="47"/>
      <c r="N27" s="47"/>
      <c r="O27" s="47"/>
      <c r="P27" s="47"/>
      <c r="Q27" s="47"/>
    </row>
    <row r="28" spans="2:17" s="32" customFormat="1">
      <c r="B28" s="77">
        <v>4</v>
      </c>
      <c r="C28" s="90"/>
      <c r="D28" s="93" t="s">
        <v>40</v>
      </c>
      <c r="E28" s="74" t="s">
        <v>94</v>
      </c>
      <c r="F28" s="75">
        <v>0</v>
      </c>
      <c r="G28" s="15">
        <v>45524</v>
      </c>
      <c r="H28" s="15">
        <v>45531</v>
      </c>
      <c r="I28" s="31" t="s">
        <v>33</v>
      </c>
      <c r="J28" s="36"/>
      <c r="K28" s="36"/>
      <c r="L28" s="36"/>
      <c r="M28" s="36"/>
      <c r="N28" s="36"/>
      <c r="O28" s="36"/>
      <c r="P28" s="36"/>
      <c r="Q28" s="36"/>
    </row>
    <row r="29" spans="2:17" s="32" customFormat="1">
      <c r="B29" s="78"/>
      <c r="C29" s="90"/>
      <c r="D29" s="92"/>
      <c r="E29" s="74"/>
      <c r="F29" s="76"/>
      <c r="G29" s="47"/>
      <c r="H29" s="47"/>
      <c r="I29" s="33" t="s">
        <v>34</v>
      </c>
      <c r="J29" s="47"/>
      <c r="K29" s="47"/>
      <c r="L29" s="47"/>
      <c r="M29" s="47"/>
      <c r="N29" s="47"/>
      <c r="O29" s="47"/>
      <c r="P29" s="47"/>
      <c r="Q29" s="47"/>
    </row>
    <row r="30" spans="2:17" s="32" customFormat="1">
      <c r="B30" s="77">
        <v>5</v>
      </c>
      <c r="C30" s="90"/>
      <c r="D30" s="73" t="s">
        <v>41</v>
      </c>
      <c r="E30" s="74" t="s">
        <v>95</v>
      </c>
      <c r="F30" s="75">
        <v>0</v>
      </c>
      <c r="G30" s="15">
        <v>45532</v>
      </c>
      <c r="H30" s="15">
        <v>45533</v>
      </c>
      <c r="I30" s="31" t="s">
        <v>33</v>
      </c>
      <c r="J30" s="36"/>
      <c r="K30" s="36"/>
      <c r="L30" s="36"/>
      <c r="M30" s="36"/>
      <c r="N30" s="36"/>
      <c r="O30" s="36"/>
      <c r="P30" s="36"/>
      <c r="Q30" s="36"/>
    </row>
    <row r="31" spans="2:17" s="32" customFormat="1">
      <c r="B31" s="78"/>
      <c r="C31" s="90"/>
      <c r="D31" s="73"/>
      <c r="E31" s="74"/>
      <c r="F31" s="76"/>
      <c r="G31" s="47"/>
      <c r="H31" s="47"/>
      <c r="I31" s="33" t="s">
        <v>34</v>
      </c>
      <c r="J31" s="47"/>
      <c r="K31" s="47"/>
      <c r="L31" s="47"/>
      <c r="M31" s="47"/>
      <c r="N31" s="47"/>
      <c r="O31" s="47"/>
      <c r="P31" s="47"/>
      <c r="Q31" s="47"/>
    </row>
    <row r="32" spans="2:17" s="32" customFormat="1">
      <c r="B32" s="64"/>
      <c r="C32" s="90"/>
      <c r="D32" s="73" t="s">
        <v>42</v>
      </c>
      <c r="E32" s="74" t="s">
        <v>96</v>
      </c>
      <c r="F32" s="75">
        <v>0</v>
      </c>
      <c r="G32" s="15">
        <v>45534</v>
      </c>
      <c r="H32" s="15">
        <v>45537</v>
      </c>
      <c r="I32" s="33"/>
      <c r="J32" s="47"/>
      <c r="K32" s="47"/>
      <c r="L32" s="47"/>
      <c r="M32" s="47"/>
      <c r="N32" s="47"/>
      <c r="O32" s="47"/>
      <c r="P32" s="47"/>
      <c r="Q32" s="47"/>
    </row>
    <row r="33" spans="2:17" s="32" customFormat="1">
      <c r="B33" s="64"/>
      <c r="C33" s="90"/>
      <c r="D33" s="73"/>
      <c r="E33" s="74"/>
      <c r="F33" s="76"/>
      <c r="G33" s="47"/>
      <c r="H33" s="47"/>
      <c r="I33" s="33"/>
      <c r="J33" s="47"/>
      <c r="K33" s="47"/>
      <c r="L33" s="47"/>
      <c r="M33" s="47"/>
      <c r="N33" s="47"/>
      <c r="O33" s="47"/>
      <c r="P33" s="47"/>
      <c r="Q33" s="47"/>
    </row>
    <row r="34" spans="2:17" s="32" customFormat="1">
      <c r="B34" s="77">
        <v>6</v>
      </c>
      <c r="C34" s="90"/>
      <c r="D34" s="73" t="s">
        <v>43</v>
      </c>
      <c r="E34" s="74" t="s">
        <v>97</v>
      </c>
      <c r="F34" s="75">
        <v>0</v>
      </c>
      <c r="G34" s="15">
        <v>45537</v>
      </c>
      <c r="H34" s="15">
        <v>45541</v>
      </c>
      <c r="I34" s="31" t="s">
        <v>33</v>
      </c>
      <c r="J34" s="36"/>
      <c r="K34" s="36"/>
      <c r="L34" s="36"/>
      <c r="M34" s="36"/>
      <c r="N34" s="36"/>
      <c r="O34" s="36"/>
      <c r="P34" s="36"/>
      <c r="Q34" s="36"/>
    </row>
    <row r="35" spans="2:17" s="32" customFormat="1" ht="18" thickBot="1">
      <c r="B35" s="78"/>
      <c r="C35" s="90"/>
      <c r="D35" s="73"/>
      <c r="E35" s="74"/>
      <c r="F35" s="76"/>
      <c r="G35" s="47"/>
      <c r="H35" s="47"/>
      <c r="I35" s="33" t="s">
        <v>34</v>
      </c>
      <c r="J35" s="47"/>
      <c r="K35" s="47"/>
      <c r="L35" s="47"/>
      <c r="M35" s="47"/>
      <c r="N35" s="47"/>
      <c r="O35" s="47"/>
      <c r="P35" s="47"/>
      <c r="Q35" s="47"/>
    </row>
    <row r="36" spans="2:17" s="32" customFormat="1" ht="21.75" customHeight="1">
      <c r="B36" s="83">
        <v>13</v>
      </c>
      <c r="C36" s="84" t="s">
        <v>44</v>
      </c>
      <c r="D36" s="57"/>
      <c r="E36" s="80" t="s">
        <v>78</v>
      </c>
      <c r="F36" s="87">
        <v>0</v>
      </c>
      <c r="G36" s="15">
        <v>45505</v>
      </c>
      <c r="H36" s="46"/>
      <c r="I36" s="43" t="s">
        <v>33</v>
      </c>
      <c r="J36" s="44"/>
      <c r="K36" s="44"/>
      <c r="L36" s="44"/>
      <c r="M36" s="44"/>
      <c r="N36" s="44"/>
      <c r="O36" s="44"/>
      <c r="P36" s="44"/>
      <c r="Q36" s="44"/>
    </row>
    <row r="37" spans="2:17" s="32" customFormat="1" ht="21.75" customHeight="1">
      <c r="B37" s="78"/>
      <c r="C37" s="85"/>
      <c r="D37" s="58"/>
      <c r="E37" s="80"/>
      <c r="F37" s="88"/>
      <c r="G37" s="47"/>
      <c r="H37" s="47"/>
      <c r="I37" s="33" t="s">
        <v>34</v>
      </c>
      <c r="J37" s="47"/>
      <c r="K37" s="47"/>
      <c r="L37" s="47"/>
      <c r="M37" s="47"/>
      <c r="N37" s="47"/>
      <c r="O37" s="47"/>
      <c r="P37" s="47"/>
      <c r="Q37" s="47"/>
    </row>
    <row r="38" spans="2:17" s="32" customFormat="1" ht="21.75" customHeight="1">
      <c r="B38" s="77">
        <v>14</v>
      </c>
      <c r="C38" s="85"/>
      <c r="D38" s="58"/>
      <c r="E38" s="80" t="s">
        <v>79</v>
      </c>
      <c r="F38" s="81">
        <v>0</v>
      </c>
      <c r="G38" s="34"/>
      <c r="H38" s="34"/>
      <c r="I38" s="31" t="s">
        <v>33</v>
      </c>
      <c r="J38" s="36"/>
      <c r="K38" s="36"/>
      <c r="L38" s="36"/>
      <c r="M38" s="36"/>
      <c r="N38" s="36"/>
      <c r="O38" s="36"/>
      <c r="P38" s="36"/>
      <c r="Q38" s="36"/>
    </row>
    <row r="39" spans="2:17" s="32" customFormat="1" ht="21.75" customHeight="1">
      <c r="B39" s="78"/>
      <c r="C39" s="85"/>
      <c r="D39" s="58"/>
      <c r="E39" s="80"/>
      <c r="F39" s="88"/>
      <c r="G39" s="47"/>
      <c r="H39" s="47"/>
      <c r="I39" s="33" t="s">
        <v>34</v>
      </c>
      <c r="J39" s="47"/>
      <c r="K39" s="47"/>
      <c r="L39" s="47"/>
      <c r="M39" s="47"/>
      <c r="N39" s="47"/>
      <c r="O39" s="47"/>
      <c r="P39" s="47"/>
      <c r="Q39" s="47"/>
    </row>
    <row r="40" spans="2:17" s="32" customFormat="1" ht="21.75" customHeight="1">
      <c r="B40" s="77">
        <v>15</v>
      </c>
      <c r="C40" s="85"/>
      <c r="D40" s="58"/>
      <c r="E40" s="80" t="s">
        <v>80</v>
      </c>
      <c r="F40" s="81">
        <v>0</v>
      </c>
      <c r="G40" s="34"/>
      <c r="H40" s="34"/>
      <c r="I40" s="31" t="s">
        <v>33</v>
      </c>
      <c r="J40" s="36"/>
      <c r="K40" s="36"/>
      <c r="L40" s="36"/>
      <c r="M40" s="36"/>
      <c r="N40" s="36"/>
      <c r="O40" s="36"/>
      <c r="P40" s="36"/>
      <c r="Q40" s="36"/>
    </row>
    <row r="41" spans="2:17" s="32" customFormat="1" ht="21.75" customHeight="1">
      <c r="B41" s="78"/>
      <c r="C41" s="85"/>
      <c r="D41" s="58"/>
      <c r="E41" s="80"/>
      <c r="F41" s="88"/>
      <c r="G41" s="47"/>
      <c r="H41" s="47"/>
      <c r="I41" s="33" t="s">
        <v>34</v>
      </c>
      <c r="J41" s="47"/>
      <c r="K41" s="47"/>
      <c r="L41" s="47"/>
      <c r="M41" s="47"/>
      <c r="N41" s="47"/>
      <c r="O41" s="47"/>
      <c r="P41" s="47"/>
      <c r="Q41" s="47"/>
    </row>
    <row r="42" spans="2:17" s="32" customFormat="1" ht="21.75" customHeight="1">
      <c r="B42" s="77">
        <v>16</v>
      </c>
      <c r="C42" s="85"/>
      <c r="D42" s="58"/>
      <c r="E42" s="80" t="s">
        <v>45</v>
      </c>
      <c r="F42" s="81">
        <v>0</v>
      </c>
      <c r="G42" s="34"/>
      <c r="H42" s="34"/>
      <c r="I42" s="31" t="s">
        <v>33</v>
      </c>
      <c r="J42" s="35"/>
      <c r="K42" s="35"/>
      <c r="L42" s="35"/>
      <c r="M42" s="35"/>
      <c r="N42" s="35"/>
      <c r="O42" s="35"/>
      <c r="P42" s="35"/>
      <c r="Q42" s="35"/>
    </row>
    <row r="43" spans="2:17" s="32" customFormat="1" ht="21.75" customHeight="1">
      <c r="B43" s="78"/>
      <c r="C43" s="85"/>
      <c r="D43" s="58"/>
      <c r="E43" s="80"/>
      <c r="F43" s="88"/>
      <c r="G43" s="47"/>
      <c r="H43" s="47"/>
      <c r="I43" s="33" t="s">
        <v>34</v>
      </c>
      <c r="J43" s="47"/>
      <c r="K43" s="47"/>
      <c r="L43" s="47"/>
      <c r="M43" s="47"/>
      <c r="N43" s="47"/>
      <c r="O43" s="47"/>
      <c r="P43" s="47"/>
      <c r="Q43" s="47"/>
    </row>
    <row r="44" spans="2:17" s="32" customFormat="1" ht="21.75" customHeight="1">
      <c r="B44" s="77">
        <v>17</v>
      </c>
      <c r="C44" s="85"/>
      <c r="D44" s="58"/>
      <c r="E44" s="80" t="s">
        <v>46</v>
      </c>
      <c r="F44" s="81">
        <v>0</v>
      </c>
      <c r="G44" s="34"/>
      <c r="H44" s="15">
        <v>45565</v>
      </c>
      <c r="I44" s="31" t="s">
        <v>33</v>
      </c>
      <c r="J44" s="35"/>
      <c r="K44" s="35"/>
      <c r="L44" s="35"/>
      <c r="M44" s="35"/>
      <c r="N44" s="35"/>
      <c r="O44" s="35"/>
      <c r="P44" s="35"/>
      <c r="Q44" s="35"/>
    </row>
    <row r="45" spans="2:17" s="32" customFormat="1" ht="21.75" customHeight="1" thickBot="1">
      <c r="B45" s="79"/>
      <c r="C45" s="86"/>
      <c r="D45" s="59"/>
      <c r="E45" s="80"/>
      <c r="F45" s="82"/>
      <c r="G45" s="47"/>
      <c r="H45" s="47"/>
      <c r="I45" s="45" t="s">
        <v>34</v>
      </c>
      <c r="J45" s="47"/>
      <c r="K45" s="47"/>
      <c r="L45" s="47"/>
      <c r="M45" s="47"/>
      <c r="N45" s="47"/>
      <c r="O45" s="47"/>
      <c r="P45" s="47"/>
      <c r="Q45" s="47"/>
    </row>
  </sheetData>
  <mergeCells count="86">
    <mergeCell ref="G4:H4"/>
    <mergeCell ref="D4:D5"/>
    <mergeCell ref="L4:M4"/>
    <mergeCell ref="N4:O4"/>
    <mergeCell ref="P4:Q4"/>
    <mergeCell ref="I4:I5"/>
    <mergeCell ref="J4:K4"/>
    <mergeCell ref="E18:E19"/>
    <mergeCell ref="F18:F19"/>
    <mergeCell ref="D18:D19"/>
    <mergeCell ref="B4:B5"/>
    <mergeCell ref="C4:C5"/>
    <mergeCell ref="E4:E5"/>
    <mergeCell ref="F4:F5"/>
    <mergeCell ref="B6:B7"/>
    <mergeCell ref="C6:C9"/>
    <mergeCell ref="E6:E7"/>
    <mergeCell ref="F6:F7"/>
    <mergeCell ref="B8:B9"/>
    <mergeCell ref="E8:E9"/>
    <mergeCell ref="F8:F9"/>
    <mergeCell ref="B10:B11"/>
    <mergeCell ref="B16:B17"/>
    <mergeCell ref="E10:E11"/>
    <mergeCell ref="F10:F11"/>
    <mergeCell ref="B12:B13"/>
    <mergeCell ref="E12:E13"/>
    <mergeCell ref="F12:F13"/>
    <mergeCell ref="E16:E17"/>
    <mergeCell ref="F16:F17"/>
    <mergeCell ref="E14:E15"/>
    <mergeCell ref="F14:F15"/>
    <mergeCell ref="B24:B25"/>
    <mergeCell ref="E24:E25"/>
    <mergeCell ref="F24:F25"/>
    <mergeCell ref="B20:B21"/>
    <mergeCell ref="E20:E21"/>
    <mergeCell ref="F20:F21"/>
    <mergeCell ref="B22:B23"/>
    <mergeCell ref="E22:E23"/>
    <mergeCell ref="F22:F23"/>
    <mergeCell ref="D20:D21"/>
    <mergeCell ref="D24:D25"/>
    <mergeCell ref="D22:D23"/>
    <mergeCell ref="D16:D17"/>
    <mergeCell ref="B18:B19"/>
    <mergeCell ref="B28:B29"/>
    <mergeCell ref="F28:F29"/>
    <mergeCell ref="B30:B31"/>
    <mergeCell ref="E28:E29"/>
    <mergeCell ref="F30:F31"/>
    <mergeCell ref="D30:D31"/>
    <mergeCell ref="C10:C35"/>
    <mergeCell ref="D10:D11"/>
    <mergeCell ref="D12:D13"/>
    <mergeCell ref="D14:D15"/>
    <mergeCell ref="B26:B27"/>
    <mergeCell ref="E26:E27"/>
    <mergeCell ref="F26:F27"/>
    <mergeCell ref="D26:D27"/>
    <mergeCell ref="D28:D29"/>
    <mergeCell ref="B14:B15"/>
    <mergeCell ref="B44:B45"/>
    <mergeCell ref="E44:E45"/>
    <mergeCell ref="F44:F45"/>
    <mergeCell ref="B36:B37"/>
    <mergeCell ref="C36:C45"/>
    <mergeCell ref="E36:E37"/>
    <mergeCell ref="F36:F37"/>
    <mergeCell ref="B38:B39"/>
    <mergeCell ref="E38:E39"/>
    <mergeCell ref="F38:F39"/>
    <mergeCell ref="B40:B41"/>
    <mergeCell ref="E40:E41"/>
    <mergeCell ref="F40:F41"/>
    <mergeCell ref="B42:B43"/>
    <mergeCell ref="E42:E43"/>
    <mergeCell ref="F42:F43"/>
    <mergeCell ref="D32:D33"/>
    <mergeCell ref="E30:E31"/>
    <mergeCell ref="E32:E33"/>
    <mergeCell ref="F32:F33"/>
    <mergeCell ref="B34:B35"/>
    <mergeCell ref="E34:E35"/>
    <mergeCell ref="F34:F35"/>
    <mergeCell ref="D34:D35"/>
  </mergeCells>
  <phoneticPr fontId="13" type="noConversion"/>
  <conditionalFormatting sqref="F6:F7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{ED9E61FB-F016-405D-A097-64148191BC4F}</x14:id>
        </ext>
      </extLst>
    </cfRule>
  </conditionalFormatting>
  <conditionalFormatting sqref="F8:F9">
    <cfRule type="dataBar" priority="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{4D8D647C-B967-4E80-BAA7-F77E24D72D18}</x14:id>
        </ext>
      </extLst>
    </cfRule>
  </conditionalFormatting>
  <conditionalFormatting sqref="F10:F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{66275BCA-3B7F-4126-A60B-51857D905815}</x14:id>
        </ext>
      </extLst>
    </cfRule>
  </conditionalFormatting>
  <conditionalFormatting sqref="F12:F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{6DBEFFA5-25C7-4EA0-85F2-0E8B2397F0D2}</x14:id>
        </ext>
      </extLst>
    </cfRule>
  </conditionalFormatting>
  <conditionalFormatting sqref="F14:F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{62AA47A6-135D-427F-8A34-4B08C4839F7F}</x14:id>
        </ext>
      </extLst>
    </cfRule>
  </conditionalFormatting>
  <conditionalFormatting sqref="F16:F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{AC8B7454-830B-47B0-984B-1614A3DFA067}</x14:id>
        </ext>
      </extLst>
    </cfRule>
  </conditionalFormatting>
  <conditionalFormatting sqref="F18:F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{0BFA8D00-B912-4FB1-BAD2-8DF489B02C3F}</x14:id>
        </ext>
      </extLst>
    </cfRule>
  </conditionalFormatting>
  <conditionalFormatting sqref="F20:F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{AEE87F9E-4A5E-43A7-BC8C-1265B1EDCC7E}</x14:id>
        </ext>
      </extLst>
    </cfRule>
  </conditionalFormatting>
  <conditionalFormatting sqref="F22:F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{8E35FAAD-5B1B-4AE7-B03B-64C01EB28D4F}</x14:id>
        </ext>
      </extLst>
    </cfRule>
  </conditionalFormatting>
  <conditionalFormatting sqref="F24:F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{E74C681F-85E8-4B0A-A252-CF89728E28D5}</x14:id>
        </ext>
      </extLst>
    </cfRule>
  </conditionalFormatting>
  <conditionalFormatting sqref="F28:F29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{E20983F7-BE79-4320-939D-694A099F9888}</x14:id>
        </ext>
      </extLst>
    </cfRule>
  </conditionalFormatting>
  <conditionalFormatting sqref="F30:F33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{A4362EA7-2BA8-4369-A7DB-01E4443C2C8A}</x14:id>
        </ext>
      </extLst>
    </cfRule>
  </conditionalFormatting>
  <conditionalFormatting sqref="F34:F35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{4FE70698-FDE2-417A-8A6D-7595EBF32DED}</x14:id>
        </ext>
      </extLst>
    </cfRule>
  </conditionalFormatting>
  <conditionalFormatting sqref="F36:F37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{2E5AF7C1-F204-4E95-A01E-EB531F7AF46D}</x14:id>
        </ext>
      </extLst>
    </cfRule>
  </conditionalFormatting>
  <conditionalFormatting sqref="F38:F39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{8DCAC940-B71A-46E9-BC86-9CF1C93D9B78}</x14:id>
        </ext>
      </extLst>
    </cfRule>
  </conditionalFormatting>
  <conditionalFormatting sqref="F40:F41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{F2240A70-D7BC-42DC-A238-42DB4A667FB8}</x14:id>
        </ext>
      </extLst>
    </cfRule>
  </conditionalFormatting>
  <conditionalFormatting sqref="F42:F43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{8B8B34D8-CEA9-495C-9357-5E9E4C03336A}</x14:id>
        </ext>
      </extLst>
    </cfRule>
  </conditionalFormatting>
  <conditionalFormatting sqref="F44:F45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{17EF949E-FD96-41A4-960F-1A7F7FA0C158}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E61FB-F016-405D-A097-64148191BC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F6:F7</xm:sqref>
        </x14:conditionalFormatting>
        <x14:conditionalFormatting xmlns:xm="http://schemas.microsoft.com/office/excel/2006/main">
          <x14:cfRule type="dataBar" id="{4D8D647C-B967-4E80-BAA7-F77E24D72D1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66275BCA-3B7F-4126-A60B-51857D90581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F10:F11</xm:sqref>
        </x14:conditionalFormatting>
        <x14:conditionalFormatting xmlns:xm="http://schemas.microsoft.com/office/excel/2006/main">
          <x14:cfRule type="dataBar" id="{6DBEFFA5-25C7-4EA0-85F2-0E8B2397F0D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F12:F13</xm:sqref>
        </x14:conditionalFormatting>
        <x14:conditionalFormatting xmlns:xm="http://schemas.microsoft.com/office/excel/2006/main">
          <x14:cfRule type="dataBar" id="{62AA47A6-135D-427F-8A34-4B08C4839F7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F14:F15</xm:sqref>
        </x14:conditionalFormatting>
        <x14:conditionalFormatting xmlns:xm="http://schemas.microsoft.com/office/excel/2006/main">
          <x14:cfRule type="dataBar" id="{AC8B7454-830B-47B0-984B-1614A3DFA06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F16:F17</xm:sqref>
        </x14:conditionalFormatting>
        <x14:conditionalFormatting xmlns:xm="http://schemas.microsoft.com/office/excel/2006/main">
          <x14:cfRule type="dataBar" id="{0BFA8D00-B912-4FB1-BAD2-8DF489B02C3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AEE87F9E-4A5E-43A7-BC8C-1265B1EDCC7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F20:F21</xm:sqref>
        </x14:conditionalFormatting>
        <x14:conditionalFormatting xmlns:xm="http://schemas.microsoft.com/office/excel/2006/main">
          <x14:cfRule type="dataBar" id="{8E35FAAD-5B1B-4AE7-B03B-64C01EB28D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E74C681F-85E8-4B0A-A252-CF89728E28D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F24:F27</xm:sqref>
        </x14:conditionalFormatting>
        <x14:conditionalFormatting xmlns:xm="http://schemas.microsoft.com/office/excel/2006/main">
          <x14:cfRule type="dataBar" id="{E20983F7-BE79-4320-939D-694A099F988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F28:F29</xm:sqref>
        </x14:conditionalFormatting>
        <x14:conditionalFormatting xmlns:xm="http://schemas.microsoft.com/office/excel/2006/main">
          <x14:cfRule type="dataBar" id="{A4362EA7-2BA8-4369-A7DB-01E4443C2C8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F30:F33</xm:sqref>
        </x14:conditionalFormatting>
        <x14:conditionalFormatting xmlns:xm="http://schemas.microsoft.com/office/excel/2006/main">
          <x14:cfRule type="dataBar" id="{4FE70698-FDE2-417A-8A6D-7595EBF32DE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F34:F35</xm:sqref>
        </x14:conditionalFormatting>
        <x14:conditionalFormatting xmlns:xm="http://schemas.microsoft.com/office/excel/2006/main">
          <x14:cfRule type="dataBar" id="{2E5AF7C1-F204-4E95-A01E-EB531F7AF46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F36:F37</xm:sqref>
        </x14:conditionalFormatting>
        <x14:conditionalFormatting xmlns:xm="http://schemas.microsoft.com/office/excel/2006/main">
          <x14:cfRule type="dataBar" id="{8DCAC940-B71A-46E9-BC86-9CF1C93D9B7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F38:F39</xm:sqref>
        </x14:conditionalFormatting>
        <x14:conditionalFormatting xmlns:xm="http://schemas.microsoft.com/office/excel/2006/main">
          <x14:cfRule type="dataBar" id="{F2240A70-D7BC-42DC-A238-42DB4A667FB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F40:F41</xm:sqref>
        </x14:conditionalFormatting>
        <x14:conditionalFormatting xmlns:xm="http://schemas.microsoft.com/office/excel/2006/main">
          <x14:cfRule type="dataBar" id="{8B8B34D8-CEA9-495C-9357-5E9E4C03336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F42:F43</xm:sqref>
        </x14:conditionalFormatting>
        <x14:conditionalFormatting xmlns:xm="http://schemas.microsoft.com/office/excel/2006/main">
          <x14:cfRule type="dataBar" id="{17EF949E-FD96-41A4-960F-1A7F7FA0C15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F44:F45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89E9-4947-427B-A186-391227FBD17A}">
  <dimension ref="A1:D17"/>
  <sheetViews>
    <sheetView workbookViewId="0">
      <selection activeCell="B12" sqref="B12"/>
    </sheetView>
  </sheetViews>
  <sheetFormatPr defaultRowHeight="14.4"/>
  <cols>
    <col min="1" max="1" width="17.3984375" customWidth="1"/>
    <col min="2" max="2" width="60" customWidth="1"/>
    <col min="3" max="3" width="12.3984375" customWidth="1"/>
    <col min="4" max="4" width="15.296875" customWidth="1"/>
  </cols>
  <sheetData>
    <row r="1" spans="1:4">
      <c r="A1" s="117" t="s">
        <v>48</v>
      </c>
      <c r="B1" s="117" t="s">
        <v>49</v>
      </c>
      <c r="C1" s="117" t="s">
        <v>50</v>
      </c>
      <c r="D1" s="117" t="s">
        <v>51</v>
      </c>
    </row>
    <row r="2" spans="1:4">
      <c r="A2" s="117"/>
      <c r="B2" s="117"/>
      <c r="C2" s="117"/>
      <c r="D2" s="117"/>
    </row>
    <row r="3" spans="1:4">
      <c r="A3" s="117"/>
      <c r="B3" s="117"/>
      <c r="C3" s="117"/>
      <c r="D3" s="117"/>
    </row>
    <row r="4" spans="1:4" ht="31.2">
      <c r="A4" s="118" t="s">
        <v>10</v>
      </c>
      <c r="B4" s="49" t="s">
        <v>52</v>
      </c>
      <c r="C4" s="50" t="s">
        <v>53</v>
      </c>
      <c r="D4" s="51">
        <v>2</v>
      </c>
    </row>
    <row r="5" spans="1:4" ht="31.2">
      <c r="A5" s="119"/>
      <c r="B5" s="49" t="s">
        <v>54</v>
      </c>
      <c r="C5" s="50" t="s">
        <v>55</v>
      </c>
      <c r="D5" s="51">
        <v>3</v>
      </c>
    </row>
    <row r="6" spans="1:4" ht="46.8">
      <c r="A6" s="119"/>
      <c r="B6" s="49" t="s">
        <v>56</v>
      </c>
      <c r="C6" s="50" t="s">
        <v>55</v>
      </c>
      <c r="D6" s="51">
        <v>2</v>
      </c>
    </row>
    <row r="7" spans="1:4" ht="62.4">
      <c r="A7" s="119"/>
      <c r="B7" s="49" t="s">
        <v>57</v>
      </c>
      <c r="C7" s="50" t="s">
        <v>55</v>
      </c>
      <c r="D7" s="51">
        <v>6</v>
      </c>
    </row>
    <row r="8" spans="1:4" ht="31.2">
      <c r="A8" s="119"/>
      <c r="B8" s="49" t="s">
        <v>58</v>
      </c>
      <c r="C8" s="50" t="s">
        <v>55</v>
      </c>
      <c r="D8" s="51">
        <v>5</v>
      </c>
    </row>
    <row r="9" spans="1:4" ht="31.2">
      <c r="A9" s="119"/>
      <c r="B9" s="49" t="s">
        <v>59</v>
      </c>
      <c r="C9" s="50" t="s">
        <v>55</v>
      </c>
      <c r="D9" s="51">
        <v>2</v>
      </c>
    </row>
    <row r="10" spans="1:4" ht="31.2">
      <c r="A10" s="119"/>
      <c r="B10" s="49" t="s">
        <v>60</v>
      </c>
      <c r="C10" s="50" t="s">
        <v>55</v>
      </c>
      <c r="D10" s="51">
        <v>5</v>
      </c>
    </row>
    <row r="11" spans="1:4" ht="93.6">
      <c r="A11" s="119"/>
      <c r="B11" s="49" t="s">
        <v>61</v>
      </c>
      <c r="C11" s="50" t="s">
        <v>53</v>
      </c>
      <c r="D11" s="51">
        <v>7</v>
      </c>
    </row>
    <row r="12" spans="1:4" ht="78">
      <c r="A12" s="119"/>
      <c r="B12" s="49" t="s">
        <v>62</v>
      </c>
      <c r="C12" s="50" t="s">
        <v>55</v>
      </c>
      <c r="D12" s="51">
        <v>10</v>
      </c>
    </row>
    <row r="13" spans="1:4" ht="93.6">
      <c r="A13" s="119"/>
      <c r="B13" s="49" t="s">
        <v>63</v>
      </c>
      <c r="C13" s="50" t="s">
        <v>55</v>
      </c>
      <c r="D13" s="51">
        <v>6</v>
      </c>
    </row>
    <row r="14" spans="1:4" ht="31.2">
      <c r="A14" s="119"/>
      <c r="B14" s="49" t="s">
        <v>64</v>
      </c>
      <c r="C14" s="50" t="s">
        <v>55</v>
      </c>
      <c r="D14" s="51">
        <v>2</v>
      </c>
    </row>
    <row r="15" spans="1:4" ht="46.8">
      <c r="A15" s="119"/>
      <c r="B15" s="49" t="s">
        <v>65</v>
      </c>
      <c r="C15" s="50" t="s">
        <v>53</v>
      </c>
      <c r="D15" s="51">
        <v>2</v>
      </c>
    </row>
    <row r="16" spans="1:4" ht="31.2">
      <c r="A16" s="119"/>
      <c r="B16" s="49" t="s">
        <v>66</v>
      </c>
      <c r="C16" s="50" t="s">
        <v>55</v>
      </c>
      <c r="D16" s="51">
        <v>4</v>
      </c>
    </row>
    <row r="17" spans="1:4" ht="19.2">
      <c r="A17" s="120" t="s">
        <v>67</v>
      </c>
      <c r="B17" s="121"/>
      <c r="C17" s="122"/>
      <c r="D17" s="63">
        <f t="shared" ref="D17" si="0">SUM(D4:D16)</f>
        <v>56</v>
      </c>
    </row>
  </sheetData>
  <mergeCells count="6">
    <mergeCell ref="A17:C17"/>
    <mergeCell ref="A1:A3"/>
    <mergeCell ref="B1:B3"/>
    <mergeCell ref="C1:C3"/>
    <mergeCell ref="D1:D3"/>
    <mergeCell ref="A4:A1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상세 스케줄 </vt:lpstr>
      <vt:lpstr>상세개발항목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김 명남</cp:lastModifiedBy>
  <cp:revision/>
  <dcterms:created xsi:type="dcterms:W3CDTF">2004-06-23T06:13:55Z</dcterms:created>
  <dcterms:modified xsi:type="dcterms:W3CDTF">2024-05-30T08:17:27Z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