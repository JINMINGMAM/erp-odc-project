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ustomProperty1.bin" ContentType="application/vnd.openxmlformats-officedocument.spreadsheetml.customProperty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우원기술/"/>
    </mc:Choice>
  </mc:AlternateContent>
  <xr:revisionPtr revIDLastSave="1" documentId="13_ncr:1_{16799364-A3D0-41EA-8543-6A416653D02E}" xr6:coauthVersionLast="47" xr6:coauthVersionMax="47" xr10:uidLastSave="{0BABD5AB-01BF-4735-81DE-76A832AF9A40}"/>
  <bookViews>
    <workbookView xWindow="-108" yWindow="-108" windowWidth="23256" windowHeight="12456" tabRatio="835" activeTab="3" xr2:uid="{00000000-000D-0000-FFFF-FFFF00000000}"/>
  </bookViews>
  <sheets>
    <sheet name="표지" sheetId="80" r:id="rId1"/>
    <sheet name="종합" sheetId="58" r:id="rId2"/>
    <sheet name="인건비" sheetId="45" r:id="rId3"/>
    <sheet name="개발상세공수" sheetId="49" r:id="rId4"/>
    <sheet name="별첨1.등급별 산정 근거(노임단가)" sheetId="81" r:id="rId5"/>
    <sheet name="(내부용)세금계산서의뢰---&gt;" sheetId="54" r:id="rId6"/>
    <sheet name="계약금_세금계산서" sheetId="55" r:id="rId7"/>
    <sheet name="잔금_세금계산서" sheetId="56" r:id="rId8"/>
    <sheet name="중도금_세금계산서" sheetId="57" r:id="rId9"/>
  </sheets>
  <externalReferences>
    <externalReference r:id="rId10"/>
    <externalReference r:id="rId11"/>
    <externalReference r:id="rId12"/>
  </externalReferences>
  <definedNames>
    <definedName name="___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123Graph_A그래프2" localSheetId="5" hidden="1">#REF!</definedName>
    <definedName name="__123Graph_A그래프2" localSheetId="3" hidden="1">#REF!</definedName>
    <definedName name="__123Graph_A그래프2" localSheetId="2" hidden="1">#REF!</definedName>
    <definedName name="__123Graph_A그래프2" localSheetId="0" hidden="1">#REF!</definedName>
    <definedName name="__123Graph_A그래프2" hidden="1">#REF!</definedName>
    <definedName name="__123Graph_B그래프2" localSheetId="3" hidden="1">#REF!</definedName>
    <definedName name="__123Graph_B그래프2" localSheetId="2" hidden="1">#REF!</definedName>
    <definedName name="__123Graph_B그래프2" hidden="1">#REF!</definedName>
    <definedName name="__123Graph_X그래프2" localSheetId="3" hidden="1">#REF!</definedName>
    <definedName name="__123Graph_X그래프2" localSheetId="2" hidden="1">#REF!</definedName>
    <definedName name="__123Graph_X그래프2" hidden="1">#REF!</definedName>
    <definedName name="_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Fill" localSheetId="5" hidden="1">#REF!</definedName>
    <definedName name="_Fill" localSheetId="3" hidden="1">#REF!</definedName>
    <definedName name="_Fill" localSheetId="2" hidden="1">#REF!</definedName>
    <definedName name="_Fill" localSheetId="0" hidden="1">#REF!</definedName>
    <definedName name="_Fill" hidden="1">#REF!</definedName>
    <definedName name="_Key1" localSheetId="3" hidden="1">#REF!</definedName>
    <definedName name="_Key1" localSheetId="2" hidden="1">#REF!</definedName>
    <definedName name="_Key1" hidden="1">#REF!</definedName>
    <definedName name="_Key2" localSheetId="3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Regression_Int" hidden="1">1</definedName>
    <definedName name="_Sort" localSheetId="5" hidden="1">#REF!</definedName>
    <definedName name="_Sort" localSheetId="3" hidden="1">#REF!</definedName>
    <definedName name="_Sort" localSheetId="2" hidden="1">#REF!</definedName>
    <definedName name="_Sort" localSheetId="0" hidden="1">#REF!</definedName>
    <definedName name="_Sort" hidden="1">#REF!</definedName>
    <definedName name="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able1_In1" localSheetId="5" hidden="1">#REF!</definedName>
    <definedName name="_Table1_In1" localSheetId="3" hidden="1">#REF!</definedName>
    <definedName name="_Table1_In1" localSheetId="2" hidden="1">#REF!</definedName>
    <definedName name="_Table1_In1" localSheetId="0" hidden="1">#REF!</definedName>
    <definedName name="_Table1_In1" hidden="1">#REF!</definedName>
    <definedName name="a_a" localSheetId="5" hidden="1">{"'게시판게재용'!$A$1:$M$77"}</definedName>
    <definedName name="a_a" localSheetId="3" hidden="1">{"'게시판게재용'!$A$1:$M$77"}</definedName>
    <definedName name="a_a" localSheetId="1" hidden="1">{"'게시판게재용'!$A$1:$M$77"}</definedName>
    <definedName name="a_a" localSheetId="0" hidden="1">{"'게시판게재용'!$A$1:$M$77"}</definedName>
    <definedName name="a_a" hidden="1">{"'게시판게재용'!$A$1:$M$77"}</definedName>
    <definedName name="AB" localSheetId="5" hidden="1">{"'Sheet1'!$A$1:$J$57","'Sheet1'!$F$32:$F$35","'Sheet1'!$F$32:$F$36"}</definedName>
    <definedName name="AB" localSheetId="3" hidden="1">{"'Sheet1'!$A$1:$J$57","'Sheet1'!$F$32:$F$35","'Sheet1'!$F$32:$F$36"}</definedName>
    <definedName name="AB" localSheetId="1" hidden="1">{"'Sheet1'!$A$1:$J$57","'Sheet1'!$F$32:$F$35","'Sheet1'!$F$32:$F$36"}</definedName>
    <definedName name="AB" localSheetId="0" hidden="1">{"'Sheet1'!$A$1:$J$57","'Sheet1'!$F$32:$F$35","'Sheet1'!$F$32:$F$36"}</definedName>
    <definedName name="AB" hidden="1">{"'Sheet1'!$A$1:$J$57","'Sheet1'!$F$32:$F$35","'Sheet1'!$F$32:$F$36"}</definedName>
    <definedName name="Access_Button" hidden="1">"용산매출_Sheet1_List"</definedName>
    <definedName name="AccessDatabase" hidden="1">"C:\My Documents\매장매출.mdb"</definedName>
    <definedName name="afaga" localSheetId="5" hidden="1">{"'Sheet1'!$A$1:$J$57","'Sheet1'!$F$32:$F$35","'Sheet1'!$F$32:$F$36"}</definedName>
    <definedName name="afaga" localSheetId="3" hidden="1">{"'Sheet1'!$A$1:$J$57","'Sheet1'!$F$32:$F$35","'Sheet1'!$F$32:$F$36"}</definedName>
    <definedName name="afaga" localSheetId="1" hidden="1">{"'Sheet1'!$A$1:$J$57","'Sheet1'!$F$32:$F$35","'Sheet1'!$F$32:$F$36"}</definedName>
    <definedName name="afaga" localSheetId="0" hidden="1">{"'Sheet1'!$A$1:$J$57","'Sheet1'!$F$32:$F$35","'Sheet1'!$F$32:$F$36"}</definedName>
    <definedName name="afaga" hidden="1">{"'Sheet1'!$A$1:$J$57","'Sheet1'!$F$32:$F$35","'Sheet1'!$F$32:$F$36"}</definedName>
    <definedName name="AG" localSheetId="5" hidden="1">{"'Sheet1'!$A$1:$J$57","'Sheet1'!$F$32:$F$35","'Sheet1'!$F$32:$F$36"}</definedName>
    <definedName name="AG" localSheetId="3" hidden="1">{"'Sheet1'!$A$1:$J$57","'Sheet1'!$F$32:$F$35","'Sheet1'!$F$32:$F$36"}</definedName>
    <definedName name="AG" localSheetId="1" hidden="1">{"'Sheet1'!$A$1:$J$57","'Sheet1'!$F$32:$F$35","'Sheet1'!$F$32:$F$36"}</definedName>
    <definedName name="AG" localSheetId="0" hidden="1">{"'Sheet1'!$A$1:$J$57","'Sheet1'!$F$32:$F$35","'Sheet1'!$F$32:$F$36"}</definedName>
    <definedName name="AG" hidden="1">{"'Sheet1'!$A$1:$J$57","'Sheet1'!$F$32:$F$35","'Sheet1'!$F$32:$F$36"}</definedName>
    <definedName name="AJH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CC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" localSheetId="5" hidden="1">#REF!</definedName>
    <definedName name="ddddd" localSheetId="3" hidden="1">#REF!</definedName>
    <definedName name="ddddd" localSheetId="2" hidden="1">#REF!</definedName>
    <definedName name="ddddd" localSheetId="0" hidden="1">#REF!</definedName>
    <definedName name="ddddd" hidden="1">#REF!</definedName>
    <definedName name="DDFR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fj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EMCO" localSheetId="5" hidden="1">#REF!</definedName>
    <definedName name="GEMCO" localSheetId="3" hidden="1">#REF!</definedName>
    <definedName name="GEMCO" localSheetId="2" hidden="1">#REF!</definedName>
    <definedName name="GEMCO" localSheetId="0" hidden="1">#REF!</definedName>
    <definedName name="GEMCO" hidden="1">#REF!</definedName>
    <definedName name="GGG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JT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ardwar" localSheetId="5" hidden="1">#REF!</definedName>
    <definedName name="hardwar" localSheetId="3" hidden="1">#REF!</definedName>
    <definedName name="hardwar" localSheetId="2" hidden="1">#REF!</definedName>
    <definedName name="hardwar" localSheetId="0" hidden="1">#REF!</definedName>
    <definedName name="hardwar" hidden="1">#REF!</definedName>
    <definedName name="html" localSheetId="5" hidden="1">{"'Sheet1'!$A$1:$J$57","'Sheet1'!$F$32:$F$35","'Sheet1'!$F$32:$F$36"}</definedName>
    <definedName name="html" localSheetId="3" hidden="1">{"'Sheet1'!$A$1:$J$57","'Sheet1'!$F$32:$F$35","'Sheet1'!$F$32:$F$36"}</definedName>
    <definedName name="html" localSheetId="1" hidden="1">{"'Sheet1'!$A$1:$J$57","'Sheet1'!$F$32:$F$35","'Sheet1'!$F$32:$F$36"}</definedName>
    <definedName name="html" localSheetId="0" hidden="1">{"'Sheet1'!$A$1:$J$57","'Sheet1'!$F$32:$F$35","'Sheet1'!$F$32:$F$36"}</definedName>
    <definedName name="html" hidden="1">{"'Sheet1'!$A$1:$J$57","'Sheet1'!$F$32:$F$35","'Sheet1'!$F$32:$F$36"}</definedName>
    <definedName name="HTML_CodePage" hidden="1">949</definedName>
    <definedName name="HTML_Control" localSheetId="5" hidden="1">{"'게시판게재용'!$A$1:$M$77"}</definedName>
    <definedName name="HTML_Control" localSheetId="3" hidden="1">{"'게시판게재용'!$A$1:$M$77"}</definedName>
    <definedName name="HTML_Control" localSheetId="1" hidden="1">{"'게시판게재용'!$A$1:$M$77"}</definedName>
    <definedName name="HTML_Control" localSheetId="0" hidden="1">{"'게시판게재용'!$A$1:$M$77"}</definedName>
    <definedName name="HTML_Control" hidden="1">{"'게시판게재용'!$A$1:$M$77"}</definedName>
    <definedName name="HTML_Description" hidden="1">""</definedName>
    <definedName name="HTML_Email" hidden="1">""</definedName>
    <definedName name="HTML_Header" hidden="1">""</definedName>
    <definedName name="HTML_LastUpdate" hidden="1">"98-04-27"</definedName>
    <definedName name="HTML_LineAfter" hidden="1">FALSE</definedName>
    <definedName name="HTML_LineBefore" hidden="1">FALSE</definedName>
    <definedName name="HTML_Name" hidden="1">"김진환"</definedName>
    <definedName name="HTML_OBDlg2" hidden="1">TRUE</definedName>
    <definedName name="HTML_OBDlg4" hidden="1">TRUE</definedName>
    <definedName name="HTML_OS" hidden="1">0</definedName>
    <definedName name="HTML_PathFile" hidden="1">"C:\My Documents\재고2.htm"</definedName>
    <definedName name="HTML_Title" hidden="1">""</definedName>
    <definedName name="HTML1" localSheetId="5" hidden="1">{"'Sheet1'!$A$1:$J$57","'Sheet1'!$F$32:$F$35","'Sheet1'!$F$32:$F$36"}</definedName>
    <definedName name="HTML1" localSheetId="3" hidden="1">{"'Sheet1'!$A$1:$J$57","'Sheet1'!$F$32:$F$35","'Sheet1'!$F$32:$F$36"}</definedName>
    <definedName name="HTML1" localSheetId="1" hidden="1">{"'Sheet1'!$A$1:$J$57","'Sheet1'!$F$32:$F$35","'Sheet1'!$F$32:$F$36"}</definedName>
    <definedName name="HTML1" localSheetId="0" hidden="1">{"'Sheet1'!$A$1:$J$57","'Sheet1'!$F$32:$F$35","'Sheet1'!$F$32:$F$36"}</definedName>
    <definedName name="HTML1" hidden="1">{"'Sheet1'!$A$1:$J$57","'Sheet1'!$F$32:$F$35","'Sheet1'!$F$32:$F$36"}</definedName>
    <definedName name="HTML2" localSheetId="5" hidden="1">{"'Sheet1'!$A$1:$J$57","'Sheet1'!$F$32:$F$35","'Sheet1'!$F$32:$F$36"}</definedName>
    <definedName name="HTML2" localSheetId="3" hidden="1">{"'Sheet1'!$A$1:$J$57","'Sheet1'!$F$32:$F$35","'Sheet1'!$F$32:$F$36"}</definedName>
    <definedName name="HTML2" localSheetId="1" hidden="1">{"'Sheet1'!$A$1:$J$57","'Sheet1'!$F$32:$F$35","'Sheet1'!$F$32:$F$36"}</definedName>
    <definedName name="HTML2" localSheetId="0" hidden="1">{"'Sheet1'!$A$1:$J$57","'Sheet1'!$F$32:$F$35","'Sheet1'!$F$32:$F$36"}</definedName>
    <definedName name="HTML2" hidden="1">{"'Sheet1'!$A$1:$J$57","'Sheet1'!$F$32:$F$35","'Sheet1'!$F$32:$F$36"}</definedName>
    <definedName name="IIJELLS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BJ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DIEKK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" localSheetId="5" hidden="1">{#N/A,#N/A,TRUE,"토적및재료집계";#N/A,#N/A,TRUE,"토적및재료집계";#N/A,#N/A,TRUE,"단위량"}</definedName>
    <definedName name="PP" localSheetId="3" hidden="1">{#N/A,#N/A,TRUE,"토적및재료집계";#N/A,#N/A,TRUE,"토적및재료집계";#N/A,#N/A,TRUE,"단위량"}</definedName>
    <definedName name="PP" localSheetId="1" hidden="1">{#N/A,#N/A,TRUE,"토적및재료집계";#N/A,#N/A,TRUE,"토적및재료집계";#N/A,#N/A,TRUE,"단위량"}</definedName>
    <definedName name="PP" localSheetId="0" hidden="1">{#N/A,#N/A,TRUE,"토적및재료집계";#N/A,#N/A,TRUE,"토적및재료집계";#N/A,#N/A,TRUE,"단위량"}</definedName>
    <definedName name="PP" hidden="1">{#N/A,#N/A,TRUE,"토적및재료집계";#N/A,#N/A,TRUE,"토적및재료집계";#N/A,#N/A,TRUE,"단위량"}</definedName>
    <definedName name="_xlnm.Print_Area" localSheetId="3">개발상세공수!$A$1:$D$19</definedName>
    <definedName name="_xlnm.Print_Area" localSheetId="6">계약금_세금계산서!$A$1:$H$23</definedName>
    <definedName name="_xlnm.Print_Area" localSheetId="4">'별첨1.등급별 산정 근거(노임단가)'!$A$1:$J$24</definedName>
    <definedName name="_xlnm.Print_Area" localSheetId="2">인건비!$A$1:$G$15</definedName>
    <definedName name="_xlnm.Print_Area" localSheetId="7">잔금_세금계산서!$A$1:$H$23</definedName>
    <definedName name="_xlnm.Print_Area" localSheetId="1">종합!$A$1:$H$23</definedName>
    <definedName name="_xlnm.Print_Area" localSheetId="8">중도금_세금계산서!$A$1:$H$23</definedName>
    <definedName name="_xlnm.Print_Area" localSheetId="0">표지!$A$1:$O$48</definedName>
    <definedName name="QWS" localSheetId="5" hidden="1">#REF!</definedName>
    <definedName name="QWS" localSheetId="3" hidden="1">#REF!</definedName>
    <definedName name="QWS" localSheetId="2" hidden="1">#REF!</definedName>
    <definedName name="QWS" localSheetId="0" hidden="1">#REF!</definedName>
    <definedName name="QWS" hidden="1">#REF!</definedName>
    <definedName name="REFSDF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5" hidden="1">{#N/A,#N/A,TRUE,"일정"}</definedName>
    <definedName name="S" localSheetId="3" hidden="1">{#N/A,#N/A,TRUE,"일정"}</definedName>
    <definedName name="S" localSheetId="1" hidden="1">{#N/A,#N/A,TRUE,"일정"}</definedName>
    <definedName name="S" localSheetId="0" hidden="1">{#N/A,#N/A,TRUE,"일정"}</definedName>
    <definedName name="S" hidden="1">{#N/A,#N/A,TRUE,"일정"}</definedName>
    <definedName name="SA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" localSheetId="5" hidden="1">{"'게시판게재용'!$A$1:$M$77"}</definedName>
    <definedName name="sd" localSheetId="3" hidden="1">{"'게시판게재용'!$A$1:$M$77"}</definedName>
    <definedName name="sd" localSheetId="1" hidden="1">{"'게시판게재용'!$A$1:$M$77"}</definedName>
    <definedName name="sd" localSheetId="0" hidden="1">{"'게시판게재용'!$A$1:$M$77"}</definedName>
    <definedName name="sd" hidden="1">{"'게시판게재용'!$A$1:$M$77"}</definedName>
    <definedName name="SD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DFSDSF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df" localSheetId="5" hidden="1">{"'Edit'!$A$1:$V$2277"}</definedName>
    <definedName name="sedf" localSheetId="3" hidden="1">{"'Edit'!$A$1:$V$2277"}</definedName>
    <definedName name="sedf" localSheetId="1" hidden="1">{"'Edit'!$A$1:$V$2277"}</definedName>
    <definedName name="sedf" localSheetId="0" hidden="1">{"'Edit'!$A$1:$V$2277"}</definedName>
    <definedName name="sedf" hidden="1">{"'Edit'!$A$1:$V$2277"}</definedName>
    <definedName name="SK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ps" localSheetId="5" hidden="1">{"'Sheet1'!$A$1:$J$57","'Sheet1'!$F$32:$F$35","'Sheet1'!$F$32:$F$36"}</definedName>
    <definedName name="ups" localSheetId="3" hidden="1">{"'Sheet1'!$A$1:$J$57","'Sheet1'!$F$32:$F$35","'Sheet1'!$F$32:$F$36"}</definedName>
    <definedName name="ups" localSheetId="1" hidden="1">{"'Sheet1'!$A$1:$J$57","'Sheet1'!$F$32:$F$35","'Sheet1'!$F$32:$F$36"}</definedName>
    <definedName name="ups" localSheetId="0" hidden="1">{"'Sheet1'!$A$1:$J$57","'Sheet1'!$F$32:$F$35","'Sheet1'!$F$32:$F$36"}</definedName>
    <definedName name="ups" hidden="1">{"'Sheet1'!$A$1:$J$57","'Sheet1'!$F$32:$F$35","'Sheet1'!$F$32:$F$36"}</definedName>
    <definedName name="wrn.DACOM._.광전송장치._.투찰가._.검토." localSheetId="5" hidden="1">{#N/A,#N/A,FALSE,"DAOCM 2차 검토"}</definedName>
    <definedName name="wrn.DACOM._.광전송장치._.투찰가._.검토." localSheetId="3" hidden="1">{#N/A,#N/A,FALSE,"DAOCM 2차 검토"}</definedName>
    <definedName name="wrn.DACOM._.광전송장치._.투찰가._.검토." localSheetId="1" hidden="1">{#N/A,#N/A,FALSE,"DAOCM 2차 검토"}</definedName>
    <definedName name="wrn.DACOM._.광전송장치._.투찰가._.검토." localSheetId="0" hidden="1">{#N/A,#N/A,FALSE,"DAOCM 2차 검토"}</definedName>
    <definedName name="wrn.DACOM._.광전송장치._.투찰가._.검토." hidden="1">{#N/A,#N/A,FALSE,"DAOCM 2차 검토"}</definedName>
    <definedName name="wrn.DDD.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RPT.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부산주경기장.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신용찬." localSheetId="5" hidden="1">{#N/A,#N/A,TRUE,"토적및재료집계";#N/A,#N/A,TRUE,"토적및재료집계";#N/A,#N/A,TRUE,"단위량"}</definedName>
    <definedName name="wrn.신용찬." localSheetId="3" hidden="1">{#N/A,#N/A,TRUE,"토적및재료집계";#N/A,#N/A,TRUE,"토적및재료집계";#N/A,#N/A,TRUE,"단위량"}</definedName>
    <definedName name="wrn.신용찬." localSheetId="1" hidden="1">{#N/A,#N/A,TRUE,"토적및재료집계";#N/A,#N/A,TRUE,"토적및재료집계";#N/A,#N/A,TRUE,"단위량"}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주간._.보고." localSheetId="5" hidden="1">{#N/A,#N/A,TRUE,"일정"}</definedName>
    <definedName name="wrn.주간._.보고." localSheetId="3" hidden="1">{#N/A,#N/A,TRUE,"일정"}</definedName>
    <definedName name="wrn.주간._.보고." localSheetId="1" hidden="1">{#N/A,#N/A,TRUE,"일정"}</definedName>
    <definedName name="wrn.주간._.보고." localSheetId="0" hidden="1">{#N/A,#N/A,TRUE,"일정"}</definedName>
    <definedName name="wrn.주간._.보고." hidden="1">{#N/A,#N/A,TRUE,"일정"}</definedName>
    <definedName name="WWW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다" localSheetId="5" hidden="1">#REF!</definedName>
    <definedName name="가나다" localSheetId="3" hidden="1">#REF!</definedName>
    <definedName name="가나다" localSheetId="2" hidden="1">#REF!</definedName>
    <definedName name="가나다" localSheetId="0" hidden="1">#REF!</definedName>
    <definedName name="가나다" hidden="1">#REF!</definedName>
    <definedName name="견적_최종2" localSheetId="5" hidden="1">{"'Sheet1'!$A$1:$J$57","'Sheet1'!$F$32:$F$35","'Sheet1'!$F$32:$F$36"}</definedName>
    <definedName name="견적_최종2" localSheetId="3" hidden="1">{"'Sheet1'!$A$1:$J$57","'Sheet1'!$F$32:$F$35","'Sheet1'!$F$32:$F$36"}</definedName>
    <definedName name="견적_최종2" localSheetId="1" hidden="1">{"'Sheet1'!$A$1:$J$57","'Sheet1'!$F$32:$F$35","'Sheet1'!$F$32:$F$36"}</definedName>
    <definedName name="견적_최종2" localSheetId="0" hidden="1">{"'Sheet1'!$A$1:$J$57","'Sheet1'!$F$32:$F$35","'Sheet1'!$F$32:$F$36"}</definedName>
    <definedName name="견적_최종2" hidden="1">{"'Sheet1'!$A$1:$J$57","'Sheet1'!$F$32:$F$35","'Sheet1'!$F$32:$F$36"}</definedName>
    <definedName name="계측기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나ㅏㅓ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localSheetId="5" hidden="1">#REF!</definedName>
    <definedName name="남남" localSheetId="3" hidden="1">#REF!</definedName>
    <definedName name="남남" localSheetId="2" hidden="1">#REF!</definedName>
    <definedName name="남남" localSheetId="0" hidden="1">#REF!</definedName>
    <definedName name="남남" hidden="1">#REF!</definedName>
    <definedName name="내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localSheetId="5" hidden="1">{#N/A,#N/A,TRUE,"토적및재료집계";#N/A,#N/A,TRUE,"토적및재료집계";#N/A,#N/A,TRUE,"단위량"}</definedName>
    <definedName name="ㄷ" localSheetId="3" hidden="1">{#N/A,#N/A,TRUE,"토적및재료집계";#N/A,#N/A,TRUE,"토적및재료집계";#N/A,#N/A,TRUE,"단위량"}</definedName>
    <definedName name="ㄷ" localSheetId="1" hidden="1">{#N/A,#N/A,TRUE,"토적및재료집계";#N/A,#N/A,TRUE,"토적및재료집계";#N/A,#N/A,TRUE,"단위량"}</definedName>
    <definedName name="ㄷ" localSheetId="0" hidden="1">{#N/A,#N/A,TRUE,"토적및재료집계";#N/A,#N/A,TRUE,"토적및재료집계";#N/A,#N/A,TRUE,"단위량"}</definedName>
    <definedName name="ㄷ" hidden="1">{#N/A,#N/A,TRUE,"토적및재료집계";#N/A,#N/A,TRUE,"토적및재료집계";#N/A,#N/A,TRUE,"단위량"}</definedName>
    <definedName name="단가조사자료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로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ㄶ" localSheetId="5" hidden="1">#REF!</definedName>
    <definedName name="ㄹㅇㄶ" localSheetId="3" hidden="1">#REF!</definedName>
    <definedName name="ㄹㅇㄶ" localSheetId="2" hidden="1">#REF!</definedName>
    <definedName name="ㄹㅇㄶ" localSheetId="0" hidden="1">#REF!</definedName>
    <definedName name="ㄹㅇㄶ" hidden="1">#REF!</definedName>
    <definedName name="ㄹㅇㄶ옿" hidden="1">'[1]N賃率-職'!$I$5:$I$30</definedName>
    <definedName name="라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梅兰日兰UPS" localSheetId="5" hidden="1">{"'Sheet1'!$A$1:$J$57","'Sheet1'!$F$32:$F$35","'Sheet1'!$F$32:$F$36"}</definedName>
    <definedName name="梅兰日兰UPS" localSheetId="3" hidden="1">{"'Sheet1'!$A$1:$J$57","'Sheet1'!$F$32:$F$35","'Sheet1'!$F$32:$F$36"}</definedName>
    <definedName name="梅兰日兰UPS" localSheetId="1" hidden="1">{"'Sheet1'!$A$1:$J$57","'Sheet1'!$F$32:$F$35","'Sheet1'!$F$32:$F$36"}</definedName>
    <definedName name="梅兰日兰UPS" localSheetId="0" hidden="1">{"'Sheet1'!$A$1:$J$57","'Sheet1'!$F$32:$F$35","'Sheet1'!$F$32:$F$36"}</definedName>
    <definedName name="梅兰日兰UPS" hidden="1">{"'Sheet1'!$A$1:$J$57","'Sheet1'!$F$32:$F$35","'Sheet1'!$F$32:$F$36"}</definedName>
    <definedName name="물가변동내역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승인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localSheetId="5" hidden="1">{#N/A,#N/A,TRUE,"토적및재료집계";#N/A,#N/A,TRUE,"토적및재료집계";#N/A,#N/A,TRUE,"단위량"}</definedName>
    <definedName name="ㅂ" localSheetId="3" hidden="1">{#N/A,#N/A,TRUE,"토적및재료집계";#N/A,#N/A,TRUE,"토적및재료집계";#N/A,#N/A,TRUE,"단위량"}</definedName>
    <definedName name="ㅂ" localSheetId="1" hidden="1">{#N/A,#N/A,TRUE,"토적및재료집계";#N/A,#N/A,TRUE,"토적및재료집계";#N/A,#N/A,TRUE,"단위량"}</definedName>
    <definedName name="ㅂ" localSheetId="0" hidden="1">{#N/A,#N/A,TRUE,"토적및재료집계";#N/A,#N/A,TRUE,"토적및재료집계";#N/A,#N/A,TRUE,"단위량"}</definedName>
    <definedName name="ㅂ" hidden="1">{#N/A,#N/A,TRUE,"토적및재료집계";#N/A,#N/A,TRUE,"토적및재료집계";#N/A,#N/A,TRUE,"단위량"}</definedName>
    <definedName name="ㅂㅂ" localSheetId="5" hidden="1">#REF!</definedName>
    <definedName name="ㅂㅂ" localSheetId="3" hidden="1">#REF!</definedName>
    <definedName name="ㅂㅂ" localSheetId="2" hidden="1">#REF!</definedName>
    <definedName name="ㅂㅂ" localSheetId="0" hidden="1">#REF!</definedName>
    <definedName name="ㅂㅂ" hidden="1">#REF!</definedName>
    <definedName name="배관공수율" hidden="1">'[2]N賃率-職'!$I$5:$I$30</definedName>
    <definedName name="보오링그라우팅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" localSheetId="5" hidden="1">{#N/A,#N/A,TRUE,"토적및재료집계";#N/A,#N/A,TRUE,"토적및재료집계";#N/A,#N/A,TRUE,"단위량"}</definedName>
    <definedName name="ㅅ" localSheetId="3" hidden="1">{#N/A,#N/A,TRUE,"토적및재료집계";#N/A,#N/A,TRUE,"토적및재료집계";#N/A,#N/A,TRUE,"단위량"}</definedName>
    <definedName name="ㅅ" localSheetId="1" hidden="1">{#N/A,#N/A,TRUE,"토적및재료집계";#N/A,#N/A,TRUE,"토적및재료집계";#N/A,#N/A,TRUE,"단위량"}</definedName>
    <definedName name="ㅅ" localSheetId="0" hidden="1">{#N/A,#N/A,TRUE,"토적및재료집계";#N/A,#N/A,TRUE,"토적및재료집계";#N/A,#N/A,TRUE,"단위량"}</definedName>
    <definedName name="ㅅ" hidden="1">{#N/A,#N/A,TRUE,"토적및재료집계";#N/A,#N/A,TRUE,"토적및재료집계";#N/A,#N/A,TRUE,"단위량"}</definedName>
    <definedName name="ㅅㄴ" localSheetId="5" hidden="1">{"'Sheet1'!$A$1:$J$57","'Sheet1'!$F$32:$F$35","'Sheet1'!$F$32:$F$36"}</definedName>
    <definedName name="ㅅㄴ" localSheetId="3" hidden="1">{"'Sheet1'!$A$1:$J$57","'Sheet1'!$F$32:$F$35","'Sheet1'!$F$32:$F$36"}</definedName>
    <definedName name="ㅅㄴ" localSheetId="1" hidden="1">{"'Sheet1'!$A$1:$J$57","'Sheet1'!$F$32:$F$35","'Sheet1'!$F$32:$F$36"}</definedName>
    <definedName name="ㅅㄴ" localSheetId="0" hidden="1">{"'Sheet1'!$A$1:$J$57","'Sheet1'!$F$32:$F$35","'Sheet1'!$F$32:$F$36"}</definedName>
    <definedName name="ㅅㄴ" hidden="1">{"'Sheet1'!$A$1:$J$57","'Sheet1'!$F$32:$F$35","'Sheet1'!$F$32:$F$36"}</definedName>
    <definedName name="생산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순공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ㄹ" hidden="1">'[3]N賃率-職'!$I$5:$I$30</definedName>
    <definedName name="ㅇㄹㅇㄴㄹㅇ" localSheetId="5" hidden="1">{#N/A,#N/A,TRUE,"토적및재료집계";#N/A,#N/A,TRUE,"토적및재료집계";#N/A,#N/A,TRUE,"단위량"}</definedName>
    <definedName name="ㅇㄹㅇㄴㄹㅇ" localSheetId="3" hidden="1">{#N/A,#N/A,TRUE,"토적및재료집계";#N/A,#N/A,TRUE,"토적및재료집계";#N/A,#N/A,TRUE,"단위량"}</definedName>
    <definedName name="ㅇㄹㅇㄴㄹㅇ" localSheetId="1" hidden="1">{#N/A,#N/A,TRUE,"토적및재료집계";#N/A,#N/A,TRUE,"토적및재료집계";#N/A,#N/A,TRUE,"단위량"}</definedName>
    <definedName name="ㅇㄹㅇㄴㄹㅇ" localSheetId="0" hidden="1">{#N/A,#N/A,TRUE,"토적및재료집계";#N/A,#N/A,TRUE,"토적및재료집계";#N/A,#N/A,TRUE,"단위량"}</definedName>
    <definedName name="ㅇㄹㅇㄴㄹㅇ" hidden="1">{#N/A,#N/A,TRUE,"토적및재료집계";#N/A,#N/A,TRUE,"토적및재료집계";#N/A,#N/A,TRUE,"단위량"}</definedName>
    <definedName name="ㅇ라ㅓㅏㅗ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법제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인천지검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철" hidden="1">0</definedName>
    <definedName name="제조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직매54P" localSheetId="5" hidden="1">{#N/A,#N/A,TRUE,"토적및재료집계";#N/A,#N/A,TRUE,"토적및재료집계";#N/A,#N/A,TRUE,"단위량"}</definedName>
    <definedName name="직매54P" localSheetId="3" hidden="1">{#N/A,#N/A,TRUE,"토적및재료집계";#N/A,#N/A,TRUE,"토적및재료집계";#N/A,#N/A,TRUE,"단위량"}</definedName>
    <definedName name="직매54P" localSheetId="1" hidden="1">{#N/A,#N/A,TRUE,"토적및재료집계";#N/A,#N/A,TRUE,"토적및재료집계";#N/A,#N/A,TRUE,"단위량"}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철근자료" localSheetId="5" hidden="1">#REF!</definedName>
    <definedName name="철근자료" localSheetId="3" hidden="1">#REF!</definedName>
    <definedName name="철근자료" localSheetId="2" hidden="1">#REF!</definedName>
    <definedName name="철근자료" localSheetId="0" hidden="1">#REF!</definedName>
    <definedName name="철근자료" hidden="1">#REF!</definedName>
    <definedName name="总价12" localSheetId="5" hidden="1">{"'Sheet1'!$A$1:$J$57","'Sheet1'!$F$32:$F$35","'Sheet1'!$F$32:$F$36"}</definedName>
    <definedName name="总价12" localSheetId="3" hidden="1">{"'Sheet1'!$A$1:$J$57","'Sheet1'!$F$32:$F$35","'Sheet1'!$F$32:$F$36"}</definedName>
    <definedName name="总价12" localSheetId="1" hidden="1">{"'Sheet1'!$A$1:$J$57","'Sheet1'!$F$32:$F$35","'Sheet1'!$F$32:$F$36"}</definedName>
    <definedName name="总价12" localSheetId="0" hidden="1">{"'Sheet1'!$A$1:$J$57","'Sheet1'!$F$32:$F$35","'Sheet1'!$F$32:$F$36"}</definedName>
    <definedName name="总价12" hidden="1">{"'Sheet1'!$A$1:$J$57","'Sheet1'!$F$32:$F$35","'Sheet1'!$F$32:$F$36"}</definedName>
    <definedName name="케이블간지" localSheetId="5" hidden="1">{#N/A,#N/A,TRUE,"토적및재료집계";#N/A,#N/A,TRUE,"토적및재료집계";#N/A,#N/A,TRUE,"단위량"}</definedName>
    <definedName name="케이블간지" localSheetId="3" hidden="1">{#N/A,#N/A,TRUE,"토적및재료집계";#N/A,#N/A,TRUE,"토적및재료집계";#N/A,#N/A,TRUE,"단위량"}</definedName>
    <definedName name="케이블간지" localSheetId="1" hidden="1">{#N/A,#N/A,TRUE,"토적및재료집계";#N/A,#N/A,TRUE,"토적및재료집계";#N/A,#N/A,TRUE,"단위량"}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ㅎㄴ" hidden="1">'[1]N賃率-職'!$I$5:$I$30</definedName>
    <definedName name="ㅎㅎㅎ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" localSheetId="5" hidden="1">{#N/A,#N/A,TRUE,"일정"}</definedName>
    <definedName name="ㅓㄹ" localSheetId="3" hidden="1">{#N/A,#N/A,TRUE,"일정"}</definedName>
    <definedName name="ㅓㄹ" localSheetId="1" hidden="1">{#N/A,#N/A,TRUE,"일정"}</definedName>
    <definedName name="ㅓㄹ" localSheetId="0" hidden="1">{#N/A,#N/A,TRUE,"일정"}</definedName>
    <definedName name="ㅓㄹ" hidden="1">{#N/A,#N/A,TRUE,"일정"}</definedName>
    <definedName name="ㅓㅓ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ㄹ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ㅏ니ㅣ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ㅎ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마ㅓ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ㅗㅗ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" hidden="1">'[3]N賃率-職'!$I$5:$I$30</definedName>
    <definedName name="ㅣㅏ아ㅓ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5" l="1"/>
  <c r="C13" i="58" l="1"/>
  <c r="D15" i="49"/>
  <c r="F7" i="45" s="1"/>
  <c r="E10" i="81"/>
  <c r="E11" i="81"/>
  <c r="J10" i="81"/>
  <c r="J9" i="81"/>
  <c r="D9" i="81"/>
  <c r="E9" i="81" s="1"/>
  <c r="J8" i="81"/>
  <c r="E8" i="81"/>
  <c r="J7" i="81"/>
  <c r="E7" i="81"/>
  <c r="F7" i="81" s="1"/>
  <c r="C14" i="58" l="1"/>
  <c r="F11" i="81"/>
  <c r="G11" i="81" s="1"/>
  <c r="F10" i="81"/>
  <c r="G10" i="81" s="1"/>
  <c r="H10" i="81" s="1"/>
  <c r="F9" i="81"/>
  <c r="G9" i="81" s="1"/>
  <c r="G7" i="81"/>
  <c r="H7" i="81" s="1"/>
  <c r="F8" i="81"/>
  <c r="G8" i="81" s="1"/>
  <c r="A10" i="80"/>
  <c r="H11" i="81" l="1"/>
  <c r="H8" i="81"/>
  <c r="H9" i="81"/>
  <c r="Q5" i="45"/>
  <c r="S5" i="45" s="1"/>
  <c r="T5" i="45" s="1"/>
  <c r="Q4" i="45"/>
  <c r="S4" i="45" s="1"/>
  <c r="T4" i="45" s="1"/>
  <c r="R13" i="45" l="1"/>
  <c r="K23" i="45" l="1"/>
  <c r="K22" i="45"/>
  <c r="K21" i="45"/>
  <c r="M22" i="45"/>
  <c r="P5" i="45" l="1"/>
  <c r="P4" i="45"/>
  <c r="D17" i="49"/>
  <c r="D18" i="49"/>
  <c r="H13" i="56"/>
  <c r="H13" i="57"/>
  <c r="H13" i="55"/>
  <c r="C4" i="55"/>
  <c r="M7" i="45"/>
  <c r="L23" i="45"/>
  <c r="N23" i="45" s="1"/>
  <c r="R15" i="45"/>
  <c r="N15" i="45"/>
  <c r="R14" i="45"/>
  <c r="F22" i="45" l="1"/>
  <c r="D19" i="49"/>
  <c r="R16" i="45"/>
  <c r="P15" i="58" l="1"/>
  <c r="J15" i="58"/>
  <c r="L15" i="58" s="1"/>
  <c r="A20" i="45"/>
  <c r="B20" i="45"/>
  <c r="E20" i="45"/>
  <c r="A19" i="45"/>
  <c r="B19" i="45"/>
  <c r="E19" i="45"/>
  <c r="B13" i="55"/>
  <c r="C13" i="57"/>
  <c r="C9" i="57"/>
  <c r="C7" i="57"/>
  <c r="C6" i="57"/>
  <c r="C13" i="56"/>
  <c r="C9" i="56"/>
  <c r="C7" i="56"/>
  <c r="C6" i="56"/>
  <c r="C4" i="56" l="1"/>
  <c r="B13" i="56" s="1"/>
  <c r="C4" i="57"/>
  <c r="B13" i="57" s="1"/>
  <c r="K9" i="49" l="1"/>
  <c r="J9" i="49"/>
  <c r="I9" i="49"/>
  <c r="H9" i="49"/>
  <c r="G9" i="49"/>
  <c r="F9" i="49"/>
  <c r="E9" i="49"/>
  <c r="K8" i="49"/>
  <c r="J8" i="49"/>
  <c r="I8" i="49"/>
  <c r="H8" i="49"/>
  <c r="G8" i="49"/>
  <c r="F8" i="49"/>
  <c r="E8" i="49"/>
  <c r="G15" i="49" l="1"/>
  <c r="E15" i="49"/>
  <c r="F15" i="49"/>
  <c r="K15" i="49"/>
  <c r="J15" i="49"/>
  <c r="I15" i="49"/>
  <c r="H15" i="49"/>
  <c r="F20" i="45" l="1"/>
  <c r="G7" i="45"/>
  <c r="L14" i="45" s="1"/>
  <c r="L22" i="45" s="1"/>
  <c r="F14" i="58" l="1"/>
  <c r="G20" i="45"/>
  <c r="F19" i="45"/>
  <c r="L13" i="45"/>
  <c r="L21" i="45" s="1"/>
  <c r="P14" i="58" l="1"/>
  <c r="J14" i="58"/>
  <c r="L14" i="58" s="1"/>
  <c r="E13" i="58"/>
  <c r="G19" i="45"/>
  <c r="F8" i="45"/>
  <c r="F9" i="45" l="1"/>
  <c r="F21" i="45" s="1"/>
  <c r="F23" i="45" s="1"/>
  <c r="N14" i="45"/>
  <c r="N22" i="45" s="1"/>
  <c r="G14" i="58"/>
  <c r="N15" i="58" s="1"/>
  <c r="R15" i="58" s="1"/>
  <c r="G13" i="58" l="1"/>
  <c r="G15" i="58" l="1"/>
  <c r="B8" i="58" s="1"/>
  <c r="N14" i="58"/>
  <c r="R14" i="58" s="1"/>
  <c r="N13" i="45"/>
  <c r="L4" i="45" l="1"/>
  <c r="N6" i="45" s="1"/>
  <c r="E13" i="56" s="1"/>
  <c r="F13" i="56" s="1"/>
  <c r="N16" i="45"/>
  <c r="Q13" i="45" s="1"/>
  <c r="N21" i="45"/>
  <c r="N24" i="45" s="1"/>
  <c r="L7" i="45" l="1"/>
  <c r="N4" i="45"/>
  <c r="E13" i="55" s="1"/>
  <c r="F13" i="55" s="1"/>
  <c r="F15" i="55" s="1"/>
  <c r="N5" i="45"/>
  <c r="E13" i="57" s="1"/>
  <c r="F13" i="57" s="1"/>
  <c r="F15" i="57" s="1"/>
  <c r="F15" i="56"/>
  <c r="G13" i="56"/>
  <c r="G15" i="56" s="1"/>
  <c r="S14" i="45"/>
  <c r="S15" i="45"/>
  <c r="S13" i="45"/>
  <c r="N7" i="45" l="1"/>
  <c r="F16" i="56"/>
  <c r="G13" i="55"/>
  <c r="G15" i="55" s="1"/>
  <c r="F16" i="55" s="1"/>
  <c r="G13" i="57"/>
  <c r="G15" i="57" s="1"/>
  <c r="F16" i="57" s="1"/>
  <c r="S16" i="45"/>
</calcChain>
</file>

<file path=xl/sharedStrings.xml><?xml version="1.0" encoding="utf-8"?>
<sst xmlns="http://schemas.openxmlformats.org/spreadsheetml/2006/main" count="316" uniqueCount="190">
  <si>
    <t xml:space="preserve">    CONTACT US</t>
    <phoneticPr fontId="13" type="noConversion"/>
  </si>
  <si>
    <t xml:space="preserve">      E S T I M A T E     S H E E T</t>
    <phoneticPr fontId="13" type="noConversion"/>
  </si>
  <si>
    <t xml:space="preserve">  K-System 고도화 견적서</t>
    <phoneticPr fontId="13" type="noConversion"/>
  </si>
  <si>
    <t xml:space="preserve">       견적일 : </t>
    <phoneticPr fontId="13" type="noConversion"/>
  </si>
  <si>
    <t xml:space="preserve">서울특별시 강서구 양천로 583 </t>
    <phoneticPr fontId="13" type="noConversion"/>
  </si>
  <si>
    <t xml:space="preserve">       Total  : </t>
    <phoneticPr fontId="13" type="noConversion"/>
  </si>
  <si>
    <t xml:space="preserve">대표이사 권 영범 </t>
    <phoneticPr fontId="13" type="noConversion"/>
  </si>
  <si>
    <t>(VAT별도)</t>
    <phoneticPr fontId="13" type="noConversion"/>
  </si>
  <si>
    <t>(유상 유지관리금액 발생)</t>
  </si>
  <si>
    <t xml:space="preserve">TEL : 02-2093-1100 </t>
    <phoneticPr fontId="13" type="noConversion"/>
  </si>
  <si>
    <t xml:space="preserve">1. K-System 구축 </t>
    <phoneticPr fontId="13" type="noConversion"/>
  </si>
  <si>
    <t>(단위:원, VAT별도)</t>
    <phoneticPr fontId="13" type="noConversion"/>
  </si>
  <si>
    <t>품명</t>
  </si>
  <si>
    <t>수량</t>
    <phoneticPr fontId="13" type="noConversion"/>
  </si>
  <si>
    <t>라이선스</t>
    <phoneticPr fontId="13" type="noConversion"/>
  </si>
  <si>
    <t>컨설팅</t>
    <phoneticPr fontId="13" type="noConversion"/>
  </si>
  <si>
    <t>개발</t>
    <phoneticPr fontId="13" type="noConversion"/>
  </si>
  <si>
    <t>합계</t>
    <phoneticPr fontId="13" type="noConversion"/>
  </si>
  <si>
    <t>K-System
ERP</t>
    <phoneticPr fontId="13" type="noConversion"/>
  </si>
  <si>
    <t>Consulting</t>
    <phoneticPr fontId="13" type="noConversion"/>
  </si>
  <si>
    <t>Customizing</t>
    <phoneticPr fontId="13" type="noConversion"/>
  </si>
  <si>
    <t>제안금액</t>
    <phoneticPr fontId="13" type="noConversion"/>
  </si>
  <si>
    <t>Remark</t>
    <phoneticPr fontId="13" type="noConversion"/>
  </si>
  <si>
    <t>-. 계약은 전자계약으로 진행하며 계약 완료 후 프로젝트를 진행합니다.</t>
    <phoneticPr fontId="13" type="noConversion"/>
  </si>
  <si>
    <t>-. 결제조건은 계약금 50%, 잔금 50% 현금이며, 세금계산서 발행조건은 다음과 같습니다.</t>
    <phoneticPr fontId="13" type="noConversion"/>
  </si>
  <si>
    <t>-. 무상유지관리는 검수 확인 후 3개월이며, 유상유지관리는 무상유지관리 종료 후 전환됩니다.</t>
    <phoneticPr fontId="13" type="noConversion"/>
  </si>
  <si>
    <t>-. 고도화 프로젝트는 비상주로 진행합니다.</t>
    <phoneticPr fontId="13" type="noConversion"/>
  </si>
  <si>
    <t xml:space="preserve">  K-System 고도화 인건비 및 유지관리</t>
    <phoneticPr fontId="13" type="noConversion"/>
  </si>
  <si>
    <t>고객사 지급 비율 (영림원 지급 조건)</t>
    <phoneticPr fontId="13" type="noConversion"/>
  </si>
  <si>
    <t>외주비 단가</t>
    <phoneticPr fontId="13" type="noConversion"/>
  </si>
  <si>
    <t>구분</t>
    <phoneticPr fontId="13" type="noConversion"/>
  </si>
  <si>
    <t>계약금액</t>
    <phoneticPr fontId="13" type="noConversion"/>
  </si>
  <si>
    <t>비율</t>
    <phoneticPr fontId="13" type="noConversion"/>
  </si>
  <si>
    <t>지급금액</t>
    <phoneticPr fontId="13" type="noConversion"/>
  </si>
  <si>
    <t>영림원단가</t>
    <phoneticPr fontId="13" type="noConversion"/>
  </si>
  <si>
    <t>▶</t>
    <phoneticPr fontId="13" type="noConversion"/>
  </si>
  <si>
    <t>외주단가(M/D)</t>
    <phoneticPr fontId="13" type="noConversion"/>
  </si>
  <si>
    <t>외주단가(M/M)</t>
    <phoneticPr fontId="13" type="noConversion"/>
  </si>
  <si>
    <t>1. K-System 고도화</t>
    <phoneticPr fontId="13" type="noConversion"/>
  </si>
  <si>
    <t>계약금</t>
    <phoneticPr fontId="13" type="noConversion"/>
  </si>
  <si>
    <t>내역</t>
    <phoneticPr fontId="13" type="noConversion"/>
  </si>
  <si>
    <t>단가</t>
    <phoneticPr fontId="13" type="noConversion"/>
  </si>
  <si>
    <t>공수</t>
    <phoneticPr fontId="13" type="noConversion"/>
  </si>
  <si>
    <t>금액</t>
    <phoneticPr fontId="13" type="noConversion"/>
  </si>
  <si>
    <t>☜</t>
    <phoneticPr fontId="13" type="noConversion"/>
  </si>
  <si>
    <t>컨설턴트 공수는 
추가개발 공수의 
최소 10%를 
적용합니다.
-----------
(Nego 요청
감안 할 것)</t>
    <phoneticPr fontId="13" type="noConversion"/>
  </si>
  <si>
    <t>중도금</t>
    <phoneticPr fontId="13" type="noConversion"/>
  </si>
  <si>
    <t>잔금</t>
    <phoneticPr fontId="13" type="noConversion"/>
  </si>
  <si>
    <t>계약날인 후 세금계산서 발행 / 30일 이내 현금 결재</t>
    <phoneticPr fontId="13" type="noConversion"/>
  </si>
  <si>
    <t>개발완료 검수 후 세금계산서 발행 / 30일 이내 현금 결재</t>
    <phoneticPr fontId="13" type="noConversion"/>
  </si>
  <si>
    <t>합계(VAT 별도)</t>
    <phoneticPr fontId="13" type="noConversion"/>
  </si>
  <si>
    <t>제안 금액(VAT 별도)</t>
    <phoneticPr fontId="13" type="noConversion"/>
  </si>
  <si>
    <t>외주비 자동 산출</t>
    <phoneticPr fontId="13" type="noConversion"/>
  </si>
  <si>
    <t>외주 비용</t>
    <phoneticPr fontId="13" type="noConversion"/>
  </si>
  <si>
    <t>외주 비용 지급 조건</t>
    <phoneticPr fontId="13" type="noConversion"/>
  </si>
  <si>
    <t>제품군을
(Genuine, Ace)
선택합니다.</t>
    <phoneticPr fontId="13" type="noConversion"/>
  </si>
  <si>
    <t>외주금액</t>
    <phoneticPr fontId="13" type="noConversion"/>
  </si>
  <si>
    <t>컨설턴트</t>
    <phoneticPr fontId="13" type="noConversion"/>
  </si>
  <si>
    <t>개발자</t>
    <phoneticPr fontId="13" type="noConversion"/>
  </si>
  <si>
    <t>재경비</t>
    <phoneticPr fontId="13" type="noConversion"/>
  </si>
  <si>
    <r>
      <rPr>
        <b/>
        <sz val="13"/>
        <color rgb="FFC00000"/>
        <rFont val="맑은 고딕"/>
        <family val="3"/>
        <charset val="129"/>
      </rPr>
      <t>▣</t>
    </r>
    <r>
      <rPr>
        <b/>
        <sz val="13"/>
        <rFont val="맑은 고딕"/>
        <family val="3"/>
        <charset val="129"/>
      </rPr>
      <t xml:space="preserve"> K-System 고도화 (</t>
    </r>
    <r>
      <rPr>
        <b/>
        <sz val="13"/>
        <color rgb="FFC00000"/>
        <rFont val="맑은 고딕"/>
        <family val="3"/>
        <charset val="129"/>
      </rPr>
      <t>유상</t>
    </r>
    <r>
      <rPr>
        <b/>
        <sz val="13"/>
        <rFont val="맑은 고딕"/>
        <family val="3"/>
        <charset val="129"/>
      </rPr>
      <t xml:space="preserve">유지관리 </t>
    </r>
    <r>
      <rPr>
        <b/>
        <sz val="13"/>
        <color rgb="FFC00000"/>
        <rFont val="맑은 고딕"/>
        <family val="3"/>
        <charset val="129"/>
      </rPr>
      <t>금액</t>
    </r>
    <r>
      <rPr>
        <b/>
        <sz val="13"/>
        <rFont val="맑은 고딕"/>
        <family val="3"/>
        <charset val="129"/>
      </rPr>
      <t xml:space="preserve"> 발생 </t>
    </r>
    <r>
      <rPr>
        <b/>
        <sz val="13"/>
        <color rgb="FFC00000"/>
        <rFont val="맑은 고딕"/>
        <family val="3"/>
        <charset val="129"/>
      </rPr>
      <t>안함</t>
    </r>
    <r>
      <rPr>
        <b/>
        <sz val="13"/>
        <rFont val="맑은 고딕"/>
        <family val="3"/>
        <charset val="129"/>
      </rPr>
      <t>)</t>
    </r>
    <phoneticPr fontId="13" type="noConversion"/>
  </si>
  <si>
    <t>개발공수</t>
    <phoneticPr fontId="13" type="noConversion"/>
  </si>
  <si>
    <t>개발금액
2,000만원
이하만 사용 
가능합니다.
(컨설팅
금액은 무시)</t>
    <phoneticPr fontId="13" type="noConversion"/>
  </si>
  <si>
    <t>재경비가 있는 경우만 활용하세요!!</t>
    <phoneticPr fontId="13" type="noConversion"/>
  </si>
  <si>
    <t>유상유지관리 금액을 발생시키지 않기 위한 추가 금액 (신규 추가개발 금액 * 40%)</t>
    <phoneticPr fontId="13" type="noConversion"/>
  </si>
  <si>
    <t>↖</t>
    <phoneticPr fontId="13" type="noConversion"/>
  </si>
  <si>
    <t>개발금액
2,000만원 
이상을 사용 
할 경우는
별도품의로
진행합니다.
-----------
(영업대표에서
요청 할 것)</t>
    <phoneticPr fontId="13" type="noConversion"/>
  </si>
  <si>
    <t xml:space="preserve">  K-System 고도화 상세 내역</t>
    <phoneticPr fontId="13" type="noConversion"/>
  </si>
  <si>
    <t xml:space="preserve"> 추가개발 상세 내역</t>
    <phoneticPr fontId="13" type="noConversion"/>
  </si>
  <si>
    <t>추가개발 상세 내역</t>
    <phoneticPr fontId="13" type="noConversion"/>
  </si>
  <si>
    <t>1. 추가개발 상세 내역</t>
    <phoneticPr fontId="13" type="noConversion"/>
  </si>
  <si>
    <t>(단위:M/D)</t>
  </si>
  <si>
    <t>상세개발내역
(상세내역 자세히 기록)</t>
    <phoneticPr fontId="13" type="noConversion"/>
  </si>
  <si>
    <t>개발
구분</t>
    <phoneticPr fontId="13" type="noConversion"/>
  </si>
  <si>
    <t>개발공수
(M/D)</t>
    <phoneticPr fontId="13" type="noConversion"/>
  </si>
  <si>
    <t>상세개발공수 산정내역(M/D)</t>
    <phoneticPr fontId="13" type="noConversion"/>
  </si>
  <si>
    <t>요구사항
분석</t>
    <phoneticPr fontId="13" type="noConversion"/>
  </si>
  <si>
    <t>Spec
작성</t>
    <phoneticPr fontId="13" type="noConversion"/>
  </si>
  <si>
    <t>구현
(coding)</t>
    <phoneticPr fontId="13" type="noConversion"/>
  </si>
  <si>
    <t xml:space="preserve"> 테스트</t>
    <phoneticPr fontId="13" type="noConversion"/>
  </si>
  <si>
    <t>매뉴얼</t>
    <phoneticPr fontId="13" type="noConversion"/>
  </si>
  <si>
    <t>설치</t>
  </si>
  <si>
    <t>실행</t>
    <phoneticPr fontId="13" type="noConversion"/>
  </si>
  <si>
    <t>문서</t>
    <phoneticPr fontId="13" type="noConversion"/>
  </si>
  <si>
    <t>수정</t>
    <phoneticPr fontId="13" type="noConversion"/>
  </si>
  <si>
    <t>추가개발 공수 합계 (M/D)</t>
    <phoneticPr fontId="13" type="noConversion"/>
  </si>
  <si>
    <t>신규</t>
  </si>
  <si>
    <t>(단위:원)</t>
  </si>
  <si>
    <t>적용년도</t>
  </si>
  <si>
    <t>역할</t>
  </si>
  <si>
    <t>SW기술자 구분</t>
  </si>
  <si>
    <t>노임단가
(일)</t>
  </si>
  <si>
    <t>월인건비단가</t>
  </si>
  <si>
    <t>제경비</t>
  </si>
  <si>
    <t>기술료</t>
  </si>
  <si>
    <t>월단가합계</t>
  </si>
  <si>
    <t>PD</t>
  </si>
  <si>
    <t>PL</t>
  </si>
  <si>
    <t>개발</t>
  </si>
  <si>
    <t>SE</t>
  </si>
  <si>
    <t>Remark</t>
  </si>
  <si>
    <t xml:space="preserve">    1. SW기술자 평균임금은 소프트웨어진흥법 제46조(적정대가지급등) 제4항 ‘소프트웨어기술자의 인건비 기준’을 지칭함</t>
    <phoneticPr fontId="224" type="noConversion"/>
  </si>
  <si>
    <t xml:space="preserve">    2. SW기술자 평균임금은 기본급, 제수당, 상여금, 퇴직급여충당금, 법인부담금을 모두 포함한 결과임</t>
    <phoneticPr fontId="224" type="noConversion"/>
  </si>
  <si>
    <t xml:space="preserve">    7. 계산근거 : 용역단가 = 월인건비단가 + 제경비 + 기술료</t>
  </si>
  <si>
    <t xml:space="preserve">         - 제경비는 직접인건비에 기본제경비율 110%를 곱하여 산정</t>
  </si>
  <si>
    <t>담당자</t>
    <phoneticPr fontId="13" type="noConversion"/>
  </si>
  <si>
    <t>김정민님</t>
    <phoneticPr fontId="13" type="noConversion"/>
  </si>
  <si>
    <t>jmkim2@ksystem.co.kr</t>
    <phoneticPr fontId="13" type="noConversion"/>
  </si>
  <si>
    <t>김에스더님</t>
    <phoneticPr fontId="13" type="noConversion"/>
  </si>
  <si>
    <t>ekim@ksystem.co.kr</t>
    <phoneticPr fontId="13" type="noConversion"/>
  </si>
  <si>
    <t xml:space="preserve">거래처명  </t>
    <phoneticPr fontId="13" type="noConversion"/>
  </si>
  <si>
    <t>세금계산서 발행 요청은 25일 이전 or 오전에 진행합니다.</t>
    <phoneticPr fontId="13" type="noConversion"/>
  </si>
  <si>
    <t xml:space="preserve">발 행 NO  </t>
    <phoneticPr fontId="13" type="noConversion"/>
  </si>
  <si>
    <t>특히 분기가 넘어가는 월은 조심해야 합니다.</t>
    <phoneticPr fontId="13" type="noConversion"/>
  </si>
  <si>
    <t xml:space="preserve">부 서 명 </t>
    <phoneticPr fontId="13" type="noConversion"/>
  </si>
  <si>
    <t>고객가치사업부</t>
    <phoneticPr fontId="224" type="noConversion"/>
  </si>
  <si>
    <t>분기 결산을 하므로 취소하기 어렵습니다.</t>
    <phoneticPr fontId="13" type="noConversion"/>
  </si>
  <si>
    <t xml:space="preserve">담 당 자 </t>
    <phoneticPr fontId="13" type="noConversion"/>
  </si>
  <si>
    <t>김재호</t>
    <phoneticPr fontId="224" type="noConversion"/>
  </si>
  <si>
    <t>세금계산서발행일</t>
    <phoneticPr fontId="13" type="noConversion"/>
  </si>
  <si>
    <t>세금계산서 발행 후 담당자에게 발행했다는 문자를 남기는 것이 좋습니다.</t>
    <phoneticPr fontId="13" type="noConversion"/>
  </si>
  <si>
    <t>수금예정일</t>
    <phoneticPr fontId="13" type="noConversion"/>
  </si>
  <si>
    <t>익월말</t>
    <phoneticPr fontId="224" type="noConversion"/>
  </si>
  <si>
    <t>가끔 못 받았다는 분들이 있습니다.</t>
    <phoneticPr fontId="13" type="noConversion"/>
  </si>
  <si>
    <t xml:space="preserve"> </t>
    <phoneticPr fontId="13" type="noConversion"/>
  </si>
  <si>
    <t>발행내역</t>
    <phoneticPr fontId="13" type="noConversion"/>
  </si>
  <si>
    <t>NO</t>
    <phoneticPr fontId="13" type="noConversion"/>
  </si>
  <si>
    <t>PROJECT NO.</t>
    <phoneticPr fontId="13" type="noConversion"/>
  </si>
  <si>
    <t>품명</t>
    <phoneticPr fontId="224" type="noConversion"/>
  </si>
  <si>
    <t>단  가</t>
    <phoneticPr fontId="13" type="noConversion"/>
  </si>
  <si>
    <t>금    액</t>
    <phoneticPr fontId="13" type="noConversion"/>
  </si>
  <si>
    <t>세  액</t>
    <phoneticPr fontId="13" type="noConversion"/>
  </si>
  <si>
    <t>비 고</t>
    <phoneticPr fontId="13" type="noConversion"/>
  </si>
  <si>
    <t>추가개발</t>
    <phoneticPr fontId="224" type="noConversion"/>
  </si>
  <si>
    <t>소         계</t>
    <phoneticPr fontId="13" type="noConversion"/>
  </si>
  <si>
    <t>합 계  금  액</t>
    <phoneticPr fontId="13" type="noConversion"/>
  </si>
  <si>
    <t>비  고</t>
    <phoneticPr fontId="13" type="noConversion"/>
  </si>
  <si>
    <t>사업자번호</t>
    <phoneticPr fontId="13" type="noConversion"/>
  </si>
  <si>
    <t>대표자</t>
    <phoneticPr fontId="13" type="noConversion"/>
  </si>
  <si>
    <t xml:space="preserve">상    호 </t>
    <phoneticPr fontId="13" type="noConversion"/>
  </si>
  <si>
    <t xml:space="preserve">주    소 </t>
    <phoneticPr fontId="13" type="noConversion"/>
  </si>
  <si>
    <t>업    태</t>
    <phoneticPr fontId="13" type="noConversion"/>
  </si>
  <si>
    <t>『세금계산서 발급의뢰서』</t>
    <phoneticPr fontId="13" type="noConversion"/>
  </si>
  <si>
    <r>
      <t xml:space="preserve">종 </t>
    </r>
    <r>
      <rPr>
        <sz val="11"/>
        <color theme="1"/>
        <rFont val="맑은 고딕"/>
        <family val="3"/>
        <charset val="129"/>
        <scheme val="minor"/>
      </rPr>
      <t xml:space="preserve"> 목</t>
    </r>
    <phoneticPr fontId="13" type="noConversion"/>
  </si>
  <si>
    <t xml:space="preserve">    5. SW기술자 평균임금은 전년 대비 8.25% 증가함</t>
    <phoneticPr fontId="224" type="noConversion"/>
  </si>
  <si>
    <t>⇒</t>
    <phoneticPr fontId="13" type="noConversion"/>
  </si>
  <si>
    <t>공수 (M/D ⇒ M/M)</t>
    <phoneticPr fontId="13" type="noConversion"/>
  </si>
  <si>
    <t>단가 재확인</t>
    <phoneticPr fontId="13" type="noConversion"/>
  </si>
  <si>
    <t>=</t>
    <phoneticPr fontId="13" type="noConversion"/>
  </si>
  <si>
    <t>÷</t>
    <phoneticPr fontId="13" type="noConversion"/>
  </si>
  <si>
    <t xml:space="preserve">                                               유지관리금액에 반영되지 않는 공수 ⇒</t>
    <phoneticPr fontId="13" type="noConversion"/>
  </si>
  <si>
    <t xml:space="preserve">  별첨#1. 등급별 산정 근거</t>
    <phoneticPr fontId="224" type="noConversion"/>
  </si>
  <si>
    <t>1. 별첨. 등급별 산정 근거</t>
    <phoneticPr fontId="224" type="noConversion"/>
  </si>
  <si>
    <t>영림원기준(월)</t>
    <phoneticPr fontId="224" type="noConversion"/>
  </si>
  <si>
    <t>영림원기준(일)</t>
    <phoneticPr fontId="224" type="noConversion"/>
  </si>
  <si>
    <t>2024년</t>
    <phoneticPr fontId="224" type="noConversion"/>
  </si>
  <si>
    <t>② IT컨설턴트</t>
    <phoneticPr fontId="224" type="noConversion"/>
  </si>
  <si>
    <t>PM</t>
    <phoneticPr fontId="224" type="noConversion"/>
  </si>
  <si>
    <t>⑤ IT프로젝트관리자</t>
    <phoneticPr fontId="224" type="noConversion"/>
  </si>
  <si>
    <t>⑤ IT프로젝트관리자 보조</t>
    <phoneticPr fontId="224" type="noConversion"/>
  </si>
  <si>
    <t>※ PL은 PM의 보조업무로 판단하여 SW 기술자 구분의 ⑤ IT프로젝트관리자의 80% 단가 적용</t>
    <phoneticPr fontId="224" type="noConversion"/>
  </si>
  <si>
    <t>⑨ 응용SW개발자</t>
    <phoneticPr fontId="224" type="noConversion"/>
  </si>
  <si>
    <r>
      <t>⑪</t>
    </r>
    <r>
      <rPr>
        <b/>
        <sz val="11"/>
        <rFont val="Calibri"/>
        <family val="3"/>
      </rPr>
      <t xml:space="preserve"> </t>
    </r>
    <r>
      <rPr>
        <b/>
        <sz val="11"/>
        <rFont val="맑은 고딕"/>
        <family val="3"/>
        <charset val="129"/>
      </rPr>
      <t>정보시스템운용자</t>
    </r>
    <phoneticPr fontId="224" type="noConversion"/>
  </si>
  <si>
    <t xml:space="preserve">    3. 노임단가(일)은 월평균임금÷평균근무일수(20.88일)로 산정함</t>
    <phoneticPr fontId="224" type="noConversion"/>
  </si>
  <si>
    <t xml:space="preserve">    4. 평균근무일수는 휴일, 법정공휴일 등을 제외한 업체가 응답한 근무일의 평균이며, 이는 개인의 휴가 사용여부와는 무관함</t>
    <phoneticPr fontId="224" type="noConversion"/>
  </si>
  <si>
    <t xml:space="preserve">    6. 출처 : 한국 소프트웨어 산업협회 (http://www.sw.or.kr)</t>
    <phoneticPr fontId="224" type="noConversion"/>
  </si>
  <si>
    <t xml:space="preserve">         - 직접인건비와 제경비의 합계액에 기본기술료율 20%를 곱하여 산정</t>
    <phoneticPr fontId="224" type="noConversion"/>
  </si>
  <si>
    <t xml:space="preserve">    8. [시행일] 2024년 1월 1일부터 2024년 12월 31일까지 적용</t>
    <phoneticPr fontId="224" type="noConversion"/>
  </si>
  <si>
    <t xml:space="preserve"> -. 추가개발을 위한 사전 업무 분석
 -. 일정관리, 스펙작성, 이슈관리 등</t>
    <phoneticPr fontId="13" type="noConversion"/>
  </si>
  <si>
    <t xml:space="preserve"> -. 추가개발 (상세개발 Sheet 참조)</t>
    <phoneticPr fontId="13" type="noConversion"/>
  </si>
  <si>
    <t xml:space="preserve">    * 잔  금 : 검수 확인 후 세금계산서 발행, 30일 이내 현금 지급</t>
    <phoneticPr fontId="13" type="noConversion"/>
  </si>
  <si>
    <t xml:space="preserve">    * 계약금 : 계약 날인 후 세금계산서 발행, 30일 이내 현금 지급</t>
    <phoneticPr fontId="13" type="noConversion"/>
  </si>
  <si>
    <t>-. 결제조건은 잔금 100% 현금이며, 세금계산서 발행조건은 다음과 같습니다.</t>
    <phoneticPr fontId="13" type="noConversion"/>
  </si>
  <si>
    <t>유효기간은 견적일로부터 30일</t>
    <phoneticPr fontId="13" type="noConversion"/>
  </si>
  <si>
    <t>2024년 고도화 견적서_ver1</t>
    <phoneticPr fontId="13" type="noConversion"/>
  </si>
  <si>
    <t>견적서 작성 시 영업대표에게 확인해야 할 업체</t>
    <phoneticPr fontId="13" type="noConversion"/>
  </si>
  <si>
    <t>2) KPX 그룹 : 유지관리 비율 및 무상기간 건</t>
    <phoneticPr fontId="13" type="noConversion"/>
  </si>
  <si>
    <t>1) JW바이오사이언스 : 유지관리비용 포함 시 비율건</t>
    <phoneticPr fontId="13" type="noConversion"/>
  </si>
  <si>
    <r>
      <t xml:space="preserve">                                                유지관리금액에 반영되는 공수 </t>
    </r>
    <r>
      <rPr>
        <b/>
        <sz val="11"/>
        <rFont val="맑은 고딕"/>
        <family val="3"/>
        <charset val="129"/>
      </rPr>
      <t xml:space="preserve">⇒  </t>
    </r>
    <phoneticPr fontId="13" type="noConversion"/>
  </si>
  <si>
    <t>㈜우원기술</t>
  </si>
  <si>
    <t>Consulting</t>
  </si>
  <si>
    <t>2025년 고도화 견적서_ver1</t>
    <phoneticPr fontId="13" type="noConversion"/>
  </si>
  <si>
    <t>실시간원가</t>
    <phoneticPr fontId="13" type="noConversion"/>
  </si>
  <si>
    <r>
      <rPr>
        <b/>
        <sz val="9"/>
        <color rgb="FFC00000"/>
        <rFont val="맑은 고딕"/>
        <family val="3"/>
        <charset val="129"/>
      </rPr>
      <t>[실시간원가차수별조회_woowon]</t>
    </r>
    <r>
      <rPr>
        <sz val="9"/>
        <rFont val="맑은 고딕"/>
        <family val="3"/>
        <charset val="129"/>
      </rPr>
      <t xml:space="preserve">
※실시간원가 차수별 저장 데이터  조회 가능 / 처리 화면으로 점프가능 </t>
    </r>
    <phoneticPr fontId="224" type="noConversion"/>
  </si>
  <si>
    <r>
      <rPr>
        <b/>
        <sz val="9"/>
        <color rgb="FFC00000"/>
        <rFont val="맑은 고딕"/>
        <family val="3"/>
        <charset val="129"/>
      </rPr>
      <t>[실시간원가조회Dashboard(임원용)_woowon]</t>
    </r>
    <r>
      <rPr>
        <sz val="9"/>
        <rFont val="맑은 고딕"/>
        <family val="3"/>
        <charset val="129"/>
      </rPr>
      <t xml:space="preserve">
※예산대비실적 차트로 보여 주기 / ERP 화면 점프가능 </t>
    </r>
    <phoneticPr fontId="224" type="noConversion"/>
  </si>
  <si>
    <r>
      <rPr>
        <b/>
        <sz val="10"/>
        <color rgb="FFC00000"/>
        <rFont val="맑은 고딕"/>
        <family val="3"/>
        <charset val="129"/>
      </rPr>
      <t>[실시간원가조회Dashboard(관리자용)_woowon]</t>
    </r>
    <r>
      <rPr>
        <sz val="10"/>
        <rFont val="맑은 고딕"/>
        <family val="3"/>
        <charset val="129"/>
      </rPr>
      <t xml:space="preserve">
※예산대비실적 차트로 보여 주기 /ERP 화면 점프가능</t>
    </r>
    <phoneticPr fontId="224" type="noConversion"/>
  </si>
  <si>
    <r>
      <rPr>
        <b/>
        <sz val="9"/>
        <color rgb="FFC00000"/>
        <rFont val="맑은 고딕"/>
        <family val="3"/>
        <charset val="129"/>
      </rPr>
      <t>[실시간원가비율설정_woowon]</t>
    </r>
    <r>
      <rPr>
        <sz val="9"/>
        <rFont val="맑은 고딕"/>
        <family val="3"/>
        <charset val="129"/>
      </rPr>
      <t xml:space="preserve">
※경비, 간접제조경비, 판관비 계산 항목에 적용된 비율 /  연단위 고정값 입력</t>
    </r>
    <phoneticPr fontId="224" type="noConversion"/>
  </si>
  <si>
    <r>
      <rPr>
        <b/>
        <sz val="9"/>
        <color rgb="FFC00000"/>
        <rFont val="맑은 고딕"/>
        <family val="3"/>
        <charset val="129"/>
      </rPr>
      <t>[프로젝트 그룹 설정_woowon ]</t>
    </r>
    <r>
      <rPr>
        <sz val="9"/>
        <rFont val="맑은 고딕"/>
        <family val="3"/>
        <charset val="129"/>
      </rPr>
      <t xml:space="preserve">
-실시간 원가에서 프로젝트 묶어서 조회 하기 위한 프로젝트 설정 화면 
-신규 프로젝트 코드도움 개발 
</t>
    </r>
    <r>
      <rPr>
        <b/>
        <sz val="9"/>
        <color rgb="FFC00000"/>
        <rFont val="맑은 고딕"/>
        <family val="3"/>
        <charset val="129"/>
      </rPr>
      <t>[프로젝트 그룹 조회_woowon ]</t>
    </r>
    <r>
      <rPr>
        <sz val="9"/>
        <color rgb="FFC00000"/>
        <rFont val="맑은 고딕"/>
        <family val="3"/>
        <charset val="129"/>
      </rPr>
      <t xml:space="preserve">
-</t>
    </r>
    <r>
      <rPr>
        <sz val="9"/>
        <rFont val="맑은 고딕"/>
        <family val="3"/>
        <charset val="129"/>
      </rPr>
      <t>입력 화면에서 저장한 데이터 조회 /입력 화면 점프가능</t>
    </r>
    <phoneticPr fontId="224" type="noConversion"/>
  </si>
  <si>
    <r>
      <rPr>
        <b/>
        <sz val="9"/>
        <color rgb="FFC00000"/>
        <rFont val="맑은 고딕"/>
        <family val="3"/>
        <charset val="129"/>
      </rPr>
      <t>[실시간원가처리_woowon]</t>
    </r>
    <r>
      <rPr>
        <sz val="9"/>
        <rFont val="맑은 고딕"/>
        <family val="3"/>
        <charset val="129"/>
      </rPr>
      <t xml:space="preserve">
-금액 계산 기준
  재료비           - 구매입고 기준
  노무비           -  직접 부서별 승인공수 기준 / 직위별 단가 기준 
  직접경비        -  외주가공비    / 외주계약 기준
                         기타직접경비 / 전표 기준
  간접제조경비  - 직접경비 * 비율
  판매비           - 매출액 * 비율
-과거에 프로젝트 결산 원가 내역이 있을 경우 해당 데이터 반영하여 실시간 원가 조회 
-실시간 원가처리내역  차수별로 저장 기능 제공 하여 시점별 history 관리</t>
    </r>
    <phoneticPr fontId="224" type="noConversion"/>
  </si>
  <si>
    <r>
      <rPr>
        <b/>
        <sz val="9"/>
        <color rgb="FFC00000"/>
        <rFont val="맑은 고딕"/>
        <family val="3"/>
        <charset val="129"/>
      </rPr>
      <t>[실시간원가인건비계산설정_woowon]</t>
    </r>
    <r>
      <rPr>
        <sz val="9"/>
        <rFont val="맑은 고딕"/>
        <family val="3"/>
        <charset val="129"/>
      </rPr>
      <t xml:space="preserve">
 -노무비 공수 계산위한 직접부서 설정 
 -직위별 단가표 설정</t>
    </r>
    <phoneticPr fontId="2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</si>
</sst>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6">
    <numFmt numFmtId="5" formatCode="&quot;₩&quot;#,##0;\-&quot;₩&quot;#,##0"/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#,##0_);[Red]\(#,##0\)"/>
    <numFmt numFmtId="177" formatCode="#,##0_ "/>
    <numFmt numFmtId="178" formatCode="_-* #,##0.00_-;&quot;₩&quot;\-* #,##0.00_-;_-* &quot;-&quot;??_-;_-@_-"/>
    <numFmt numFmtId="179" formatCode="&quot;₩&quot;#,##0;[Red]&quot;₩&quot;&quot;-&quot;#,##0"/>
    <numFmt numFmtId="180" formatCode="&quot;₩&quot;#,##0.00;[Red]&quot;₩&quot;&quot;-&quot;#,##0.00"/>
    <numFmt numFmtId="181" formatCode="&quot;₩&quot;&quot;₩&quot;\$#,##0_);&quot;₩&quot;&quot;₩&quot;\(&quot;₩&quot;&quot;₩&quot;\$#,##0&quot;₩&quot;&quot;₩&quot;\)"/>
    <numFmt numFmtId="182" formatCode="&quot;₩&quot;&quot;₩&quot;\$#,##0_);[Red]&quot;₩&quot;&quot;₩&quot;\(&quot;₩&quot;&quot;₩&quot;\$#,##0&quot;₩&quot;&quot;₩&quot;\)"/>
    <numFmt numFmtId="183" formatCode="&quot;₩&quot;&quot;₩&quot;\$#,##0.00_);&quot;₩&quot;&quot;₩&quot;\(&quot;₩&quot;&quot;₩&quot;\$#,##0.00&quot;₩&quot;&quot;₩&quot;\)"/>
    <numFmt numFmtId="184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5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6" formatCode="_-* #,##0&quot;₩&quot;\ _D_M_-;&quot;₩&quot;\-* #,##0&quot;₩&quot;\ _D_M_-;_-* &quot;-&quot;&quot;₩&quot;\ _D_M_-;_-@_-"/>
    <numFmt numFmtId="187" formatCode="* #,##0.0"/>
    <numFmt numFmtId="188" formatCode="#,##0.00000"/>
    <numFmt numFmtId="189" formatCode="_ * #,##0_ ;_ * &quot;₩&quot;\-#,##0_ ;_ * &quot;-&quot;??_ ;_ @_ "/>
    <numFmt numFmtId="190" formatCode="0.0%;[Red]&quot;△&quot;0.0%"/>
    <numFmt numFmtId="191" formatCode="0.00000000"/>
    <numFmt numFmtId="192" formatCode="_(* #,##0.0_);_(* \(#,##0.0\);_(* &quot;-&quot;??_);_(@_)"/>
    <numFmt numFmtId="193" formatCode="_ * #,##0.00_ ;_ * \-#,##0.00_ ;_ * &quot;-&quot;??_ ;_ @_ "/>
    <numFmt numFmtId="194" formatCode="yy&quot;₩&quot;/mm&quot;₩&quot;/dd"/>
    <numFmt numFmtId="195" formatCode="###,###,"/>
    <numFmt numFmtId="196" formatCode="0.00000%"/>
    <numFmt numFmtId="197" formatCode="_ &quot;₩&quot;* #,##0.0000000_ ;_ &quot;₩&quot;* &quot;₩&quot;\-#,##0.0000000_ ;_ &quot;₩&quot;* &quot;-&quot;??_ ;_ @_ "/>
    <numFmt numFmtId="198" formatCode="#,##0;[Red]&quot;△&quot;#,##0"/>
    <numFmt numFmtId="199" formatCode="_ * #,##0.000000_ ;_ * &quot;₩&quot;\-#,##0.000000_ ;_ * &quot;-&quot;??_ ;_ @_ "/>
    <numFmt numFmtId="200" formatCode="#,##0.0"/>
    <numFmt numFmtId="201" formatCode="&quot;₩&quot;#,##0;&quot;₩&quot;&quot;₩&quot;&quot;₩&quot;&quot;₩&quot;\-#,##0"/>
    <numFmt numFmtId="202" formatCode="_-* #,##0.00_-;&quot;₩&quot;&quot;₩&quot;&quot;₩&quot;&quot;₩&quot;&quot;₩&quot;\-* #,##0.00_-;_-* &quot;-&quot;??_-;_-@_-"/>
    <numFmt numFmtId="203" formatCode="#,##0;&quot;-&quot;#,##0"/>
    <numFmt numFmtId="204" formatCode="&quot;₩&quot;#,##0;[Red]&quot;₩&quot;&quot;₩&quot;&quot;₩&quot;&quot;₩&quot;\-#,##0"/>
    <numFmt numFmtId="205" formatCode="&quot;₩&quot;#,##0;[Red]&quot;₩&quot;\-&quot;₩&quot;#,##0"/>
    <numFmt numFmtId="206" formatCode="&quot;₩&quot;#,##0;&quot;₩&quot;\-&quot;₩&quot;#,##0"/>
    <numFmt numFmtId="207" formatCode="&quot;₩&quot;#,##0.00;&quot;₩&quot;&quot;₩&quot;&quot;₩&quot;&quot;₩&quot;\-#,##0.00"/>
    <numFmt numFmtId="208" formatCode="&quot;₩&quot;#,##0.00;[Red]&quot;₩&quot;\-#,##0.00"/>
    <numFmt numFmtId="209" formatCode="&quot;$&quot;#,##0_);[Red]\(&quot;$&quot;#,##0\)"/>
    <numFmt numFmtId="210" formatCode="0.0000"/>
    <numFmt numFmtId="211" formatCode="&quot;₩&quot;#,##0"/>
    <numFmt numFmtId="212" formatCode="_-* #,##0.0_-;\-* #,##0.0_-;_-* &quot;-&quot;?_-;_-@_-"/>
    <numFmt numFmtId="213" formatCode="&quot;₩&quot;\ \ #,##0\ &quot;원 (VAT 별도)&quot;"/>
    <numFmt numFmtId="214" formatCode="#"/>
    <numFmt numFmtId="215" formatCode="#,##0.000"/>
    <numFmt numFmtId="216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217" formatCode="&quot;₩&quot;\!\$#\!\,##0_);[Red]&quot;₩&quot;\!\(&quot;₩&quot;\!\$#\!\,##0&quot;₩&quot;\!\)"/>
    <numFmt numFmtId="218" formatCode="\$#,##0_);[Red]&quot;($&quot;#,##0\)"/>
    <numFmt numFmtId="219" formatCode="&quot;$&quot;#,##0.0,_);[Red]\(&quot;$&quot;#,##0.0,\)"/>
    <numFmt numFmtId="220" formatCode="_ &quot;₩&quot;* #,##0.00_ ;_ &quot;₩&quot;* \-#,##0.00_ ;_ &quot;₩&quot;* &quot;-&quot;??_ ;_ @_ "/>
    <numFmt numFmtId="221" formatCode="#."/>
    <numFmt numFmtId="222" formatCode="0.0%"/>
    <numFmt numFmtId="223" formatCode="0.000%"/>
    <numFmt numFmtId="224" formatCode="0.0000%"/>
    <numFmt numFmtId="225" formatCode="#,##0,_);[Red]\(#,##0,\)"/>
    <numFmt numFmtId="226" formatCode="_ * #,##0_ ;_ * \-#,##0_ ;_ * &quot;-&quot;_ ;_ @_ "/>
    <numFmt numFmtId="227" formatCode="#,##0.0000"/>
    <numFmt numFmtId="228" formatCode="&quot;$&quot;#,##0.00_);\(&quot;$&quot;#,##0.00\)"/>
    <numFmt numFmtId="229" formatCode="_ &quot;₩&quot;* #,##0_ ;_ &quot;₩&quot;* \-#,##0_ ;_ &quot;₩&quot;* &quot;-&quot;_ ;_ @_ "/>
    <numFmt numFmtId="230" formatCode="&quot;₩&quot;#,##0;[Red]&quot;₩&quot;\-#,##0"/>
    <numFmt numFmtId="231" formatCode="#,##0.00\ &quot;F&quot;;\-#,##0.00\ &quot;F&quot;"/>
    <numFmt numFmtId="232" formatCode="&quot;$&quot;#,##0_);\(&quot;$&quot;#,##0\)"/>
    <numFmt numFmtId="233" formatCode="_(&quot;$&quot;* #,##0.0_);_(&quot;$&quot;* \(#,##0.0\);_(&quot;$&quot;* &quot;-&quot;_);_(@_)"/>
    <numFmt numFmtId="234" formatCode="#,##0.0_);[Red]\(#,##0.0\)"/>
    <numFmt numFmtId="235" formatCode="_(* #,##0_);_(* \(#,##0\);_(* &quot;-&quot;_);_(@_)"/>
    <numFmt numFmtId="236" formatCode="#,##0.000_ "/>
    <numFmt numFmtId="237" formatCode="&quot;$&quot;#,##0.00_);[Red]\(&quot;$&quot;#,##0.00\)"/>
    <numFmt numFmtId="238" formatCode="\$#,##0.00"/>
    <numFmt numFmtId="239" formatCode="&quot;₩&quot;#,##0.00;&quot;₩&quot;\-#,##0.00"/>
    <numFmt numFmtId="240" formatCode="_ * #,##0_ ;_ * &quot;₩&quot;&quot;₩&quot;\-#,##0_ ;_ * &quot;-&quot;_ ;_ @_ "/>
    <numFmt numFmtId="241" formatCode="_([$€-2]* #,##0.00_);_([$€-2]* \(#,##0.00\);_([$€-2]* &quot;-&quot;??_)"/>
    <numFmt numFmtId="242" formatCode="0.00&quot;  &quot;"/>
    <numFmt numFmtId="243" formatCode="0.000&quot;  &quot;"/>
    <numFmt numFmtId="244" formatCode="_(&quot;$&quot;* #,##0_);_(&quot;$&quot;* \(#,##0\);_(&quot;$&quot;* &quot;-&quot;_);_(@_)"/>
    <numFmt numFmtId="245" formatCode="_(&quot;$&quot;* #,##0.00_);_(&quot;$&quot;* \(#,##0.00\);_(&quot;$&quot;* &quot;-&quot;??_);_(@_)"/>
    <numFmt numFmtId="246" formatCode="&quot;$&quot;#,##0_);[Red]&quot;₩&quot;&quot;₩&quot;\!\!\(&quot;$&quot;#,##0&quot;₩&quot;&quot;₩&quot;\!\!\)"/>
    <numFmt numFmtId="247" formatCode="&quot;$&quot;#,##0.00_);[Red]&quot;₩&quot;&quot;₩&quot;\!\!\(&quot;$&quot;#,##0.00&quot;₩&quot;&quot;₩&quot;\!\!\)"/>
    <numFmt numFmtId="248" formatCode="&quot;$&quot;#,##0.0_);\(&quot;$&quot;#,##0.0\)"/>
    <numFmt numFmtId="249" formatCode="&quot;₩&quot;#,##0;&quot;₩&quot;&quot;₩&quot;&quot;₩&quot;\-&quot;₩&quot;#,##0"/>
    <numFmt numFmtId="250" formatCode="#,###.0,,\ \ ;\(#,###.0,,\)\ \ "/>
    <numFmt numFmtId="251" formatCode="General_)"/>
    <numFmt numFmtId="252" formatCode="#,###,\ \ ;\(#,###,\)\ \ "/>
    <numFmt numFmtId="253" formatCode="#,##0\ &quot;DM&quot;;[Red]\-#,##0\ &quot;DM&quot;"/>
    <numFmt numFmtId="254" formatCode="#,##0.00\ &quot;DM&quot;;[Red]\-#,##0.00\ &quot;DM&quot;"/>
    <numFmt numFmtId="255" formatCode="_-&quot;DM&quot;* #,##0_-;_-&quot;DM&quot;* #,##0\-;_-&quot;DM&quot;* &quot;-&quot;_-;_-@_-"/>
    <numFmt numFmtId="256" formatCode="_-&quot;DM&quot;* #,##0.00_-;_-&quot;DM&quot;* #,##0.00\-;_-&quot;DM&quot;* &quot;-&quot;??_-;_-@_-"/>
    <numFmt numFmtId="257" formatCode="mmm&quot;-&quot;yy"/>
    <numFmt numFmtId="258" formatCode="_ &quot;₩&quot;* #,##0_ ;_ &quot;₩&quot;* &quot;₩&quot;&quot;₩&quot;&quot;₩&quot;\-#,##0_ ;_ &quot;₩&quot;* &quot;-&quot;_ ;_ @_ "/>
    <numFmt numFmtId="259" formatCode="_(* #,##0.00_);_(* \(#,##0.00\);_(* &quot;-&quot;??_);_(@_)"/>
    <numFmt numFmtId="260" formatCode="_-* #,##0\ _D_M_-;\-* #,##0\ _D_M_-;_-* &quot;-&quot;\ _D_M_-;_-@_-"/>
    <numFmt numFmtId="261" formatCode="0.0%_);\(0.0%\)"/>
    <numFmt numFmtId="262" formatCode="#,##0;\-#,##0.00"/>
    <numFmt numFmtId="263" formatCode="#\!\,##0;&quot;₩&quot;\!\-#\!\,##0\!.00"/>
    <numFmt numFmtId="264" formatCode="000.000"/>
    <numFmt numFmtId="265" formatCode="_ * #,##0_ ;_ * &quot;₩&quot;&quot;₩&quot;&quot;₩&quot;\-#,##0_ ;_ * &quot;-&quot;_ ;_ @_ "/>
    <numFmt numFmtId="266" formatCode="&quot;₩&quot;&quot;₩&quot;&quot;₩&quot;&quot;₩&quot;&quot;₩&quot;&quot;₩&quot;&quot;₩&quot;&quot;₩&quot;&quot;₩&quot;&quot;₩&quot;&quot;₩&quot;&quot;₩&quot;&quot;₩&quot;&quot;₩&quot;&quot;₩&quot;&quot;₩&quot;&quot;₩&quot;\$#,##0_);[Red]&quot;₩&quot;&quot;₩&quot;&quot;₩&quot;&quot;₩&quot;&quot;₩&quot;&quot;₩&quot;&quot;₩&quot;&quot;₩&quot;&quot;₩&quot;&quot;₩&quot;&quot;₩&quot;&quot;₩&quot;&quot;₩&quot;&quot;₩&quot;&quot;₩&quot;&quot;₩&quot;&quot;₩&quot;\(&quot;₩&quot;&quot;₩&quot;&quot;₩&quot;&quot;₩&quot;&quot;₩&quot;&quot;₩&quot;&quot;₩&quot;&quot;₩&quot;&quot;₩&quot;&quot;₩&quot;&quot;₩&quot;&quot;₩&quot;&quot;₩&quot;&quot;₩&quot;&quot;₩&quot;&quot;₩&quot;&quot;₩&quot;\$#,##0&quot;₩&quot;&quot;₩&quot;&quot;₩&quot;&quot;₩&quot;&quot;₩&quot;&quot;₩&quot;&quot;₩&quot;&quot;₩&quot;&quot;₩&quot;&quot;₩&quot;&quot;₩&quot;&quot;₩&quot;&quot;₩&quot;&quot;₩&quot;&quot;₩&quot;&quot;₩&quot;&quot;₩&quot;\)"/>
    <numFmt numFmtId="267" formatCode="#,##0;[Red]&quot;-&quot;#,##0"/>
    <numFmt numFmtId="268" formatCode="#,##0.00_ "/>
    <numFmt numFmtId="269" formatCode="_(&quot;$&quot;* #,##0.00_);_(&quot;$&quot;* &quot;₩&quot;&quot;₩&quot;\!\!\(#,##0.00&quot;₩&quot;&quot;₩&quot;\!\!\);_(&quot;$&quot;* &quot;-&quot;??_);_(@_)"/>
    <numFmt numFmtId="270" formatCode="0_ "/>
    <numFmt numFmtId="271" formatCode="0000"/>
    <numFmt numFmtId="272" formatCode="0.00;[Red]0.00"/>
    <numFmt numFmtId="273" formatCode="hh:mm:ss\ &quot;上&quot;&quot;午&quot;/&quot;下&quot;&quot;午&quot;_)"/>
    <numFmt numFmtId="274" formatCode="_(* #,##0.00000_);_(* \(#,##0.00000\);_(* &quot;-&quot;??_);_(@_)"/>
    <numFmt numFmtId="275" formatCode="&quot;$&quot;#,##0.00000_);\(&quot;$&quot;#,##0.00000\)"/>
    <numFmt numFmtId="276" formatCode="\(0.0%\);[Red]\(&quot;△&quot;0.0%\)"/>
    <numFmt numFmtId="277" formatCode="0.0#"/>
    <numFmt numFmtId="278" formatCode="#,##0\ &quot;F&quot;;[Red]\-#,##0\ &quot;F&quot;"/>
    <numFmt numFmtId="279" formatCode="#,##0.00\ &quot;F&quot;;[Red]\-#,##0.00\ &quot;F&quot;"/>
    <numFmt numFmtId="280" formatCode="_ &quot;₩&quot;* #,##0_ ;_ &quot;₩&quot;* &quot;₩&quot;&quot;₩&quot;\-#,##0_ ;_ &quot;₩&quot;* &quot;-&quot;_ ;_ @_ "/>
    <numFmt numFmtId="281" formatCode="_-* #,##0.0_-;\-* #,##0.0_-;_-* &quot;-&quot;??_-;_-@_-"/>
    <numFmt numFmtId="282" formatCode="&quot;$&quot;#,###"/>
    <numFmt numFmtId="283" formatCode="&quot;(&quot;mm&quot;)&quot;&quot;월&quot;"/>
    <numFmt numFmtId="284" formatCode="_ &quot;￥&quot;* #,##0_ ;_ &quot;￥&quot;* \-#,##0_ ;_ &quot;￥&quot;* &quot;-&quot;_ ;_ @_ "/>
    <numFmt numFmtId="285" formatCode="#.00"/>
    <numFmt numFmtId="286" formatCode="#,##0."/>
    <numFmt numFmtId="287" formatCode="\$#."/>
    <numFmt numFmtId="288" formatCode="_(* #,##0.0000_);_(* \(#,##0.0000\);_(* &quot;-&quot;??_);_(@_)"/>
    <numFmt numFmtId="289" formatCode="_ &quot;$&quot;* #,##0_ ;_ &quot;$&quot;* \-#,##0_ ;_ &quot;$&quot;* &quot;-&quot;_ ;_ @_ "/>
    <numFmt numFmtId="290" formatCode="_ &quot;$&quot;* #,##0.00_ ;_ &quot;$&quot;* \-#,##0.00_ ;_ &quot;$&quot;* &quot;-&quot;??_ ;_ @_ "/>
    <numFmt numFmtId="291" formatCode="_(* #,##0.0_);_(* \(#,##0.0\);_(* &quot;-&quot;_);_(@_)"/>
    <numFmt numFmtId="292" formatCode="_-&quot;₩&quot;* #,##0_-;&quot;₩&quot;\!\-&quot;₩&quot;* #,##0_-;_-&quot;₩&quot;* &quot;-&quot;_-;_-@_-"/>
    <numFmt numFmtId="293" formatCode="_(* #,##0_);_(* \(#,##0\);_(* &quot;-&quot;??_);_(@_)"/>
    <numFmt numFmtId="294" formatCode="_(* #,##0.00_);_(* \(#,##0.00\);_(* &quot;-&quot;_);_(@_)"/>
    <numFmt numFmtId="295" formatCode="0.0\ &quot;M/D&quot;"/>
    <numFmt numFmtId="296" formatCode="&quot;₩&quot;#,##0_);[Red]\(&quot;₩&quot;#,##0\)"/>
    <numFmt numFmtId="297" formatCode="0.0_);[Red]\(0.0\)"/>
    <numFmt numFmtId="298" formatCode="0_);[Red]\(0\)"/>
    <numFmt numFmtId="299" formatCode="0\1\P00000"/>
    <numFmt numFmtId="300" formatCode="m&quot;/&quot;d"/>
    <numFmt numFmtId="301" formatCode="_-* #,##0.00_-;\-* #,##0.00_-;_-* &quot;-&quot;_-;_-@_-"/>
    <numFmt numFmtId="302" formatCode="0.0&quot; M/D&quot;"/>
    <numFmt numFmtId="303" formatCode="0.00&quot; M/M&quot;"/>
    <numFmt numFmtId="304" formatCode="00.0&quot;일&quot;"/>
  </numFmts>
  <fonts count="259">
    <font>
      <sz val="11"/>
      <name val="돋움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sz val="10"/>
      <name val="Helv"/>
      <family val="2"/>
    </font>
    <font>
      <sz val="10"/>
      <name val="Arial"/>
      <family val="2"/>
    </font>
    <font>
      <sz val="10"/>
      <name val="명조"/>
      <family val="3"/>
      <charset val="129"/>
    </font>
    <font>
      <sz val="1"/>
      <color indexed="8"/>
      <name val="Courier"/>
      <family val="3"/>
    </font>
    <font>
      <sz val="8"/>
      <name val="Arial"/>
      <family val="2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MS Sans Serif"/>
      <family val="2"/>
    </font>
    <font>
      <b/>
      <sz val="10"/>
      <name val="Helv"/>
      <family val="2"/>
    </font>
    <font>
      <sz val="10"/>
      <color indexed="24"/>
      <name val="Arial"/>
      <family val="2"/>
    </font>
    <font>
      <sz val="10"/>
      <name val="MS Serif"/>
      <family val="1"/>
    </font>
    <font>
      <sz val="9"/>
      <name val="굴림체"/>
      <family val="3"/>
      <charset val="129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b/>
      <sz val="12"/>
      <name val="Helv"/>
      <family val="2"/>
    </font>
    <font>
      <b/>
      <sz val="11"/>
      <name val="Helv"/>
      <family val="2"/>
    </font>
    <font>
      <sz val="7"/>
      <name val="Small Fonts"/>
      <family val="2"/>
    </font>
    <font>
      <sz val="10"/>
      <color indexed="8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"/>
      <color indexed="8"/>
      <name val="Courier"/>
      <family val="3"/>
    </font>
    <font>
      <sz val="11"/>
      <name val="굴림"/>
      <family val="3"/>
      <charset val="129"/>
    </font>
    <font>
      <sz val="10"/>
      <name val="궁서(English)"/>
      <family val="3"/>
      <charset val="129"/>
    </font>
    <font>
      <sz val="10"/>
      <name val="맑은 고딕"/>
      <family val="3"/>
      <charset val="129"/>
      <scheme val="minor"/>
    </font>
    <font>
      <sz val="10"/>
      <name val="돋움"/>
      <family val="3"/>
      <charset val="129"/>
    </font>
    <font>
      <sz val="12"/>
      <name val="돋움체"/>
      <family val="3"/>
      <charset val="129"/>
    </font>
    <font>
      <sz val="12"/>
      <name val="Times New Roman"/>
      <family val="1"/>
    </font>
    <font>
      <sz val="9"/>
      <name val="ZapfHumnst BT"/>
      <family val="2"/>
    </font>
    <font>
      <b/>
      <sz val="10"/>
      <name val="Palatino"/>
      <family val="1"/>
    </font>
    <font>
      <i/>
      <sz val="1"/>
      <color indexed="8"/>
      <name val="Courier"/>
      <family val="3"/>
    </font>
    <font>
      <b/>
      <i/>
      <u/>
      <sz val="12"/>
      <name val="Palatino"/>
      <family val="1"/>
    </font>
    <font>
      <b/>
      <u/>
      <sz val="10"/>
      <name val="Palatino"/>
      <family val="1"/>
    </font>
    <font>
      <sz val="10"/>
      <name val="Tms Rmn"/>
      <family val="1"/>
    </font>
    <font>
      <sz val="10"/>
      <name val="Palatino"/>
      <family val="1"/>
    </font>
    <font>
      <b/>
      <sz val="12"/>
      <name val="Book Antiqua"/>
      <family val="1"/>
    </font>
    <font>
      <sz val="8"/>
      <name val="Palatino"/>
      <family val="1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바탕체"/>
      <family val="1"/>
      <charset val="129"/>
    </font>
    <font>
      <b/>
      <sz val="10"/>
      <name val="MS Sans Serif"/>
      <family val="2"/>
    </font>
    <font>
      <sz val="10"/>
      <color indexed="10"/>
      <name val="바탕체"/>
      <family val="1"/>
      <charset val="129"/>
    </font>
    <font>
      <sz val="10"/>
      <name val="Times New Roman"/>
      <family val="1"/>
    </font>
    <font>
      <sz val="12"/>
      <name val="¹????¼"/>
      <family val="1"/>
      <charset val="129"/>
    </font>
    <font>
      <sz val="10"/>
      <name val="Geneva"/>
      <family val="2"/>
    </font>
    <font>
      <sz val="11"/>
      <name val="굴림체"/>
      <family val="3"/>
      <charset val="129"/>
    </font>
    <font>
      <sz val="6"/>
      <name val="굴림"/>
      <family val="3"/>
      <charset val="129"/>
    </font>
    <font>
      <sz val="12"/>
      <name val="Arial"/>
      <family val="2"/>
    </font>
    <font>
      <sz val="10"/>
      <color indexed="12"/>
      <name val="Courier"/>
      <family val="3"/>
    </font>
    <font>
      <sz val="10"/>
      <name val="¸iA¶"/>
      <family val="3"/>
      <charset val="129"/>
    </font>
    <font>
      <sz val="10"/>
      <name val="¸íÁ¶"/>
      <family val="3"/>
      <charset val="129"/>
    </font>
    <font>
      <b/>
      <sz val="12"/>
      <name val="바탕체"/>
      <family val="1"/>
      <charset val="129"/>
    </font>
    <font>
      <sz val="8"/>
      <color indexed="12"/>
      <name val="Univers (E1)"/>
      <family val="2"/>
    </font>
    <font>
      <sz val="11"/>
      <color indexed="8"/>
      <name val="Calibri"/>
      <family val="2"/>
    </font>
    <font>
      <sz val="11"/>
      <color indexed="8"/>
      <name val="맑은 고딕"/>
      <family val="3"/>
      <charset val="129"/>
    </font>
    <font>
      <sz val="12"/>
      <name val="Tahoma"/>
      <family val="2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굴림체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2"/>
      <name val="System"/>
      <family val="2"/>
      <charset val="129"/>
    </font>
    <font>
      <sz val="11"/>
      <color indexed="20"/>
      <name val="Calibri"/>
      <family val="2"/>
    </font>
    <font>
      <sz val="8"/>
      <name val="¹UAAA¼"/>
      <family val="1"/>
      <charset val="129"/>
    </font>
    <font>
      <sz val="10"/>
      <color indexed="1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color indexed="11"/>
      <name val="Times New Roman"/>
      <family val="1"/>
    </font>
    <font>
      <sz val="10"/>
      <color indexed="10"/>
      <name val="Times New Roman"/>
      <family val="1"/>
    </font>
    <font>
      <b/>
      <sz val="9"/>
      <name val="Helv"/>
      <family val="2"/>
    </font>
    <font>
      <sz val="9"/>
      <name val="Arial monospaced for SAP"/>
      <family val="3"/>
    </font>
    <font>
      <i/>
      <sz val="11"/>
      <color indexed="23"/>
      <name val="Calibri"/>
      <family val="2"/>
    </font>
    <font>
      <u/>
      <sz val="10"/>
      <color indexed="14"/>
      <name val="MS Sans Serif"/>
      <family val="2"/>
    </font>
    <font>
      <sz val="11"/>
      <color indexed="17"/>
      <name val="Calibri"/>
      <family val="2"/>
    </font>
    <font>
      <sz val="8"/>
      <name val="ＭＳ 明朝"/>
      <family val="3"/>
      <charset val="255"/>
    </font>
    <font>
      <b/>
      <sz val="1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9"/>
      <name val="바탕체"/>
      <family val="1"/>
      <charset val="129"/>
    </font>
    <font>
      <sz val="8"/>
      <name val="Arial Narrow"/>
      <family val="2"/>
    </font>
    <font>
      <sz val="11"/>
      <color indexed="52"/>
      <name val="Calibri"/>
      <family val="2"/>
    </font>
    <font>
      <sz val="12"/>
      <name val="Courier New"/>
      <family val="3"/>
    </font>
    <font>
      <sz val="11"/>
      <color indexed="60"/>
      <name val="Calibri"/>
      <family val="2"/>
    </font>
    <font>
      <sz val="12"/>
      <name val="Helv"/>
      <family val="2"/>
    </font>
    <font>
      <sz val="10"/>
      <name val="Arial"/>
      <family val="2"/>
      <charset val="238"/>
    </font>
    <font>
      <b/>
      <sz val="10"/>
      <name val="Arial"/>
      <family val="2"/>
    </font>
    <font>
      <b/>
      <sz val="12"/>
      <name val="MS Sans Serif"/>
      <family val="2"/>
    </font>
    <font>
      <b/>
      <sz val="11"/>
      <color indexed="63"/>
      <name val="Calibri"/>
      <family val="2"/>
    </font>
    <font>
      <sz val="10"/>
      <name val="Arial MT"/>
      <family val="2"/>
    </font>
    <font>
      <sz val="12"/>
      <color indexed="9"/>
      <name val="Arial"/>
      <family val="2"/>
    </font>
    <font>
      <sz val="8"/>
      <name val="Arial MT"/>
      <family val="2"/>
    </font>
    <font>
      <b/>
      <i/>
      <sz val="10"/>
      <color indexed="10"/>
      <name val="Arial"/>
      <family val="2"/>
    </font>
    <font>
      <sz val="10"/>
      <name val="Times"/>
      <family val="1"/>
    </font>
    <font>
      <sz val="24"/>
      <name val="Courier New"/>
      <family val="3"/>
    </font>
    <font>
      <b/>
      <i/>
      <sz val="8"/>
      <name val="Arial"/>
      <family val="2"/>
    </font>
    <font>
      <b/>
      <i/>
      <sz val="12"/>
      <name val="Arial"/>
      <family val="2"/>
    </font>
    <font>
      <b/>
      <sz val="11"/>
      <name val="Times"/>
      <family val="1"/>
    </font>
    <font>
      <b/>
      <sz val="12"/>
      <color indexed="8"/>
      <name val="Times New Roman"/>
      <family val="1"/>
    </font>
    <font>
      <b/>
      <sz val="9"/>
      <name val="Arial"/>
      <family val="2"/>
    </font>
    <font>
      <b/>
      <sz val="14"/>
      <name val="Tms Rmn"/>
      <family val="1"/>
    </font>
    <font>
      <b/>
      <sz val="18"/>
      <color indexed="56"/>
      <name val="Cambria"/>
      <family val="1"/>
    </font>
    <font>
      <b/>
      <u/>
      <sz val="13"/>
      <name val="굴림체"/>
      <family val="3"/>
      <charset val="129"/>
    </font>
    <font>
      <b/>
      <sz val="14"/>
      <name val="Arial"/>
      <family val="2"/>
    </font>
    <font>
      <sz val="8"/>
      <color indexed="12"/>
      <name val="Arial"/>
      <family val="2"/>
    </font>
    <font>
      <sz val="8"/>
      <color indexed="12"/>
      <name val="Arial MT"/>
      <family val="2"/>
    </font>
    <font>
      <sz val="10"/>
      <name val="CG Times"/>
      <family val="1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7"/>
      <name val="ＭＳ 明朝"/>
      <family val="3"/>
      <charset val="255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name val="돋움체"/>
      <family val="3"/>
      <charset val="129"/>
    </font>
    <font>
      <sz val="12"/>
      <color indexed="10"/>
      <name val="바탕체"/>
      <family val="1"/>
      <charset val="129"/>
    </font>
    <font>
      <sz val="14"/>
      <name val="뼥?ⓒ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sz val="10"/>
      <name val="돋움체"/>
      <family val="3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9"/>
      <name val="Arial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견고딕"/>
      <family val="1"/>
      <charset val="129"/>
    </font>
    <font>
      <sz val="12"/>
      <name val="新細明體"/>
      <family val="1"/>
      <charset val="136"/>
    </font>
    <font>
      <sz val="11"/>
      <color indexed="62"/>
      <name val="맑은 고딕"/>
      <family val="3"/>
      <charset val="129"/>
    </font>
    <font>
      <sz val="12"/>
      <name val="명조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9"/>
      <color indexed="8"/>
      <name val="굴림체"/>
      <family val="3"/>
      <charset val="129"/>
    </font>
    <font>
      <sz val="10"/>
      <name val="Arial Narrow"/>
      <family val="2"/>
    </font>
    <font>
      <sz val="12"/>
      <name val="Courier"/>
      <family val="3"/>
    </font>
    <font>
      <sz val="10"/>
      <color indexed="8"/>
      <name val="Helv"/>
      <family val="2"/>
    </font>
    <font>
      <b/>
      <sz val="11"/>
      <color indexed="18"/>
      <name val="Times New Roman"/>
      <family val="1"/>
    </font>
    <font>
      <u/>
      <sz val="10"/>
      <color indexed="12"/>
      <name val="MS Sans Serif"/>
      <family val="2"/>
    </font>
    <font>
      <b/>
      <sz val="8.5"/>
      <name val="MS Sans Serif"/>
      <family val="2"/>
    </font>
    <font>
      <b/>
      <sz val="8"/>
      <color indexed="8"/>
      <name val="Arial"/>
      <family val="2"/>
    </font>
    <font>
      <sz val="9"/>
      <name val="굴림"/>
      <family val="3"/>
      <charset val="129"/>
    </font>
    <font>
      <sz val="10"/>
      <name val="Verdana"/>
      <family val="2"/>
    </font>
    <font>
      <u/>
      <sz val="10"/>
      <color indexed="36"/>
      <name val="MS Sans Serif"/>
      <family val="2"/>
    </font>
    <font>
      <u/>
      <sz val="11"/>
      <color indexed="12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color indexed="16"/>
      <name val="돋움"/>
      <family val="3"/>
      <charset val="129"/>
    </font>
    <font>
      <b/>
      <sz val="11"/>
      <color indexed="53"/>
      <name val="돋움"/>
      <family val="3"/>
      <charset val="129"/>
    </font>
    <font>
      <b/>
      <sz val="11"/>
      <color indexed="9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5"/>
      <color indexed="62"/>
      <name val="돋움"/>
      <family val="3"/>
      <charset val="129"/>
    </font>
    <font>
      <b/>
      <sz val="13"/>
      <color indexed="62"/>
      <name val="돋움"/>
      <family val="3"/>
      <charset val="129"/>
    </font>
    <font>
      <b/>
      <sz val="11"/>
      <color indexed="62"/>
      <name val="돋움"/>
      <family val="3"/>
      <charset val="129"/>
    </font>
    <font>
      <sz val="11"/>
      <color indexed="62"/>
      <name val="돋움"/>
      <family val="3"/>
      <charset val="129"/>
    </font>
    <font>
      <sz val="11"/>
      <color indexed="53"/>
      <name val="돋움"/>
      <family val="3"/>
      <charset val="129"/>
    </font>
    <font>
      <sz val="11"/>
      <color indexed="60"/>
      <name val="돋움"/>
      <family val="3"/>
      <charset val="129"/>
    </font>
    <font>
      <b/>
      <sz val="11"/>
      <color indexed="63"/>
      <name val="돋움"/>
      <family val="3"/>
      <charset val="129"/>
    </font>
    <font>
      <b/>
      <sz val="12"/>
      <name val="AppleGothic"/>
      <family val="1"/>
    </font>
    <font>
      <b/>
      <sz val="18"/>
      <color indexed="62"/>
      <name val="맑은 고딕"/>
      <family val="3"/>
      <charset val="129"/>
    </font>
    <font>
      <b/>
      <sz val="11"/>
      <color indexed="8"/>
      <name val="Calibri"/>
      <family val="2"/>
    </font>
    <font>
      <sz val="11"/>
      <color indexed="10"/>
      <name val="돋움"/>
      <family val="3"/>
      <charset val="129"/>
    </font>
    <font>
      <u/>
      <sz val="11"/>
      <color indexed="36"/>
      <name val="돋움"/>
      <family val="3"/>
      <charset val="129"/>
    </font>
    <font>
      <u/>
      <sz val="11"/>
      <color theme="10"/>
      <name val="돋움"/>
      <family val="3"/>
      <charset val="129"/>
    </font>
    <font>
      <sz val="9"/>
      <color theme="0" tint="-0.499984740745262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b/>
      <sz val="11"/>
      <color rgb="FF007042"/>
      <name val="맑은 고딕"/>
      <family val="3"/>
      <charset val="129"/>
    </font>
    <font>
      <b/>
      <sz val="12"/>
      <color rgb="FF007042"/>
      <name val="맑은 고딕"/>
      <family val="3"/>
      <charset val="129"/>
    </font>
    <font>
      <sz val="8"/>
      <color theme="1" tint="0.34998626667073579"/>
      <name val="맑은 고딕"/>
      <family val="3"/>
      <charset val="129"/>
    </font>
    <font>
      <b/>
      <sz val="20"/>
      <name val="맑은 고딕"/>
      <family val="3"/>
      <charset val="129"/>
    </font>
    <font>
      <b/>
      <sz val="8"/>
      <color rgb="FF007042"/>
      <name val="맑은 고딕"/>
      <family val="3"/>
      <charset val="129"/>
    </font>
    <font>
      <b/>
      <sz val="30"/>
      <color rgb="FF00704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z val="13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rgb="FF7F7F7F"/>
      <name val="맑은 고딕"/>
      <family val="3"/>
      <charset val="129"/>
    </font>
    <font>
      <sz val="10"/>
      <name val="PragmaticaCTT"/>
      <family val="1"/>
    </font>
    <font>
      <sz val="12"/>
      <name val="宋体"/>
      <charset val="129"/>
    </font>
    <font>
      <u/>
      <sz val="11"/>
      <color indexed="20"/>
      <name val="돋움"/>
      <family val="3"/>
      <charset val="129"/>
    </font>
    <font>
      <sz val="12"/>
      <name val="芥竟"/>
      <family val="3"/>
      <charset val="129"/>
    </font>
    <font>
      <sz val="11"/>
      <name val="ＭＳ Ｐゴシック"/>
      <family val="2"/>
    </font>
    <font>
      <b/>
      <sz val="10"/>
      <color theme="0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1" tint="0.34998626667073579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3"/>
      <color rgb="FFC00000"/>
      <name val="맑은 고딕"/>
      <family val="3"/>
      <charset val="129"/>
    </font>
    <font>
      <sz val="11"/>
      <color rgb="FFC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sz val="36"/>
      <name val="맑은 고딕"/>
      <family val="3"/>
      <charset val="129"/>
    </font>
    <font>
      <sz val="24"/>
      <name val="맑은 고딕"/>
      <family val="3"/>
      <charset val="129"/>
    </font>
    <font>
      <b/>
      <sz val="28"/>
      <color rgb="FF007042"/>
      <name val="맑은 고딕"/>
      <family val="3"/>
      <charset val="129"/>
      <scheme val="minor"/>
    </font>
    <font>
      <sz val="10"/>
      <color theme="1" tint="0.34998626667073579"/>
      <name val="맑은 고딕"/>
      <family val="3"/>
      <charset val="129"/>
    </font>
    <font>
      <sz val="11"/>
      <color theme="0" tint="-0.249977111117893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b/>
      <sz val="36"/>
      <name val="맑은 고딕"/>
      <family val="3"/>
      <charset val="129"/>
    </font>
    <font>
      <sz val="48"/>
      <name val="맑은 고딕"/>
      <family val="3"/>
      <charset val="129"/>
    </font>
    <font>
      <b/>
      <sz val="11"/>
      <name val="Calibri"/>
      <family val="3"/>
    </font>
    <font>
      <sz val="9"/>
      <color theme="1"/>
      <name val="맑은 고딕"/>
      <family val="3"/>
      <charset val="129"/>
      <scheme val="minor"/>
    </font>
    <font>
      <b/>
      <sz val="12"/>
      <color rgb="FF00704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2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6"/>
      <name val="맑은 고딕"/>
      <family val="3"/>
      <charset val="129"/>
    </font>
    <font>
      <b/>
      <sz val="12"/>
      <name val="나눔스퀘어"/>
      <family val="3"/>
      <charset val="129"/>
    </font>
    <font>
      <sz val="2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9"/>
      <color rgb="FFC00000"/>
      <name val="맑은 고딕"/>
      <family val="3"/>
      <charset val="129"/>
    </font>
    <font>
      <sz val="9"/>
      <color rgb="FFC00000"/>
      <name val="맑은 고딕"/>
      <family val="3"/>
      <charset val="129"/>
    </font>
  </fonts>
  <fills count="6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  <bgColor indexed="2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5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8"/>
      </patternFill>
    </fill>
    <fill>
      <patternFill patternType="mediumGray">
        <fgColor indexed="22"/>
      </patternFill>
    </fill>
    <fill>
      <patternFill patternType="solid">
        <fgColor indexed="40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indexed="3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gray0625">
        <fgColor indexed="21"/>
      </patternFill>
    </fill>
    <fill>
      <patternFill patternType="solid">
        <fgColor rgb="FF007042"/>
        <bgColor indexed="64"/>
      </patternFill>
    </fill>
    <fill>
      <patternFill patternType="solid">
        <fgColor rgb="FF259E64"/>
        <bgColor indexed="64"/>
      </patternFill>
    </fill>
    <fill>
      <patternFill patternType="solid">
        <fgColor rgb="FFDCEAE6"/>
        <bgColor indexed="64"/>
      </patternFill>
    </fill>
    <fill>
      <patternFill patternType="solid">
        <fgColor rgb="FFF7EED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9944"/>
        <bgColor indexed="64"/>
      </patternFill>
    </fill>
    <fill>
      <patternFill patternType="solid">
        <fgColor rgb="FF2AB459"/>
        <bgColor indexed="64"/>
      </patternFill>
    </fill>
    <fill>
      <patternFill patternType="solid">
        <fgColor rgb="FFEAFFE8"/>
        <bgColor indexed="64"/>
      </patternFill>
    </fill>
    <fill>
      <patternFill patternType="solid">
        <fgColor rgb="FFFFF9B9"/>
        <bgColor indexed="64"/>
      </patternFill>
    </fill>
  </fills>
  <borders count="9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 diagonalUp="1" diagonalDown="1"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rgb="FF007042"/>
      </top>
      <bottom/>
      <diagonal/>
    </border>
    <border>
      <left/>
      <right/>
      <top/>
      <bottom style="medium">
        <color rgb="FF007042"/>
      </bottom>
      <diagonal/>
    </border>
    <border>
      <left/>
      <right/>
      <top style="medium">
        <color rgb="FF007042"/>
      </top>
      <bottom/>
      <diagonal/>
    </border>
    <border>
      <left/>
      <right/>
      <top/>
      <bottom style="medium">
        <color theme="0" tint="-0.24994659260841701"/>
      </bottom>
      <diagonal/>
    </border>
    <border>
      <left style="thin">
        <color rgb="FF007042"/>
      </left>
      <right style="thin">
        <color rgb="FF007042"/>
      </right>
      <top style="thin">
        <color rgb="FF007042"/>
      </top>
      <bottom style="thin">
        <color rgb="FF007042"/>
      </bottom>
      <diagonal/>
    </border>
    <border>
      <left style="medium">
        <color rgb="FF007042"/>
      </left>
      <right/>
      <top style="medium">
        <color rgb="FF007042"/>
      </top>
      <bottom/>
      <diagonal/>
    </border>
    <border>
      <left/>
      <right style="medium">
        <color rgb="FF007042"/>
      </right>
      <top style="medium">
        <color rgb="FF007042"/>
      </top>
      <bottom/>
      <diagonal/>
    </border>
    <border>
      <left style="medium">
        <color rgb="FF007042"/>
      </left>
      <right/>
      <top/>
      <bottom/>
      <diagonal/>
    </border>
    <border>
      <left/>
      <right style="medium">
        <color rgb="FF007042"/>
      </right>
      <top/>
      <bottom/>
      <diagonal/>
    </border>
    <border>
      <left style="medium">
        <color rgb="FF007042"/>
      </left>
      <right/>
      <top/>
      <bottom style="medium">
        <color rgb="FF007042"/>
      </bottom>
      <diagonal/>
    </border>
    <border>
      <left/>
      <right style="medium">
        <color rgb="FF007042"/>
      </right>
      <top/>
      <bottom style="medium">
        <color rgb="FF007042"/>
      </bottom>
      <diagonal/>
    </border>
    <border>
      <left style="thin">
        <color rgb="FF007042"/>
      </left>
      <right style="thin">
        <color rgb="FF007042"/>
      </right>
      <top style="thin">
        <color rgb="FF00704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rgb="FF007042"/>
      </left>
      <right/>
      <top style="thin">
        <color rgb="FF007042"/>
      </top>
      <bottom/>
      <diagonal/>
    </border>
    <border>
      <left/>
      <right style="thin">
        <color rgb="FF007042"/>
      </right>
      <top style="thin">
        <color rgb="FF00704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7042"/>
      </right>
      <top style="medium">
        <color indexed="64"/>
      </top>
      <bottom style="medium">
        <color indexed="64"/>
      </bottom>
      <diagonal/>
    </border>
    <border>
      <left style="thin">
        <color rgb="FF007042"/>
      </left>
      <right style="thin">
        <color rgb="FF007042"/>
      </right>
      <top style="medium">
        <color indexed="64"/>
      </top>
      <bottom style="medium">
        <color indexed="64"/>
      </bottom>
      <diagonal/>
    </border>
    <border>
      <left style="thin">
        <color rgb="FF00704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7042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903">
    <xf numFmtId="0" fontId="0" fillId="0" borderId="0"/>
    <xf numFmtId="0" fontId="15" fillId="0" borderId="0"/>
    <xf numFmtId="0" fontId="16" fillId="0" borderId="0"/>
    <xf numFmtId="41" fontId="11" fillId="0" borderId="0" applyFont="0" applyFill="0" applyBorder="0" applyAlignment="0" applyProtection="0"/>
    <xf numFmtId="0" fontId="18" fillId="0" borderId="1"/>
    <xf numFmtId="0" fontId="11" fillId="0" borderId="0" applyFill="0" applyBorder="0" applyAlignment="0"/>
    <xf numFmtId="4" fontId="19" fillId="0" borderId="0">
      <protection locked="0"/>
    </xf>
    <xf numFmtId="179" fontId="12" fillId="0" borderId="0">
      <protection locked="0"/>
    </xf>
    <xf numFmtId="182" fontId="12" fillId="0" borderId="0">
      <protection locked="0"/>
    </xf>
    <xf numFmtId="183" fontId="12" fillId="0" borderId="0">
      <protection locked="0"/>
    </xf>
    <xf numFmtId="38" fontId="20" fillId="2" borderId="0" applyNumberFormat="0" applyBorder="0" applyAlignment="0" applyProtection="0"/>
    <xf numFmtId="0" fontId="14" fillId="0" borderId="2" applyNumberFormat="0" applyAlignment="0" applyProtection="0">
      <alignment horizontal="left" vertical="center"/>
    </xf>
    <xf numFmtId="0" fontId="14" fillId="0" borderId="3">
      <alignment horizontal="left" vertical="center"/>
    </xf>
    <xf numFmtId="181" fontId="12" fillId="0" borderId="0">
      <protection locked="0"/>
    </xf>
    <xf numFmtId="181" fontId="12" fillId="0" borderId="0">
      <protection locked="0"/>
    </xf>
    <xf numFmtId="10" fontId="20" fillId="3" borderId="4" applyNumberFormat="0" applyBorder="0" applyAlignment="0" applyProtection="0"/>
    <xf numFmtId="178" fontId="15" fillId="0" borderId="0"/>
    <xf numFmtId="180" fontId="12" fillId="0" borderId="0">
      <protection locked="0"/>
    </xf>
    <xf numFmtId="10" fontId="17" fillId="0" borderId="0" applyFont="0" applyFill="0" applyBorder="0" applyAlignment="0" applyProtection="0"/>
    <xf numFmtId="181" fontId="12" fillId="0" borderId="5">
      <protection locked="0"/>
    </xf>
    <xf numFmtId="0" fontId="24" fillId="0" borderId="0"/>
    <xf numFmtId="41" fontId="24" fillId="0" borderId="0" applyFont="0" applyFill="0" applyBorder="0" applyAlignment="0" applyProtection="0"/>
    <xf numFmtId="24" fontId="27" fillId="0" borderId="0" applyFont="0" applyFill="0" applyBorder="0" applyAlignment="0" applyProtection="0"/>
    <xf numFmtId="184" fontId="27" fillId="0" borderId="0" applyNumberFormat="0" applyFont="0" applyFill="0" applyBorder="0" applyAlignment="0" applyProtection="0"/>
    <xf numFmtId="184" fontId="27" fillId="0" borderId="0" applyNumberFormat="0" applyFont="0" applyFill="0" applyBorder="0" applyAlignment="0" applyProtection="0"/>
    <xf numFmtId="185" fontId="27" fillId="0" borderId="0" applyNumberFormat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6" fontId="24" fillId="0" borderId="0" applyFill="0" applyBorder="0" applyAlignment="0"/>
    <xf numFmtId="187" fontId="24" fillId="0" borderId="0" applyFill="0" applyBorder="0" applyAlignment="0"/>
    <xf numFmtId="188" fontId="24" fillId="0" borderId="0" applyFill="0" applyBorder="0" applyAlignment="0"/>
    <xf numFmtId="189" fontId="24" fillId="0" borderId="0" applyFill="0" applyBorder="0" applyAlignment="0"/>
    <xf numFmtId="190" fontId="24" fillId="0" borderId="0" applyFill="0" applyBorder="0" applyAlignment="0"/>
    <xf numFmtId="191" fontId="24" fillId="0" borderId="0" applyFill="0" applyBorder="0" applyAlignment="0"/>
    <xf numFmtId="186" fontId="24" fillId="0" borderId="0" applyFill="0" applyBorder="0" applyAlignment="0"/>
    <xf numFmtId="0" fontId="28" fillId="0" borderId="0"/>
    <xf numFmtId="190" fontId="24" fillId="0" borderId="0" applyFont="0" applyFill="0" applyBorder="0" applyAlignment="0" applyProtection="0"/>
    <xf numFmtId="192" fontId="24" fillId="0" borderId="0"/>
    <xf numFmtId="193" fontId="17" fillId="0" borderId="0" applyFont="0" applyFill="0" applyBorder="0" applyAlignment="0" applyProtection="0"/>
    <xf numFmtId="3" fontId="29" fillId="0" borderId="0" applyFont="0" applyFill="0" applyBorder="0" applyAlignment="0" applyProtection="0"/>
    <xf numFmtId="0" fontId="30" fillId="0" borderId="0" applyNumberFormat="0" applyAlignment="0">
      <alignment horizontal="left"/>
    </xf>
    <xf numFmtId="186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31" fillId="0" borderId="0"/>
    <xf numFmtId="14" fontId="32" fillId="0" borderId="0" applyFill="0" applyBorder="0" applyAlignment="0"/>
    <xf numFmtId="194" fontId="24" fillId="0" borderId="0"/>
    <xf numFmtId="190" fontId="24" fillId="0" borderId="0" applyFill="0" applyBorder="0" applyAlignment="0"/>
    <xf numFmtId="186" fontId="24" fillId="0" borderId="0" applyFill="0" applyBorder="0" applyAlignment="0"/>
    <xf numFmtId="190" fontId="24" fillId="0" borderId="0" applyFill="0" applyBorder="0" applyAlignment="0"/>
    <xf numFmtId="191" fontId="24" fillId="0" borderId="0" applyFill="0" applyBorder="0" applyAlignment="0"/>
    <xf numFmtId="186" fontId="24" fillId="0" borderId="0" applyFill="0" applyBorder="0" applyAlignment="0"/>
    <xf numFmtId="0" fontId="33" fillId="0" borderId="0" applyNumberFormat="0" applyAlignment="0">
      <alignment horizontal="left"/>
    </xf>
    <xf numFmtId="0" fontId="34" fillId="0" borderId="0">
      <alignment horizontal="left"/>
    </xf>
    <xf numFmtId="195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90" fontId="24" fillId="0" borderId="0" applyFill="0" applyBorder="0" applyAlignment="0"/>
    <xf numFmtId="186" fontId="24" fillId="0" borderId="0" applyFill="0" applyBorder="0" applyAlignment="0"/>
    <xf numFmtId="190" fontId="24" fillId="0" borderId="0" applyFill="0" applyBorder="0" applyAlignment="0"/>
    <xf numFmtId="191" fontId="24" fillId="0" borderId="0" applyFill="0" applyBorder="0" applyAlignment="0"/>
    <xf numFmtId="186" fontId="24" fillId="0" borderId="0" applyFill="0" applyBorder="0" applyAlignment="0"/>
    <xf numFmtId="0" fontId="35" fillId="0" borderId="15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7" fontId="36" fillId="0" borderId="0"/>
    <xf numFmtId="189" fontId="24" fillId="0" borderId="0" applyFont="0" applyFill="0" applyBorder="0" applyAlignment="0" applyProtection="0"/>
    <xf numFmtId="196" fontId="24" fillId="0" borderId="0" applyFont="0" applyFill="0" applyBorder="0" applyAlignment="0" applyProtection="0"/>
    <xf numFmtId="197" fontId="24" fillId="0" borderId="0" applyFont="0" applyFill="0" applyBorder="0" applyAlignment="0" applyProtection="0"/>
    <xf numFmtId="190" fontId="24" fillId="0" borderId="0" applyFill="0" applyBorder="0" applyAlignment="0"/>
    <xf numFmtId="186" fontId="24" fillId="0" borderId="0" applyFill="0" applyBorder="0" applyAlignment="0"/>
    <xf numFmtId="190" fontId="24" fillId="0" borderId="0" applyFill="0" applyBorder="0" applyAlignment="0"/>
    <xf numFmtId="191" fontId="24" fillId="0" borderId="0" applyFill="0" applyBorder="0" applyAlignment="0"/>
    <xf numFmtId="186" fontId="24" fillId="0" borderId="0" applyFill="0" applyBorder="0" applyAlignment="0"/>
    <xf numFmtId="9" fontId="37" fillId="0" borderId="0" applyFont="0" applyFill="0" applyProtection="0"/>
    <xf numFmtId="14" fontId="38" fillId="0" borderId="0" applyNumberFormat="0" applyFill="0" applyBorder="0" applyAlignment="0" applyProtection="0">
      <alignment horizontal="left"/>
    </xf>
    <xf numFmtId="0" fontId="37" fillId="0" borderId="0"/>
    <xf numFmtId="0" fontId="35" fillId="0" borderId="0"/>
    <xf numFmtId="40" fontId="39" fillId="0" borderId="0" applyBorder="0">
      <alignment horizontal="right"/>
    </xf>
    <xf numFmtId="49" fontId="32" fillId="0" borderId="0" applyFill="0" applyBorder="0" applyAlignment="0"/>
    <xf numFmtId="197" fontId="24" fillId="0" borderId="0" applyFill="0" applyBorder="0" applyAlignment="0"/>
    <xf numFmtId="198" fontId="24" fillId="0" borderId="0" applyFill="0" applyBorder="0" applyAlignment="0"/>
    <xf numFmtId="199" fontId="24" fillId="0" borderId="0" applyFont="0" applyFill="0" applyBorder="0" applyAlignment="0" applyProtection="0"/>
    <xf numFmtId="200" fontId="24" fillId="0" borderId="0" applyFont="0" applyFill="0" applyBorder="0" applyAlignment="0" applyProtection="0"/>
    <xf numFmtId="201" fontId="15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9" fontId="41" fillId="0" borderId="0" applyFont="0" applyFill="0" applyBorder="0" applyAlignment="0" applyProtection="0"/>
    <xf numFmtId="202" fontId="24" fillId="0" borderId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18" fillId="0" borderId="1"/>
    <xf numFmtId="203" fontId="42" fillId="0" borderId="0" applyFont="0" applyFill="0" applyBorder="0" applyAlignment="0" applyProtection="0"/>
    <xf numFmtId="4" fontId="19" fillId="0" borderId="0">
      <protection locked="0"/>
    </xf>
    <xf numFmtId="204" fontId="15" fillId="0" borderId="0">
      <protection locked="0"/>
    </xf>
    <xf numFmtId="0" fontId="24" fillId="0" borderId="0" applyFont="0" applyFill="0" applyBorder="0" applyAlignment="0" applyProtection="0"/>
    <xf numFmtId="0" fontId="15" fillId="0" borderId="0" applyFont="0" applyFill="0" applyBorder="0" applyAlignment="0" applyProtection="0"/>
    <xf numFmtId="42" fontId="24" fillId="0" borderId="0" applyFont="0" applyFill="0" applyBorder="0" applyAlignment="0" applyProtection="0"/>
    <xf numFmtId="205" fontId="24" fillId="0" borderId="0">
      <protection locked="0"/>
    </xf>
    <xf numFmtId="0" fontId="24" fillId="0" borderId="0">
      <alignment vertical="center"/>
    </xf>
    <xf numFmtId="0" fontId="19" fillId="0" borderId="7">
      <protection locked="0"/>
    </xf>
    <xf numFmtId="206" fontId="24" fillId="0" borderId="0">
      <protection locked="0"/>
    </xf>
    <xf numFmtId="207" fontId="15" fillId="0" borderId="0">
      <protection locked="0"/>
    </xf>
    <xf numFmtId="0" fontId="16" fillId="0" borderId="0"/>
    <xf numFmtId="0" fontId="41" fillId="0" borderId="0"/>
    <xf numFmtId="3" fontId="45" fillId="0" borderId="4"/>
    <xf numFmtId="0" fontId="17" fillId="0" borderId="0"/>
    <xf numFmtId="0" fontId="16" fillId="0" borderId="0"/>
    <xf numFmtId="0" fontId="24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4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46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46" fillId="0" borderId="0"/>
    <xf numFmtId="3" fontId="45" fillId="0" borderId="4"/>
    <xf numFmtId="3" fontId="45" fillId="0" borderId="4"/>
    <xf numFmtId="0" fontId="47" fillId="0" borderId="6">
      <alignment horizontal="center" vertical="center"/>
    </xf>
    <xf numFmtId="209" fontId="27" fillId="0" borderId="0" applyFont="0" applyFill="0" applyBorder="0" applyAlignment="0" applyProtection="0"/>
    <xf numFmtId="0" fontId="48" fillId="0" borderId="0"/>
    <xf numFmtId="0" fontId="19" fillId="0" borderId="0">
      <protection locked="0"/>
    </xf>
    <xf numFmtId="0" fontId="19" fillId="0" borderId="0">
      <protection locked="0"/>
    </xf>
    <xf numFmtId="0" fontId="4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49" fillId="0" borderId="0">
      <protection locked="0"/>
    </xf>
    <xf numFmtId="0" fontId="50" fillId="0" borderId="0">
      <alignment horizontal="left"/>
    </xf>
    <xf numFmtId="0" fontId="51" fillId="0" borderId="0">
      <alignment horizontal="left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52" fillId="0" borderId="13">
      <alignment horizontal="left"/>
    </xf>
    <xf numFmtId="3" fontId="53" fillId="0" borderId="0" applyFill="0" applyBorder="0" applyProtection="0">
      <alignment horizontal="right"/>
    </xf>
    <xf numFmtId="0" fontId="54" fillId="2" borderId="0" applyNumberFormat="0">
      <alignment vertical="center"/>
    </xf>
    <xf numFmtId="0" fontId="55" fillId="0" borderId="0" applyAlignment="0">
      <alignment horizontal="left"/>
    </xf>
    <xf numFmtId="0" fontId="53" fillId="0" borderId="0"/>
    <xf numFmtId="9" fontId="41" fillId="0" borderId="0" applyFont="0" applyFill="0" applyBorder="0" applyAlignment="0" applyProtection="0"/>
    <xf numFmtId="9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210" fontId="15" fillId="0" borderId="9" applyFont="0" applyFill="0" applyBorder="0" applyAlignment="0">
      <alignment horizontal="left" vertical="center"/>
    </xf>
    <xf numFmtId="0" fontId="24" fillId="0" borderId="0"/>
    <xf numFmtId="0" fontId="17" fillId="0" borderId="0">
      <alignment vertical="center"/>
    </xf>
    <xf numFmtId="0" fontId="24" fillId="0" borderId="0">
      <alignment vertical="center"/>
    </xf>
    <xf numFmtId="41" fontId="11" fillId="0" borderId="0" applyFont="0" applyFill="0" applyBorder="0" applyAlignment="0" applyProtection="0"/>
    <xf numFmtId="0" fontId="11" fillId="0" borderId="0"/>
    <xf numFmtId="0" fontId="11" fillId="0" borderId="0"/>
    <xf numFmtId="0" fontId="58" fillId="0" borderId="0"/>
    <xf numFmtId="0" fontId="17" fillId="0" borderId="0"/>
    <xf numFmtId="0" fontId="16" fillId="0" borderId="0"/>
    <xf numFmtId="0" fontId="59" fillId="0" borderId="0" applyNumberFormat="0" applyFill="0" applyBorder="0" applyAlignment="0" applyProtection="0"/>
    <xf numFmtId="0" fontId="11" fillId="0" borderId="0"/>
    <xf numFmtId="0" fontId="37" fillId="0" borderId="0"/>
    <xf numFmtId="0" fontId="27" fillId="0" borderId="17">
      <alignment horizontal="center"/>
    </xf>
    <xf numFmtId="214" fontId="60" fillId="0" borderId="10">
      <alignment horizontal="centerContinuous" vertical="center"/>
    </xf>
    <xf numFmtId="200" fontId="15" fillId="0" borderId="0">
      <alignment vertical="center"/>
    </xf>
    <xf numFmtId="4" fontId="15" fillId="0" borderId="0">
      <alignment vertical="center"/>
    </xf>
    <xf numFmtId="215" fontId="15" fillId="0" borderId="0">
      <alignment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0" fontId="60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6" fontId="11" fillId="0" borderId="10">
      <alignment horizontal="centerContinuous" vertical="center"/>
    </xf>
    <xf numFmtId="214" fontId="60" fillId="0" borderId="10">
      <alignment horizontal="centerContinuous" vertical="center"/>
    </xf>
    <xf numFmtId="0" fontId="58" fillId="0" borderId="10">
      <alignment horizontal="centerContinuous" vertical="center"/>
    </xf>
    <xf numFmtId="0" fontId="58" fillId="0" borderId="10">
      <alignment horizontal="centerContinuous" vertical="center"/>
    </xf>
    <xf numFmtId="24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84" fontId="27" fillId="0" borderId="0" applyNumberFormat="0" applyFont="0" applyFill="0" applyBorder="0" applyAlignment="0" applyProtection="0"/>
    <xf numFmtId="184" fontId="27" fillId="0" borderId="0" applyNumberFormat="0" applyFont="0" applyFill="0" applyBorder="0" applyAlignment="0" applyProtection="0"/>
    <xf numFmtId="185" fontId="27" fillId="0" borderId="0" applyNumberFormat="0" applyFont="0" applyFill="0" applyBorder="0" applyAlignment="0" applyProtection="0"/>
    <xf numFmtId="0" fontId="11" fillId="0" borderId="0" applyNumberFormat="0" applyFill="0" applyBorder="0" applyAlignment="0" applyProtection="0"/>
    <xf numFmtId="184" fontId="27" fillId="0" borderId="0" applyNumberFormat="0" applyFont="0" applyFill="0" applyBorder="0" applyAlignment="0" applyProtection="0"/>
    <xf numFmtId="184" fontId="27" fillId="0" borderId="0" applyNumberFormat="0" applyFont="0" applyFill="0" applyBorder="0" applyAlignment="0" applyProtection="0"/>
    <xf numFmtId="0" fontId="11" fillId="0" borderId="0" applyNumberFormat="0" applyFill="0" applyBorder="0" applyAlignment="0" applyProtection="0"/>
    <xf numFmtId="185" fontId="27" fillId="0" borderId="0" applyNumberFormat="0" applyFont="0" applyFill="0" applyBorder="0" applyAlignment="0" applyProtection="0"/>
    <xf numFmtId="185" fontId="27" fillId="0" borderId="0" applyNumberFormat="0" applyFont="0" applyFill="0" applyBorder="0" applyAlignment="0" applyProtection="0"/>
    <xf numFmtId="24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18" fontId="11" fillId="0" borderId="0" applyFill="0" applyBorder="0" applyAlignment="0" applyProtection="0"/>
    <xf numFmtId="217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4" fontId="27" fillId="0" borderId="0" applyFont="0" applyFill="0" applyBorder="0" applyAlignment="0" applyProtection="0"/>
    <xf numFmtId="217" fontId="27" fillId="0" borderId="0" applyFont="0" applyFill="0" applyBorder="0" applyAlignment="0" applyProtection="0"/>
    <xf numFmtId="219" fontId="61" fillId="0" borderId="0" applyFont="0" applyFill="0" applyBorder="0" applyAlignment="0" applyProtection="0">
      <protection locked="0"/>
    </xf>
    <xf numFmtId="0" fontId="17" fillId="0" borderId="0"/>
    <xf numFmtId="38" fontId="15" fillId="0" borderId="18">
      <alignment horizontal="right"/>
    </xf>
    <xf numFmtId="220" fontId="15" fillId="0" borderId="8">
      <protection locked="0"/>
    </xf>
    <xf numFmtId="0" fontId="15" fillId="0" borderId="0"/>
    <xf numFmtId="0" fontId="15" fillId="0" borderId="0"/>
    <xf numFmtId="0" fontId="15" fillId="0" borderId="0"/>
    <xf numFmtId="0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/>
    <xf numFmtId="0" fontId="6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6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2" fillId="0" borderId="0" applyFont="0" applyFill="0" applyBorder="0" applyAlignment="0" applyProtection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6" fillId="0" borderId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63" fillId="0" borderId="0"/>
    <xf numFmtId="0" fontId="16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6" fillId="0" borderId="0"/>
    <xf numFmtId="0" fontId="16" fillId="0" borderId="0"/>
    <xf numFmtId="0" fontId="59" fillId="0" borderId="0" applyNumberForma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3" fillId="0" borderId="0"/>
    <xf numFmtId="0" fontId="16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65" fillId="0" borderId="0"/>
    <xf numFmtId="0" fontId="17" fillId="0" borderId="0"/>
    <xf numFmtId="0" fontId="16" fillId="0" borderId="0"/>
    <xf numFmtId="0" fontId="17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2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2" fillId="0" borderId="0" applyFont="0" applyFill="0" applyBorder="0" applyAlignment="0" applyProtection="0"/>
    <xf numFmtId="0" fontId="15" fillId="0" borderId="0"/>
    <xf numFmtId="0" fontId="16" fillId="0" borderId="0"/>
    <xf numFmtId="0" fontId="2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63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6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2" fillId="0" borderId="0" applyFont="0" applyFill="0" applyBorder="0" applyAlignment="0" applyProtection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5" fillId="0" borderId="0"/>
    <xf numFmtId="0" fontId="17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64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46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221" fontId="19" fillId="0" borderId="0">
      <protection locked="0"/>
    </xf>
    <xf numFmtId="37" fontId="67" fillId="0" borderId="0" applyFont="0" applyFill="0" applyBorder="0" applyAlignment="0" applyProtection="0">
      <protection locked="0"/>
    </xf>
    <xf numFmtId="9" fontId="58" fillId="0" borderId="0">
      <alignment vertical="center"/>
    </xf>
    <xf numFmtId="222" fontId="58" fillId="0" borderId="0">
      <alignment vertical="center"/>
    </xf>
    <xf numFmtId="10" fontId="58" fillId="0" borderId="0">
      <alignment vertical="center"/>
    </xf>
    <xf numFmtId="223" fontId="58" fillId="0" borderId="0">
      <alignment vertical="center"/>
    </xf>
    <xf numFmtId="224" fontId="58" fillId="0" borderId="0">
      <alignment vertical="center"/>
    </xf>
    <xf numFmtId="0" fontId="68" fillId="0" borderId="1"/>
    <xf numFmtId="0" fontId="69" fillId="0" borderId="1"/>
    <xf numFmtId="225" fontId="61" fillId="0" borderId="0" applyFont="0" applyFill="0" applyBorder="0" applyAlignment="0" applyProtection="0">
      <protection locked="0"/>
    </xf>
    <xf numFmtId="0" fontId="17" fillId="0" borderId="0" applyNumberFormat="0" applyFill="0" applyBorder="0" applyAlignment="0" applyProtection="0"/>
    <xf numFmtId="226" fontId="70" fillId="0" borderId="0" applyFont="0" applyFill="0" applyBorder="0" applyAlignment="0" applyProtection="0"/>
    <xf numFmtId="4" fontId="71" fillId="0" borderId="0" applyFont="0" applyFill="0" applyBorder="0" applyAlignment="0" applyProtection="0"/>
    <xf numFmtId="0" fontId="72" fillId="5" borderId="0" applyNumberFormat="0" applyBorder="0" applyAlignment="0" applyProtection="0"/>
    <xf numFmtId="0" fontId="72" fillId="6" borderId="0" applyNumberFormat="0" applyBorder="0" applyAlignment="0" applyProtection="0"/>
    <xf numFmtId="0" fontId="72" fillId="7" borderId="0" applyNumberFormat="0" applyBorder="0" applyAlignment="0" applyProtection="0"/>
    <xf numFmtId="0" fontId="72" fillId="8" borderId="0" applyNumberFormat="0" applyBorder="0" applyAlignment="0" applyProtection="0"/>
    <xf numFmtId="0" fontId="72" fillId="9" borderId="0" applyNumberFormat="0" applyBorder="0" applyAlignment="0" applyProtection="0"/>
    <xf numFmtId="0" fontId="72" fillId="10" borderId="0" applyNumberFormat="0" applyBorder="0" applyAlignment="0" applyProtection="0"/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4" fillId="11" borderId="20"/>
    <xf numFmtId="227" fontId="71" fillId="0" borderId="0" applyFont="0" applyFill="0" applyBorder="0" applyAlignment="0" applyProtection="0"/>
    <xf numFmtId="0" fontId="72" fillId="12" borderId="0" applyNumberFormat="0" applyBorder="0" applyAlignment="0" applyProtection="0"/>
    <xf numFmtId="0" fontId="72" fillId="13" borderId="0" applyNumberFormat="0" applyBorder="0" applyAlignment="0" applyProtection="0"/>
    <xf numFmtId="0" fontId="72" fillId="14" borderId="0" applyNumberFormat="0" applyBorder="0" applyAlignment="0" applyProtection="0"/>
    <xf numFmtId="0" fontId="72" fillId="8" borderId="0" applyNumberFormat="0" applyBorder="0" applyAlignment="0" applyProtection="0"/>
    <xf numFmtId="0" fontId="72" fillId="12" borderId="0" applyNumberFormat="0" applyBorder="0" applyAlignment="0" applyProtection="0"/>
    <xf numFmtId="0" fontId="72" fillId="15" borderId="0" applyNumberFormat="0" applyBorder="0" applyAlignment="0" applyProtection="0"/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/>
    <xf numFmtId="0" fontId="75" fillId="13" borderId="0" applyNumberFormat="0" applyBorder="0" applyAlignment="0" applyProtection="0"/>
    <xf numFmtId="0" fontId="75" fillId="14" borderId="0" applyNumberFormat="0" applyBorder="0" applyAlignment="0" applyProtection="0"/>
    <xf numFmtId="0" fontId="75" fillId="17" borderId="0" applyNumberFormat="0" applyBorder="0" applyAlignment="0" applyProtection="0"/>
    <xf numFmtId="0" fontId="75" fillId="18" borderId="0" applyNumberFormat="0" applyBorder="0" applyAlignment="0" applyProtection="0"/>
    <xf numFmtId="0" fontId="75" fillId="19" borderId="0" applyNumberFormat="0" applyBorder="0" applyAlignment="0" applyProtection="0"/>
    <xf numFmtId="0" fontId="76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15" fillId="0" borderId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5" fillId="20" borderId="0" applyNumberFormat="0" applyBorder="0" applyAlignment="0" applyProtection="0"/>
    <xf numFmtId="0" fontId="75" fillId="21" borderId="0" applyNumberFormat="0" applyBorder="0" applyAlignment="0" applyProtection="0"/>
    <xf numFmtId="0" fontId="75" fillId="22" borderId="0" applyNumberFormat="0" applyBorder="0" applyAlignment="0" applyProtection="0"/>
    <xf numFmtId="0" fontId="75" fillId="17" borderId="0" applyNumberFormat="0" applyBorder="0" applyAlignment="0" applyProtection="0"/>
    <xf numFmtId="0" fontId="75" fillId="18" borderId="0" applyNumberFormat="0" applyBorder="0" applyAlignment="0" applyProtection="0"/>
    <xf numFmtId="0" fontId="75" fillId="23" borderId="0" applyNumberFormat="0" applyBorder="0" applyAlignment="0" applyProtection="0"/>
    <xf numFmtId="228" fontId="79" fillId="24" borderId="21">
      <alignment horizontal="center" vertical="center"/>
    </xf>
    <xf numFmtId="0" fontId="80" fillId="0" borderId="0" applyFont="0" applyFill="0" applyBorder="0" applyAlignment="0" applyProtection="0"/>
    <xf numFmtId="229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229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208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0" fillId="0" borderId="0" applyFont="0" applyFill="0" applyBorder="0" applyAlignment="0" applyProtection="0"/>
    <xf numFmtId="22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22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23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27" fillId="0" borderId="0"/>
    <xf numFmtId="0" fontId="80" fillId="0" borderId="0" applyFont="0" applyFill="0" applyBorder="0" applyAlignment="0" applyProtection="0"/>
    <xf numFmtId="226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0" fillId="0" borderId="0" applyFont="0" applyFill="0" applyBorder="0" applyAlignment="0" applyProtection="0"/>
    <xf numFmtId="193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40" fontId="16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231" fontId="15" fillId="0" borderId="0" applyFont="0" applyFill="0" applyBorder="0" applyAlignment="0" applyProtection="0"/>
    <xf numFmtId="0" fontId="84" fillId="0" borderId="0"/>
    <xf numFmtId="0" fontId="17" fillId="0" borderId="0"/>
    <xf numFmtId="0" fontId="17" fillId="0" borderId="0"/>
    <xf numFmtId="0" fontId="85" fillId="6" borderId="0" applyNumberFormat="0" applyBorder="0" applyAlignment="0" applyProtection="0"/>
    <xf numFmtId="232" fontId="59" fillId="0" borderId="11" applyAlignment="0" applyProtection="0"/>
    <xf numFmtId="0" fontId="84" fillId="0" borderId="0"/>
    <xf numFmtId="0" fontId="63" fillId="0" borderId="0"/>
    <xf numFmtId="0" fontId="84" fillId="0" borderId="0"/>
    <xf numFmtId="0" fontId="86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84" fillId="0" borderId="0"/>
    <xf numFmtId="0" fontId="84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63" fillId="0" borderId="0"/>
    <xf numFmtId="0" fontId="82" fillId="0" borderId="0"/>
    <xf numFmtId="0" fontId="81" fillId="0" borderId="0"/>
    <xf numFmtId="3" fontId="87" fillId="0" borderId="0" applyNumberFormat="0" applyFill="0" applyBorder="0" applyAlignment="0" applyProtection="0"/>
    <xf numFmtId="3" fontId="87" fillId="0" borderId="0" applyNumberFormat="0" applyFill="0" applyBorder="0" applyAlignment="0" applyProtection="0"/>
    <xf numFmtId="0" fontId="88" fillId="25" borderId="22" applyNumberFormat="0" applyAlignment="0" applyProtection="0"/>
    <xf numFmtId="0" fontId="89" fillId="26" borderId="23" applyNumberFormat="0" applyAlignment="0" applyProtection="0"/>
    <xf numFmtId="0" fontId="90" fillId="0" borderId="0" applyNumberFormat="0" applyFill="0" applyBorder="0" applyAlignment="0" applyProtection="0">
      <alignment vertical="top"/>
      <protection locked="0"/>
    </xf>
    <xf numFmtId="38" fontId="91" fillId="0" borderId="0" applyNumberFormat="0" applyFill="0" applyBorder="0" applyAlignment="0" applyProtection="0">
      <protection locked="0"/>
    </xf>
    <xf numFmtId="38" fontId="92" fillId="0" borderId="0" applyNumberFormat="0" applyFill="0" applyBorder="0" applyAlignment="0" applyProtection="0">
      <protection locked="0"/>
    </xf>
    <xf numFmtId="38" fontId="93" fillId="0" borderId="0" applyNumberFormat="0" applyFill="0" applyBorder="0" applyAlignment="0" applyProtection="0">
      <protection locked="0"/>
    </xf>
    <xf numFmtId="226" fontId="70" fillId="0" borderId="0" applyFont="0" applyFill="0" applyBorder="0" applyAlignment="0" applyProtection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3" fontId="17" fillId="0" borderId="0"/>
    <xf numFmtId="234" fontId="61" fillId="0" borderId="0" applyFont="0" applyFill="0" applyBorder="0" applyAlignment="0" applyProtection="0">
      <protection locked="0"/>
    </xf>
    <xf numFmtId="40" fontId="61" fillId="0" borderId="0" applyFont="0" applyFill="0" applyBorder="0" applyAlignment="0" applyProtection="0">
      <protection locked="0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235" fontId="17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23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26" fontId="17" fillId="0" borderId="0" applyFont="0" applyFill="0" applyBorder="0" applyAlignment="0" applyProtection="0"/>
    <xf numFmtId="0" fontId="12" fillId="0" borderId="0" applyFont="0" applyFill="0" applyBorder="0" applyAlignment="0" applyProtection="0"/>
    <xf numFmtId="209" fontId="61" fillId="0" borderId="0" applyFont="0" applyFill="0" applyBorder="0" applyAlignment="0" applyProtection="0">
      <protection locked="0"/>
    </xf>
    <xf numFmtId="236" fontId="15" fillId="0" borderId="4"/>
    <xf numFmtId="237" fontId="61" fillId="0" borderId="0" applyFont="0" applyFill="0" applyBorder="0" applyAlignment="0" applyProtection="0">
      <protection locked="0"/>
    </xf>
    <xf numFmtId="238" fontId="94" fillId="0" borderId="4" applyFill="0" applyBorder="0" applyAlignment="0"/>
    <xf numFmtId="239" fontId="11" fillId="0" borderId="0" applyFont="0" applyFill="0" applyBorder="0" applyAlignment="0" applyProtection="0"/>
    <xf numFmtId="240" fontId="11" fillId="0" borderId="0">
      <protection locked="0"/>
    </xf>
    <xf numFmtId="38" fontId="27" fillId="0" borderId="24">
      <alignment vertical="center"/>
    </xf>
    <xf numFmtId="38" fontId="27" fillId="0" borderId="0" applyFont="0" applyFill="0" applyBorder="0" applyAlignment="0" applyProtection="0"/>
    <xf numFmtId="40" fontId="27" fillId="0" borderId="0" applyFont="0" applyFill="0" applyBorder="0" applyAlignment="0" applyProtection="0"/>
    <xf numFmtId="17" fontId="16" fillId="0" borderId="0" applyNumberFormat="0" applyFont="0" applyFill="0" applyBorder="0" applyAlignment="0" applyProtection="0">
      <alignment horizontal="right"/>
    </xf>
    <xf numFmtId="49" fontId="95" fillId="0" borderId="4" applyNumberFormat="0">
      <alignment vertical="top" wrapText="1"/>
      <protection locked="0"/>
    </xf>
    <xf numFmtId="241" fontId="17" fillId="0" borderId="0" applyFont="0" applyFill="0" applyBorder="0" applyAlignment="0" applyProtection="0"/>
    <xf numFmtId="0" fontId="96" fillId="0" borderId="0" applyNumberFormat="0" applyFill="0" applyBorder="0" applyAlignment="0" applyProtection="0"/>
    <xf numFmtId="3" fontId="17" fillId="0" borderId="0" applyFill="0" applyBorder="0" applyAlignment="0" applyProtection="0"/>
    <xf numFmtId="0" fontId="97" fillId="0" borderId="0" applyNumberFormat="0" applyFill="0" applyBorder="0" applyAlignment="0" applyProtection="0"/>
    <xf numFmtId="0" fontId="98" fillId="7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38" fontId="20" fillId="2" borderId="0" applyNumberFormat="0" applyBorder="0" applyAlignment="0" applyProtection="0"/>
    <xf numFmtId="0" fontId="99" fillId="0" borderId="0" applyNumberFormat="0" applyFill="0" applyBorder="0" applyAlignment="0">
      <alignment vertical="center"/>
    </xf>
    <xf numFmtId="0" fontId="10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01" fillId="0" borderId="25" applyNumberFormat="0" applyFill="0" applyAlignment="0" applyProtection="0"/>
    <xf numFmtId="0" fontId="101" fillId="0" borderId="0" applyNumberFormat="0" applyFill="0" applyBorder="0" applyAlignment="0" applyProtection="0"/>
    <xf numFmtId="0" fontId="87" fillId="0" borderId="26" applyNumberFormat="0" applyFill="0" applyAlignment="0" applyProtection="0"/>
    <xf numFmtId="0" fontId="102" fillId="10" borderId="22" applyNumberFormat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10" fontId="20" fillId="3" borderId="4" applyNumberFormat="0" applyBorder="0" applyAlignment="0" applyProtection="0"/>
    <xf numFmtId="0" fontId="103" fillId="0" borderId="13" applyNumberFormat="0" applyBorder="0" applyAlignment="0"/>
    <xf numFmtId="0" fontId="63" fillId="0" borderId="0"/>
    <xf numFmtId="0" fontId="104" fillId="27" borderId="10" applyNumberFormat="0" applyFill="0">
      <alignment horizontal="left" vertical="top" wrapText="1"/>
    </xf>
    <xf numFmtId="0" fontId="105" fillId="0" borderId="27" applyNumberFormat="0" applyFill="0" applyAlignment="0" applyProtection="0"/>
    <xf numFmtId="0" fontId="106" fillId="0" borderId="4" applyFill="0" applyBorder="0" applyProtection="0">
      <alignment vertical="center"/>
    </xf>
    <xf numFmtId="242" fontId="17" fillId="0" borderId="0" applyFont="0" applyFill="0" applyBorder="0" applyAlignment="0" applyProtection="0"/>
    <xf numFmtId="243" fontId="17" fillId="0" borderId="0" applyFont="0" applyFill="0" applyBorder="0" applyAlignment="0" applyProtection="0"/>
    <xf numFmtId="244" fontId="17" fillId="0" borderId="0" applyFont="0" applyFill="0" applyBorder="0" applyAlignment="0" applyProtection="0"/>
    <xf numFmtId="245" fontId="17" fillId="0" borderId="0" applyFont="0" applyFill="0" applyBorder="0" applyAlignment="0" applyProtection="0"/>
    <xf numFmtId="246" fontId="27" fillId="0" borderId="0" applyFont="0" applyFill="0" applyBorder="0" applyAlignment="0" applyProtection="0"/>
    <xf numFmtId="247" fontId="27" fillId="0" borderId="0" applyFont="0" applyFill="0" applyBorder="0" applyAlignment="0" applyProtection="0"/>
    <xf numFmtId="226" fontId="70" fillId="0" borderId="0" applyFont="0" applyFill="0" applyBorder="0" applyAlignment="0" applyProtection="0"/>
    <xf numFmtId="0" fontId="107" fillId="28" borderId="0" applyNumberFormat="0" applyBorder="0" applyAlignment="0" applyProtection="0"/>
    <xf numFmtId="0" fontId="15" fillId="0" borderId="0">
      <alignment horizontal="center" vertical="center"/>
    </xf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9" fontId="44" fillId="0" borderId="0"/>
    <xf numFmtId="248" fontId="11" fillId="0" borderId="0"/>
    <xf numFmtId="249" fontId="44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248" fontId="1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5" fillId="0" borderId="0"/>
    <xf numFmtId="0" fontId="72" fillId="0" borderId="0">
      <alignment vertical="center"/>
    </xf>
    <xf numFmtId="0" fontId="72" fillId="0" borderId="0"/>
    <xf numFmtId="0" fontId="73" fillId="0" borderId="0"/>
    <xf numFmtId="0" fontId="73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3" fillId="0" borderId="0"/>
    <xf numFmtId="0" fontId="72" fillId="0" borderId="0">
      <alignment vertical="center"/>
    </xf>
    <xf numFmtId="0" fontId="3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/>
    <xf numFmtId="0" fontId="73" fillId="0" borderId="0"/>
    <xf numFmtId="0" fontId="72" fillId="0" borderId="0">
      <alignment vertical="center"/>
    </xf>
    <xf numFmtId="0" fontId="72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3" fillId="0" borderId="0">
      <alignment vertical="center"/>
    </xf>
    <xf numFmtId="0" fontId="17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72" fillId="0" borderId="0">
      <alignment vertical="center"/>
    </xf>
    <xf numFmtId="0" fontId="72" fillId="0" borderId="0">
      <alignment vertical="center"/>
    </xf>
    <xf numFmtId="0" fontId="73" fillId="0" borderId="0"/>
    <xf numFmtId="0" fontId="73" fillId="0" borderId="0"/>
    <xf numFmtId="0" fontId="72" fillId="0" borderId="0">
      <alignment vertical="center"/>
    </xf>
    <xf numFmtId="0" fontId="109" fillId="0" borderId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250" fontId="110" fillId="0" borderId="29" applyFont="0" applyFill="0" applyBorder="0" applyAlignment="0">
      <alignment horizontal="left" indent="1"/>
    </xf>
    <xf numFmtId="0" fontId="111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222" fontId="17" fillId="0" borderId="0" applyFont="0" applyFill="0" applyBorder="0" applyAlignment="0" applyProtection="0"/>
    <xf numFmtId="0" fontId="112" fillId="25" borderId="30" applyNumberFormat="0" applyAlignment="0" applyProtection="0"/>
    <xf numFmtId="0" fontId="20" fillId="30" borderId="0" applyFill="0" applyBorder="0" applyProtection="0">
      <alignment horizontal="left"/>
    </xf>
    <xf numFmtId="222" fontId="61" fillId="0" borderId="0" applyFont="0" applyFill="0" applyBorder="0" applyAlignment="0" applyProtection="0">
      <protection locked="0"/>
    </xf>
    <xf numFmtId="10" fontId="61" fillId="0" borderId="0" applyFont="0" applyFill="0" applyBorder="0" applyAlignment="0" applyProtection="0">
      <protection locked="0"/>
    </xf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10" fontId="113" fillId="4" borderId="0"/>
    <xf numFmtId="2" fontId="16" fillId="0" borderId="0">
      <alignment horizontal="right"/>
      <protection hidden="1"/>
    </xf>
    <xf numFmtId="0" fontId="114" fillId="0" borderId="31" applyNumberFormat="0" applyBorder="0" applyAlignment="0"/>
    <xf numFmtId="37" fontId="17" fillId="0" borderId="0" applyFont="0" applyFill="0" applyBorder="0" applyAlignment="0" applyProtection="0"/>
    <xf numFmtId="37" fontId="115" fillId="0" borderId="0" applyNumberFormat="0" applyFill="0" applyBorder="0" applyAlignment="0"/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0" fontId="59" fillId="0" borderId="15">
      <alignment horizontal="center"/>
    </xf>
    <xf numFmtId="3" fontId="27" fillId="0" borderId="0" applyFont="0" applyFill="0" applyBorder="0" applyAlignment="0" applyProtection="0"/>
    <xf numFmtId="0" fontId="27" fillId="31" borderId="0" applyNumberFormat="0" applyFont="0" applyBorder="0" applyAlignment="0" applyProtection="0"/>
    <xf numFmtId="3" fontId="116" fillId="0" borderId="32" applyNumberFormat="0" applyFill="0" applyBorder="0" applyAlignment="0" applyProtection="0"/>
    <xf numFmtId="251" fontId="117" fillId="0" borderId="0">
      <alignment horizontal="left"/>
    </xf>
    <xf numFmtId="0" fontId="118" fillId="0" borderId="4" applyProtection="0">
      <alignment vertical="center"/>
    </xf>
    <xf numFmtId="4" fontId="32" fillId="32" borderId="33" applyNumberFormat="0" applyProtection="0">
      <alignment horizontal="left" vertical="center" indent="1"/>
    </xf>
    <xf numFmtId="0" fontId="119" fillId="0" borderId="12"/>
    <xf numFmtId="0" fontId="120" fillId="33" borderId="34">
      <alignment vertical="center"/>
    </xf>
    <xf numFmtId="251" fontId="121" fillId="0" borderId="0" applyAlignment="0"/>
    <xf numFmtId="0" fontId="16" fillId="0" borderId="0"/>
    <xf numFmtId="0" fontId="122" fillId="0" borderId="0"/>
    <xf numFmtId="0" fontId="123" fillId="0" borderId="35"/>
    <xf numFmtId="37" fontId="124" fillId="0" borderId="36" applyNumberFormat="0" applyFont="0" applyBorder="0" applyAlignment="0" applyProtection="0">
      <alignment horizontal="centerContinuous"/>
    </xf>
    <xf numFmtId="0" fontId="17" fillId="0" borderId="0"/>
    <xf numFmtId="0" fontId="17" fillId="0" borderId="0"/>
    <xf numFmtId="0" fontId="125" fillId="0" borderId="0" applyNumberFormat="0" applyFill="0" applyBorder="0" applyAlignment="0" applyProtection="0"/>
    <xf numFmtId="0" fontId="126" fillId="0" borderId="0" applyFill="0" applyBorder="0" applyProtection="0">
      <alignment horizontal="centerContinuous" vertical="center"/>
    </xf>
    <xf numFmtId="0" fontId="79" fillId="4" borderId="0" applyFill="0" applyBorder="0" applyProtection="0">
      <alignment horizontal="center" vertical="center"/>
    </xf>
    <xf numFmtId="37" fontId="127" fillId="0" borderId="37" applyNumberFormat="0" applyFill="0" applyBorder="0">
      <alignment horizontal="left" vertical="center" indent="5"/>
    </xf>
    <xf numFmtId="252" fontId="17" fillId="0" borderId="0">
      <alignment horizontal="right"/>
    </xf>
    <xf numFmtId="37" fontId="20" fillId="34" borderId="0" applyNumberFormat="0" applyBorder="0" applyAlignment="0" applyProtection="0"/>
    <xf numFmtId="37" fontId="20" fillId="0" borderId="0"/>
    <xf numFmtId="3" fontId="128" fillId="0" borderId="26" applyProtection="0"/>
    <xf numFmtId="37" fontId="129" fillId="0" borderId="0" applyNumberFormat="0" applyFill="0" applyBorder="0" applyAlignment="0" applyProtection="0"/>
    <xf numFmtId="253" fontId="27" fillId="0" borderId="0" applyFont="0" applyFill="0" applyBorder="0" applyAlignment="0" applyProtection="0"/>
    <xf numFmtId="254" fontId="27" fillId="0" borderId="0" applyFont="0" applyFill="0" applyBorder="0" applyAlignment="0" applyProtection="0"/>
    <xf numFmtId="255" fontId="130" fillId="0" borderId="0" applyFont="0" applyFill="0" applyBorder="0" applyAlignment="0" applyProtection="0"/>
    <xf numFmtId="256" fontId="130" fillId="0" borderId="0" applyFon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>
      <alignment vertical="top"/>
      <protection locked="0"/>
    </xf>
    <xf numFmtId="0" fontId="133" fillId="0" borderId="14" applyBorder="0" applyAlignment="0">
      <alignment vertical="center" textRotation="255"/>
    </xf>
    <xf numFmtId="0" fontId="76" fillId="20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25" borderId="22" applyNumberFormat="0" applyAlignment="0" applyProtection="0">
      <alignment vertical="center"/>
    </xf>
    <xf numFmtId="0" fontId="135" fillId="25" borderId="22" applyNumberFormat="0" applyAlignment="0" applyProtection="0">
      <alignment vertical="center"/>
    </xf>
    <xf numFmtId="0" fontId="135" fillId="25" borderId="22" applyNumberFormat="0" applyAlignment="0" applyProtection="0">
      <alignment vertical="center"/>
    </xf>
    <xf numFmtId="0" fontId="135" fillId="25" borderId="22" applyNumberFormat="0" applyAlignment="0" applyProtection="0">
      <alignment vertical="center"/>
    </xf>
    <xf numFmtId="0" fontId="135" fillId="25" borderId="22" applyNumberFormat="0" applyAlignment="0" applyProtection="0">
      <alignment vertical="center"/>
    </xf>
    <xf numFmtId="0" fontId="135" fillId="25" borderId="22" applyNumberFormat="0" applyAlignment="0" applyProtection="0">
      <alignment vertical="center"/>
    </xf>
    <xf numFmtId="257" fontId="11" fillId="0" borderId="0"/>
    <xf numFmtId="257" fontId="11" fillId="0" borderId="0"/>
    <xf numFmtId="257" fontId="11" fillId="0" borderId="0"/>
    <xf numFmtId="257" fontId="11" fillId="0" borderId="0"/>
    <xf numFmtId="257" fontId="11" fillId="0" borderId="0"/>
    <xf numFmtId="257" fontId="11" fillId="0" borderId="0"/>
    <xf numFmtId="257" fontId="11" fillId="0" borderId="0"/>
    <xf numFmtId="257" fontId="11" fillId="0" borderId="0"/>
    <xf numFmtId="257" fontId="11" fillId="0" borderId="0"/>
    <xf numFmtId="257" fontId="11" fillId="0" borderId="0"/>
    <xf numFmtId="257" fontId="11" fillId="0" borderId="0"/>
    <xf numFmtId="0" fontId="136" fillId="6" borderId="0" applyNumberFormat="0" applyBorder="0" applyAlignment="0" applyProtection="0">
      <alignment vertical="center"/>
    </xf>
    <xf numFmtId="0" fontId="136" fillId="6" borderId="0" applyNumberFormat="0" applyBorder="0" applyAlignment="0" applyProtection="0">
      <alignment vertical="center"/>
    </xf>
    <xf numFmtId="0" fontId="136" fillId="6" borderId="0" applyNumberFormat="0" applyBorder="0" applyAlignment="0" applyProtection="0">
      <alignment vertical="center"/>
    </xf>
    <xf numFmtId="0" fontId="136" fillId="6" borderId="0" applyNumberFormat="0" applyBorder="0" applyAlignment="0" applyProtection="0">
      <alignment vertical="center"/>
    </xf>
    <xf numFmtId="0" fontId="136" fillId="6" borderId="0" applyNumberFormat="0" applyBorder="0" applyAlignment="0" applyProtection="0">
      <alignment vertical="center"/>
    </xf>
    <xf numFmtId="0" fontId="136" fillId="6" borderId="0" applyNumberFormat="0" applyBorder="0" applyAlignment="0" applyProtection="0">
      <alignment vertical="center"/>
    </xf>
    <xf numFmtId="0" fontId="137" fillId="0" borderId="3"/>
    <xf numFmtId="3" fontId="27" fillId="0" borderId="16">
      <alignment horizontal="center"/>
    </xf>
    <xf numFmtId="0" fontId="138" fillId="27" borderId="0">
      <alignment horizontal="left"/>
    </xf>
    <xf numFmtId="0" fontId="97" fillId="0" borderId="0" applyNumberFormat="0" applyFill="0" applyBorder="0" applyAlignment="0" applyProtection="0"/>
    <xf numFmtId="258" fontId="11" fillId="0" borderId="0">
      <alignment horizontal="right"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15" applyAlignment="0">
      <alignment horizontal="center"/>
    </xf>
    <xf numFmtId="0" fontId="73" fillId="29" borderId="28" applyNumberFormat="0" applyFont="0" applyAlignment="0" applyProtection="0">
      <alignment vertical="center"/>
    </xf>
    <xf numFmtId="0" fontId="73" fillId="29" borderId="28" applyNumberFormat="0" applyFont="0" applyAlignment="0" applyProtection="0">
      <alignment vertical="center"/>
    </xf>
    <xf numFmtId="0" fontId="73" fillId="29" borderId="28" applyNumberFormat="0" applyFont="0" applyAlignment="0" applyProtection="0">
      <alignment vertical="center"/>
    </xf>
    <xf numFmtId="0" fontId="73" fillId="29" borderId="28" applyNumberFormat="0" applyFont="0" applyAlignment="0" applyProtection="0">
      <alignment vertical="center"/>
    </xf>
    <xf numFmtId="0" fontId="73" fillId="29" borderId="28" applyNumberFormat="0" applyFont="0" applyAlignment="0" applyProtection="0">
      <alignment vertical="center"/>
    </xf>
    <xf numFmtId="0" fontId="73" fillId="29" borderId="28" applyNumberFormat="0" applyFont="0" applyAlignment="0" applyProtection="0">
      <alignment vertical="center"/>
    </xf>
    <xf numFmtId="0" fontId="139" fillId="0" borderId="0" applyFont="0" applyFill="0" applyBorder="0" applyAlignment="0" applyProtection="0"/>
    <xf numFmtId="0" fontId="13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9" fontId="64" fillId="4" borderId="0" applyFill="0" applyBorder="0" applyProtection="0">
      <alignment horizontal="right"/>
    </xf>
    <xf numFmtId="10" fontId="64" fillId="0" borderId="0" applyFill="0" applyBorder="0" applyProtection="0">
      <alignment horizontal="right"/>
    </xf>
    <xf numFmtId="9" fontId="1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40" fillId="28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37" fillId="35" borderId="3" applyAlignment="0">
      <alignment horizontal="center"/>
    </xf>
    <xf numFmtId="0" fontId="141" fillId="0" borderId="0"/>
    <xf numFmtId="3" fontId="142" fillId="0" borderId="4"/>
    <xf numFmtId="0" fontId="142" fillId="0" borderId="4"/>
    <xf numFmtId="3" fontId="142" fillId="0" borderId="38"/>
    <xf numFmtId="3" fontId="142" fillId="0" borderId="39"/>
    <xf numFmtId="0" fontId="143" fillId="0" borderId="4"/>
    <xf numFmtId="0" fontId="144" fillId="0" borderId="0">
      <alignment horizontal="center"/>
    </xf>
    <xf numFmtId="0" fontId="70" fillId="0" borderId="40">
      <alignment horizont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6" fillId="26" borderId="23" applyNumberFormat="0" applyAlignment="0" applyProtection="0">
      <alignment vertical="center"/>
    </xf>
    <xf numFmtId="0" fontId="146" fillId="26" borderId="23" applyNumberFormat="0" applyAlignment="0" applyProtection="0">
      <alignment vertical="center"/>
    </xf>
    <xf numFmtId="0" fontId="146" fillId="26" borderId="23" applyNumberFormat="0" applyAlignment="0" applyProtection="0">
      <alignment vertical="center"/>
    </xf>
    <xf numFmtId="0" fontId="146" fillId="26" borderId="23" applyNumberFormat="0" applyAlignment="0" applyProtection="0">
      <alignment vertical="center"/>
    </xf>
    <xf numFmtId="0" fontId="146" fillId="26" borderId="23" applyNumberFormat="0" applyAlignment="0" applyProtection="0">
      <alignment vertical="center"/>
    </xf>
    <xf numFmtId="0" fontId="146" fillId="26" borderId="23" applyNumberFormat="0" applyAlignment="0" applyProtection="0">
      <alignment vertical="center"/>
    </xf>
    <xf numFmtId="3" fontId="147" fillId="0" borderId="0">
      <alignment vertical="center" wrapText="1"/>
    </xf>
    <xf numFmtId="3" fontId="148" fillId="0" borderId="0">
      <alignment vertical="center" wrapText="1"/>
    </xf>
    <xf numFmtId="41" fontId="11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260" fontId="17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61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261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59" fontId="17" fillId="0" borderId="0" applyFont="0" applyFill="0" applyBorder="0" applyAlignment="0" applyProtection="0"/>
    <xf numFmtId="209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1" fillId="0" borderId="8"/>
    <xf numFmtId="0" fontId="150" fillId="0" borderId="27" applyNumberFormat="0" applyFill="0" applyAlignment="0" applyProtection="0">
      <alignment vertical="center"/>
    </xf>
    <xf numFmtId="0" fontId="150" fillId="0" borderId="27" applyNumberFormat="0" applyFill="0" applyAlignment="0" applyProtection="0">
      <alignment vertical="center"/>
    </xf>
    <xf numFmtId="0" fontId="150" fillId="0" borderId="27" applyNumberFormat="0" applyFill="0" applyAlignment="0" applyProtection="0">
      <alignment vertical="center"/>
    </xf>
    <xf numFmtId="0" fontId="150" fillId="0" borderId="27" applyNumberFormat="0" applyFill="0" applyAlignment="0" applyProtection="0">
      <alignment vertical="center"/>
    </xf>
    <xf numFmtId="0" fontId="150" fillId="0" borderId="27" applyNumberFormat="0" applyFill="0" applyAlignment="0" applyProtection="0">
      <alignment vertical="center"/>
    </xf>
    <xf numFmtId="0" fontId="150" fillId="0" borderId="27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262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4" fontId="11" fillId="0" borderId="0" applyFont="0" applyFill="0" applyBorder="0" applyAlignment="0" applyProtection="0"/>
    <xf numFmtId="262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37" fontId="11" fillId="0" borderId="0" applyFill="0" applyBorder="0" applyAlignment="0" applyProtection="0"/>
    <xf numFmtId="264" fontId="11" fillId="0" borderId="0" applyFont="0" applyFill="0" applyBorder="0" applyAlignment="0" applyProtection="0"/>
    <xf numFmtId="264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63" fontId="11" fillId="0" borderId="0" applyFont="0" applyFill="0" applyBorder="0" applyAlignment="0" applyProtection="0"/>
    <xf numFmtId="203" fontId="42" fillId="0" borderId="0" applyFont="0" applyFill="0" applyBorder="0" applyAlignment="0" applyProtection="0"/>
    <xf numFmtId="262" fontId="11" fillId="0" borderId="0" applyFont="0" applyFill="0" applyBorder="0" applyAlignment="0" applyProtection="0"/>
    <xf numFmtId="203" fontId="42" fillId="0" borderId="0" applyFont="0" applyFill="0" applyBorder="0" applyAlignment="0" applyProtection="0"/>
    <xf numFmtId="263" fontId="11" fillId="0" borderId="0" applyFont="0" applyFill="0" applyBorder="0" applyAlignment="0" applyProtection="0"/>
    <xf numFmtId="264" fontId="11" fillId="0" borderId="0" applyFont="0" applyFill="0" applyBorder="0" applyAlignment="0" applyProtection="0"/>
    <xf numFmtId="264" fontId="11" fillId="0" borderId="0" applyFont="0" applyFill="0" applyBorder="0" applyAlignment="0" applyProtection="0"/>
    <xf numFmtId="0" fontId="152" fillId="0" borderId="0">
      <alignment horizontal="center" vertical="center"/>
    </xf>
    <xf numFmtId="265" fontId="11" fillId="0" borderId="0">
      <alignment horizontal="right" vertical="center"/>
    </xf>
    <xf numFmtId="266" fontId="11" fillId="0" borderId="0">
      <alignment horizontal="right" vertical="center"/>
    </xf>
    <xf numFmtId="266" fontId="11" fillId="0" borderId="0">
      <alignment horizontal="right" vertical="center"/>
    </xf>
    <xf numFmtId="266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6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6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5" fontId="11" fillId="0" borderId="0">
      <alignment horizontal="right" vertical="center"/>
    </xf>
    <xf numFmtId="266" fontId="11" fillId="0" borderId="0">
      <alignment horizontal="right" vertical="center"/>
    </xf>
    <xf numFmtId="0" fontId="153" fillId="0" borderId="0">
      <alignment vertical="center"/>
    </xf>
    <xf numFmtId="0" fontId="154" fillId="10" borderId="22" applyNumberFormat="0" applyAlignment="0" applyProtection="0">
      <alignment vertical="center"/>
    </xf>
    <xf numFmtId="0" fontId="154" fillId="10" borderId="22" applyNumberFormat="0" applyAlignment="0" applyProtection="0">
      <alignment vertical="center"/>
    </xf>
    <xf numFmtId="0" fontId="154" fillId="10" borderId="22" applyNumberFormat="0" applyAlignment="0" applyProtection="0">
      <alignment vertical="center"/>
    </xf>
    <xf numFmtId="0" fontId="154" fillId="10" borderId="22" applyNumberFormat="0" applyAlignment="0" applyProtection="0">
      <alignment vertical="center"/>
    </xf>
    <xf numFmtId="0" fontId="154" fillId="10" borderId="22" applyNumberFormat="0" applyAlignment="0" applyProtection="0">
      <alignment vertical="center"/>
    </xf>
    <xf numFmtId="0" fontId="154" fillId="10" borderId="22" applyNumberFormat="0" applyAlignment="0" applyProtection="0">
      <alignment vertical="center"/>
    </xf>
    <xf numFmtId="0" fontId="155" fillId="0" borderId="0"/>
    <xf numFmtId="0" fontId="15" fillId="0" borderId="42" applyNumberFormat="0"/>
    <xf numFmtId="0" fontId="156" fillId="0" borderId="43" applyNumberFormat="0" applyFill="0" applyAlignment="0" applyProtection="0">
      <alignment vertical="center"/>
    </xf>
    <xf numFmtId="0" fontId="156" fillId="0" borderId="43" applyNumberFormat="0" applyFill="0" applyAlignment="0" applyProtection="0">
      <alignment vertical="center"/>
    </xf>
    <xf numFmtId="0" fontId="156" fillId="0" borderId="43" applyNumberFormat="0" applyFill="0" applyAlignment="0" applyProtection="0">
      <alignment vertical="center"/>
    </xf>
    <xf numFmtId="0" fontId="156" fillId="0" borderId="43" applyNumberFormat="0" applyFill="0" applyAlignment="0" applyProtection="0">
      <alignment vertical="center"/>
    </xf>
    <xf numFmtId="0" fontId="156" fillId="0" borderId="43" applyNumberFormat="0" applyFill="0" applyAlignment="0" applyProtection="0">
      <alignment vertical="center"/>
    </xf>
    <xf numFmtId="0" fontId="156" fillId="0" borderId="43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" fillId="0" borderId="4">
      <alignment horizontal="distributed" vertical="center"/>
    </xf>
    <xf numFmtId="0" fontId="15" fillId="0" borderId="45">
      <alignment horizontal="distributed" vertical="top"/>
    </xf>
    <xf numFmtId="0" fontId="15" fillId="0" borderId="46">
      <alignment horizontal="distributed"/>
    </xf>
    <xf numFmtId="226" fontId="160" fillId="0" borderId="0">
      <alignment vertical="center"/>
    </xf>
    <xf numFmtId="0" fontId="161" fillId="7" borderId="0" applyNumberFormat="0" applyBorder="0" applyAlignment="0" applyProtection="0">
      <alignment vertical="center"/>
    </xf>
    <xf numFmtId="0" fontId="161" fillId="7" borderId="0" applyNumberFormat="0" applyBorder="0" applyAlignment="0" applyProtection="0">
      <alignment vertical="center"/>
    </xf>
    <xf numFmtId="0" fontId="161" fillId="7" borderId="0" applyNumberFormat="0" applyBorder="0" applyAlignment="0" applyProtection="0">
      <alignment vertical="center"/>
    </xf>
    <xf numFmtId="0" fontId="161" fillId="7" borderId="0" applyNumberFormat="0" applyBorder="0" applyAlignment="0" applyProtection="0">
      <alignment vertical="center"/>
    </xf>
    <xf numFmtId="0" fontId="161" fillId="7" borderId="0" applyNumberFormat="0" applyBorder="0" applyAlignment="0" applyProtection="0">
      <alignment vertical="center"/>
    </xf>
    <xf numFmtId="0" fontId="161" fillId="7" borderId="0" applyNumberFormat="0" applyBorder="0" applyAlignment="0" applyProtection="0">
      <alignment vertical="center"/>
    </xf>
    <xf numFmtId="0" fontId="15" fillId="0" borderId="0"/>
    <xf numFmtId="259" fontId="17" fillId="0" borderId="0" applyFont="0" applyFill="0" applyBorder="0" applyAlignment="0" applyProtection="0"/>
    <xf numFmtId="267" fontId="45" fillId="0" borderId="47" applyBorder="0"/>
    <xf numFmtId="0" fontId="162" fillId="25" borderId="30" applyNumberFormat="0" applyAlignment="0" applyProtection="0">
      <alignment vertical="center"/>
    </xf>
    <xf numFmtId="0" fontId="162" fillId="25" borderId="30" applyNumberFormat="0" applyAlignment="0" applyProtection="0">
      <alignment vertical="center"/>
    </xf>
    <xf numFmtId="0" fontId="162" fillId="25" borderId="30" applyNumberFormat="0" applyAlignment="0" applyProtection="0">
      <alignment vertical="center"/>
    </xf>
    <xf numFmtId="0" fontId="162" fillId="25" borderId="30" applyNumberFormat="0" applyAlignment="0" applyProtection="0">
      <alignment vertical="center"/>
    </xf>
    <xf numFmtId="0" fontId="162" fillId="25" borderId="30" applyNumberFormat="0" applyAlignment="0" applyProtection="0">
      <alignment vertical="center"/>
    </xf>
    <xf numFmtId="0" fontId="162" fillId="25" borderId="30" applyNumberFormat="0" applyAlignment="0" applyProtection="0">
      <alignment vertical="center"/>
    </xf>
    <xf numFmtId="268" fontId="64" fillId="4" borderId="0" applyFill="0" applyBorder="0" applyProtection="0">
      <alignment horizontal="right"/>
    </xf>
    <xf numFmtId="269" fontId="17" fillId="0" borderId="0" applyFont="0" applyFill="0" applyBorder="0" applyAlignment="0" applyProtection="0"/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163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wrapText="1"/>
    </xf>
    <xf numFmtId="0" fontId="17" fillId="0" borderId="0">
      <alignment wrapText="1"/>
    </xf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/>
    <xf numFmtId="0" fontId="16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>
      <alignment vertical="center"/>
    </xf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9" fillId="0" borderId="0">
      <alignment vertical="center"/>
    </xf>
    <xf numFmtId="0" fontId="73" fillId="0" borderId="0"/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1" fillId="0" borderId="0"/>
    <xf numFmtId="0" fontId="165" fillId="0" borderId="0"/>
    <xf numFmtId="0" fontId="149" fillId="0" borderId="0">
      <alignment vertical="center"/>
    </xf>
    <xf numFmtId="0" fontId="73" fillId="0" borderId="0"/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73" fillId="0" borderId="0">
      <alignment vertical="center"/>
    </xf>
    <xf numFmtId="0" fontId="11" fillId="0" borderId="0"/>
    <xf numFmtId="0" fontId="41" fillId="0" borderId="0"/>
    <xf numFmtId="0" fontId="163" fillId="0" borderId="0">
      <alignment vertical="center"/>
    </xf>
    <xf numFmtId="0" fontId="10" fillId="0" borderId="0">
      <alignment vertical="center"/>
    </xf>
    <xf numFmtId="0" fontId="17" fillId="0" borderId="0"/>
    <xf numFmtId="0" fontId="17" fillId="0" borderId="0"/>
    <xf numFmtId="0" fontId="1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/>
    <xf numFmtId="0" fontId="163" fillId="0" borderId="0">
      <alignment vertical="center"/>
    </xf>
    <xf numFmtId="0" fontId="17" fillId="0" borderId="0"/>
    <xf numFmtId="0" fontId="11" fillId="0" borderId="0"/>
    <xf numFmtId="0" fontId="11" fillId="0" borderId="0"/>
    <xf numFmtId="0" fontId="11" fillId="0" borderId="0"/>
    <xf numFmtId="0" fontId="17" fillId="0" borderId="0"/>
    <xf numFmtId="0" fontId="17" fillId="0" borderId="0"/>
    <xf numFmtId="0" fontId="72" fillId="0" borderId="0"/>
    <xf numFmtId="0" fontId="17" fillId="0" borderId="0"/>
    <xf numFmtId="0" fontId="17" fillId="0" borderId="0"/>
    <xf numFmtId="0" fontId="166" fillId="0" borderId="0"/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5" fontId="11" fillId="0" borderId="0" applyBorder="0"/>
    <xf numFmtId="0" fontId="17" fillId="0" borderId="0" applyFont="0" applyFill="0" applyBorder="0" applyAlignment="0" applyProtection="0"/>
    <xf numFmtId="237" fontId="167" fillId="0" borderId="0" applyFont="0" applyFill="0" applyBorder="0" applyAlignment="0" applyProtection="0"/>
    <xf numFmtId="0" fontId="2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20" fillId="0" borderId="0"/>
    <xf numFmtId="0" fontId="17" fillId="0" borderId="0"/>
    <xf numFmtId="0" fontId="20" fillId="0" borderId="0"/>
    <xf numFmtId="0" fontId="17" fillId="0" borderId="19" quotePrefix="1">
      <alignment horizontal="justify" vertical="justify" textRotation="127" wrapText="1" justifyLastLine="1"/>
      <protection hidden="1"/>
    </xf>
    <xf numFmtId="0" fontId="15" fillId="0" borderId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70" fontId="16" fillId="0" borderId="0"/>
    <xf numFmtId="27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7" fillId="0" borderId="19" quotePrefix="1">
      <alignment horizontal="justify" vertical="justify" textRotation="127" wrapText="1" justifyLastLine="1"/>
      <protection hidden="1"/>
    </xf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4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19" quotePrefix="1">
      <alignment horizontal="justify" vertical="justify" textRotation="127" wrapText="1" justifyLastLine="1"/>
      <protection hidden="1"/>
    </xf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9" fillId="0" borderId="0"/>
    <xf numFmtId="0" fontId="17" fillId="0" borderId="0" applyFill="0" applyBorder="0" applyAlignment="0"/>
    <xf numFmtId="0" fontId="17" fillId="0" borderId="0" applyFill="0" applyBorder="0" applyAlignment="0"/>
    <xf numFmtId="271" fontId="17" fillId="0" borderId="0" applyFill="0" applyBorder="0" applyAlignment="0"/>
    <xf numFmtId="272" fontId="17" fillId="0" borderId="0" applyFill="0" applyBorder="0" applyAlignment="0"/>
    <xf numFmtId="273" fontId="17" fillId="0" borderId="0" applyFill="0" applyBorder="0" applyAlignment="0"/>
    <xf numFmtId="0" fontId="17" fillId="0" borderId="0" applyFill="0" applyBorder="0" applyAlignment="0"/>
    <xf numFmtId="274" fontId="17" fillId="0" borderId="0" applyFill="0" applyBorder="0" applyAlignment="0"/>
    <xf numFmtId="0" fontId="17" fillId="0" borderId="0" applyFill="0" applyBorder="0" applyAlignment="0"/>
    <xf numFmtId="226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0" fontId="17" fillId="0" borderId="0" applyFont="0" applyFill="0" applyBorder="0" applyAlignment="0" applyProtection="0"/>
    <xf numFmtId="275" fontId="11" fillId="0" borderId="0"/>
    <xf numFmtId="0" fontId="17" fillId="0" borderId="0" applyFont="0" applyFill="0" applyBorder="0" applyAlignment="0" applyProtection="0"/>
    <xf numFmtId="276" fontId="11" fillId="0" borderId="0"/>
    <xf numFmtId="277" fontId="17" fillId="2" borderId="0" applyFont="0" applyBorder="0"/>
    <xf numFmtId="261" fontId="11" fillId="0" borderId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274" fontId="17" fillId="0" borderId="0" applyFill="0" applyBorder="0" applyAlignment="0"/>
    <xf numFmtId="0" fontId="17" fillId="0" borderId="0" applyFill="0" applyBorder="0" applyAlignment="0"/>
    <xf numFmtId="0" fontId="170" fillId="0" borderId="0" applyNumberFormat="0" applyFill="0" applyBorder="0" applyAlignment="0" applyProtection="0"/>
    <xf numFmtId="0" fontId="102" fillId="10" borderId="22" applyNumberFormat="0" applyAlignment="0" applyProtection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274" fontId="17" fillId="0" borderId="0" applyFill="0" applyBorder="0" applyAlignment="0"/>
    <xf numFmtId="0" fontId="17" fillId="0" borderId="0" applyFill="0" applyBorder="0" applyAlignment="0"/>
    <xf numFmtId="38" fontId="27" fillId="0" borderId="0" applyFont="0" applyFill="0" applyBorder="0" applyAlignment="0" applyProtection="0"/>
    <xf numFmtId="40" fontId="27" fillId="0" borderId="0" applyFont="0" applyFill="0" applyBorder="0" applyAlignment="0" applyProtection="0"/>
    <xf numFmtId="278" fontId="27" fillId="0" borderId="0" applyFont="0" applyFill="0" applyBorder="0" applyAlignment="0" applyProtection="0"/>
    <xf numFmtId="279" fontId="27" fillId="0" borderId="0" applyFont="0" applyFill="0" applyBorder="0" applyAlignment="0" applyProtection="0"/>
    <xf numFmtId="280" fontId="11" fillId="0" borderId="0"/>
    <xf numFmtId="0" fontId="16" fillId="0" borderId="0"/>
    <xf numFmtId="38" fontId="171" fillId="0" borderId="48" applyFont="0" applyFill="0" applyBorder="0" applyAlignment="0">
      <alignment horizontal="center"/>
    </xf>
    <xf numFmtId="273" fontId="17" fillId="0" borderId="0" applyFont="0" applyFill="0" applyBorder="0" applyAlignment="0" applyProtection="0"/>
    <xf numFmtId="281" fontId="17" fillId="0" borderId="0" applyFont="0" applyFill="0" applyBorder="0" applyAlignment="0" applyProtection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274" fontId="17" fillId="0" borderId="0" applyFill="0" applyBorder="0" applyAlignment="0"/>
    <xf numFmtId="0" fontId="17" fillId="0" borderId="0" applyFill="0" applyBorder="0" applyAlignment="0"/>
    <xf numFmtId="279" fontId="27" fillId="0" borderId="0">
      <alignment horizontal="center"/>
    </xf>
    <xf numFmtId="282" fontId="17" fillId="0" borderId="0" applyFill="0" applyBorder="0" applyAlignment="0"/>
    <xf numFmtId="233" fontId="17" fillId="0" borderId="0" applyFill="0" applyBorder="0" applyAlignment="0"/>
    <xf numFmtId="0" fontId="172" fillId="0" borderId="41" applyNumberFormat="0" applyFill="0" applyAlignment="0" applyProtection="0"/>
    <xf numFmtId="9" fontId="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235" fontId="17" fillId="0" borderId="0" applyFont="0" applyFill="0" applyBorder="0" applyAlignment="0" applyProtection="0">
      <alignment wrapText="1"/>
    </xf>
    <xf numFmtId="0" fontId="17" fillId="0" borderId="0"/>
    <xf numFmtId="0" fontId="17" fillId="0" borderId="0"/>
    <xf numFmtId="0" fontId="175" fillId="0" borderId="0" applyNumberFormat="0" applyFill="0" applyBorder="0" applyAlignment="0" applyProtection="0">
      <alignment vertical="top"/>
      <protection locked="0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41" fillId="0" borderId="0"/>
    <xf numFmtId="0" fontId="11" fillId="0" borderId="0"/>
    <xf numFmtId="0" fontId="163" fillId="0" borderId="0">
      <alignment vertical="center"/>
    </xf>
    <xf numFmtId="0" fontId="11" fillId="0" borderId="0"/>
    <xf numFmtId="0" fontId="9" fillId="0" borderId="0">
      <alignment vertical="center"/>
    </xf>
    <xf numFmtId="0" fontId="11" fillId="0" borderId="0"/>
    <xf numFmtId="0" fontId="11" fillId="0" borderId="0"/>
    <xf numFmtId="0" fontId="163" fillId="0" borderId="0">
      <alignment vertical="center"/>
    </xf>
    <xf numFmtId="0" fontId="11" fillId="0" borderId="0">
      <alignment vertical="center"/>
    </xf>
    <xf numFmtId="0" fontId="176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2" fillId="0" borderId="0">
      <protection locked="0"/>
    </xf>
    <xf numFmtId="179" fontId="12" fillId="0" borderId="0">
      <protection locked="0"/>
    </xf>
    <xf numFmtId="182" fontId="12" fillId="0" borderId="0">
      <protection locked="0"/>
    </xf>
    <xf numFmtId="183" fontId="12" fillId="0" borderId="0">
      <protection locked="0"/>
    </xf>
    <xf numFmtId="181" fontId="12" fillId="0" borderId="0">
      <protection locked="0"/>
    </xf>
    <xf numFmtId="181" fontId="12" fillId="0" borderId="0">
      <protection locked="0"/>
    </xf>
    <xf numFmtId="180" fontId="12" fillId="0" borderId="0">
      <protection locked="0"/>
    </xf>
    <xf numFmtId="180" fontId="12" fillId="0" borderId="0">
      <protection locked="0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83" fontId="1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7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235" fontId="17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1" fillId="0" borderId="0"/>
    <xf numFmtId="0" fontId="41" fillId="0" borderId="0"/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15" fillId="0" borderId="0"/>
    <xf numFmtId="0" fontId="11" fillId="0" borderId="0" applyFont="0" applyFill="0" applyBorder="0" applyAlignment="0" applyProtection="0"/>
    <xf numFmtId="0" fontId="20" fillId="0" borderId="0"/>
    <xf numFmtId="0" fontId="11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73" fillId="5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4" fillId="11" borderId="20"/>
    <xf numFmtId="0" fontId="73" fillId="12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178" fillId="36" borderId="0" applyNumberFormat="0" applyBorder="0" applyAlignment="0" applyProtection="0"/>
    <xf numFmtId="0" fontId="178" fillId="36" borderId="0" applyNumberFormat="0" applyBorder="0" applyAlignment="0" applyProtection="0"/>
    <xf numFmtId="0" fontId="179" fillId="37" borderId="0" applyNumberFormat="0" applyBorder="0" applyAlignment="0" applyProtection="0"/>
    <xf numFmtId="0" fontId="179" fillId="38" borderId="0" applyNumberFormat="0" applyBorder="0" applyAlignment="0" applyProtection="0"/>
    <xf numFmtId="0" fontId="178" fillId="39" borderId="0" applyNumberFormat="0" applyBorder="0" applyAlignment="0" applyProtection="0"/>
    <xf numFmtId="0" fontId="178" fillId="40" borderId="0" applyNumberFormat="0" applyBorder="0" applyAlignment="0" applyProtection="0"/>
    <xf numFmtId="0" fontId="179" fillId="41" borderId="0" applyNumberFormat="0" applyBorder="0" applyAlignment="0" applyProtection="0"/>
    <xf numFmtId="0" fontId="179" fillId="42" borderId="0" applyNumberFormat="0" applyBorder="0" applyAlignment="0" applyProtection="0"/>
    <xf numFmtId="0" fontId="178" fillId="39" borderId="0" applyNumberFormat="0" applyBorder="0" applyAlignment="0" applyProtection="0"/>
    <xf numFmtId="0" fontId="178" fillId="43" borderId="0" applyNumberFormat="0" applyBorder="0" applyAlignment="0" applyProtection="0"/>
    <xf numFmtId="0" fontId="179" fillId="40" borderId="0" applyNumberFormat="0" applyBorder="0" applyAlignment="0" applyProtection="0"/>
    <xf numFmtId="0" fontId="179" fillId="41" borderId="0" applyNumberFormat="0" applyBorder="0" applyAlignment="0" applyProtection="0"/>
    <xf numFmtId="0" fontId="178" fillId="36" borderId="0" applyNumberFormat="0" applyBorder="0" applyAlignment="0" applyProtection="0"/>
    <xf numFmtId="0" fontId="178" fillId="40" borderId="0" applyNumberFormat="0" applyBorder="0" applyAlignment="0" applyProtection="0"/>
    <xf numFmtId="0" fontId="179" fillId="40" borderId="0" applyNumberFormat="0" applyBorder="0" applyAlignment="0" applyProtection="0"/>
    <xf numFmtId="0" fontId="179" fillId="38" borderId="0" applyNumberFormat="0" applyBorder="0" applyAlignment="0" applyProtection="0"/>
    <xf numFmtId="0" fontId="178" fillId="44" borderId="0" applyNumberFormat="0" applyBorder="0" applyAlignment="0" applyProtection="0"/>
    <xf numFmtId="0" fontId="178" fillId="36" borderId="0" applyNumberFormat="0" applyBorder="0" applyAlignment="0" applyProtection="0"/>
    <xf numFmtId="0" fontId="179" fillId="37" borderId="0" applyNumberFormat="0" applyBorder="0" applyAlignment="0" applyProtection="0"/>
    <xf numFmtId="0" fontId="179" fillId="45" borderId="0" applyNumberFormat="0" applyBorder="0" applyAlignment="0" applyProtection="0"/>
    <xf numFmtId="0" fontId="178" fillId="39" borderId="0" applyNumberFormat="0" applyBorder="0" applyAlignment="0" applyProtection="0"/>
    <xf numFmtId="0" fontId="178" fillId="46" borderId="0" applyNumberFormat="0" applyBorder="0" applyAlignment="0" applyProtection="0"/>
    <xf numFmtId="0" fontId="179" fillId="46" borderId="0" applyNumberFormat="0" applyBorder="0" applyAlignment="0" applyProtection="0"/>
    <xf numFmtId="0" fontId="179" fillId="47" borderId="0" applyNumberFormat="0" applyBorder="0" applyAlignment="0" applyProtection="0"/>
    <xf numFmtId="0" fontId="180" fillId="48" borderId="0" applyNumberFormat="0" applyBorder="0" applyAlignment="0" applyProtection="0"/>
    <xf numFmtId="0" fontId="11" fillId="0" borderId="0" applyFill="0" applyBorder="0" applyAlignment="0"/>
    <xf numFmtId="186" fontId="11" fillId="0" borderId="0" applyFill="0" applyBorder="0" applyAlignment="0"/>
    <xf numFmtId="187" fontId="11" fillId="0" borderId="0" applyFill="0" applyBorder="0" applyAlignment="0"/>
    <xf numFmtId="188" fontId="11" fillId="0" borderId="0" applyFill="0" applyBorder="0" applyAlignment="0"/>
    <xf numFmtId="189" fontId="11" fillId="0" borderId="0" applyFill="0" applyBorder="0" applyAlignment="0"/>
    <xf numFmtId="190" fontId="11" fillId="0" borderId="0" applyFill="0" applyBorder="0" applyAlignment="0"/>
    <xf numFmtId="191" fontId="11" fillId="0" borderId="0" applyFill="0" applyBorder="0" applyAlignment="0"/>
    <xf numFmtId="186" fontId="11" fillId="0" borderId="0" applyFill="0" applyBorder="0" applyAlignment="0"/>
    <xf numFmtId="0" fontId="181" fillId="49" borderId="22" applyNumberFormat="0" applyAlignment="0" applyProtection="0"/>
    <xf numFmtId="0" fontId="182" fillId="41" borderId="23" applyNumberFormat="0" applyAlignment="0" applyProtection="0"/>
    <xf numFmtId="41" fontId="11" fillId="0" borderId="0" applyFont="0" applyFill="0" applyBorder="0" applyAlignment="0" applyProtection="0"/>
    <xf numFmtId="208" fontId="11" fillId="0" borderId="0" applyFont="0" applyFill="0" applyBorder="0" applyAlignment="0" applyProtection="0"/>
    <xf numFmtId="190" fontId="11" fillId="0" borderId="0" applyFont="0" applyFill="0" applyBorder="0" applyAlignment="0" applyProtection="0"/>
    <xf numFmtId="192" fontId="11" fillId="0" borderId="0"/>
    <xf numFmtId="186" fontId="11" fillId="0" borderId="0" applyFont="0" applyFill="0" applyBorder="0" applyAlignment="0" applyProtection="0"/>
    <xf numFmtId="194" fontId="11" fillId="0" borderId="0"/>
    <xf numFmtId="0" fontId="183" fillId="50" borderId="0" applyNumberFormat="0" applyBorder="0" applyAlignment="0" applyProtection="0"/>
    <xf numFmtId="0" fontId="183" fillId="51" borderId="0" applyNumberFormat="0" applyBorder="0" applyAlignment="0" applyProtection="0"/>
    <xf numFmtId="0" fontId="183" fillId="52" borderId="0" applyNumberFormat="0" applyBorder="0" applyAlignment="0" applyProtection="0"/>
    <xf numFmtId="190" fontId="11" fillId="0" borderId="0" applyFill="0" applyBorder="0" applyAlignment="0"/>
    <xf numFmtId="186" fontId="11" fillId="0" borderId="0" applyFill="0" applyBorder="0" applyAlignment="0"/>
    <xf numFmtId="190" fontId="11" fillId="0" borderId="0" applyFill="0" applyBorder="0" applyAlignment="0"/>
    <xf numFmtId="191" fontId="11" fillId="0" borderId="0" applyFill="0" applyBorder="0" applyAlignment="0"/>
    <xf numFmtId="186" fontId="11" fillId="0" borderId="0" applyFill="0" applyBorder="0" applyAlignment="0"/>
    <xf numFmtId="0" fontId="145" fillId="0" borderId="0" applyNumberFormat="0" applyFill="0" applyBorder="0" applyAlignment="0" applyProtection="0">
      <alignment vertical="center"/>
    </xf>
    <xf numFmtId="0" fontId="184" fillId="43" borderId="0" applyNumberFormat="0" applyBorder="0" applyAlignment="0" applyProtection="0"/>
    <xf numFmtId="0" fontId="185" fillId="0" borderId="49" applyNumberFormat="0" applyFill="0" applyAlignment="0" applyProtection="0"/>
    <xf numFmtId="0" fontId="186" fillId="0" borderId="44" applyNumberFormat="0" applyFill="0" applyAlignment="0" applyProtection="0"/>
    <xf numFmtId="0" fontId="187" fillId="0" borderId="50" applyNumberFormat="0" applyFill="0" applyAlignment="0" applyProtection="0"/>
    <xf numFmtId="0" fontId="187" fillId="0" borderId="0" applyNumberFormat="0" applyFill="0" applyBorder="0" applyAlignment="0" applyProtection="0"/>
    <xf numFmtId="0" fontId="188" fillId="46" borderId="22" applyNumberFormat="0" applyAlignment="0" applyProtection="0"/>
    <xf numFmtId="0" fontId="17" fillId="0" borderId="0"/>
    <xf numFmtId="190" fontId="11" fillId="0" borderId="0" applyFill="0" applyBorder="0" applyAlignment="0"/>
    <xf numFmtId="186" fontId="11" fillId="0" borderId="0" applyFill="0" applyBorder="0" applyAlignment="0"/>
    <xf numFmtId="190" fontId="11" fillId="0" borderId="0" applyFill="0" applyBorder="0" applyAlignment="0"/>
    <xf numFmtId="191" fontId="11" fillId="0" borderId="0" applyFill="0" applyBorder="0" applyAlignment="0"/>
    <xf numFmtId="186" fontId="11" fillId="0" borderId="0" applyFill="0" applyBorder="0" applyAlignment="0"/>
    <xf numFmtId="0" fontId="189" fillId="0" borderId="27" applyNumberFormat="0" applyFill="0" applyAlignment="0" applyProtection="0"/>
    <xf numFmtId="0" fontId="190" fillId="53" borderId="0" applyNumberFormat="0" applyBorder="0" applyAlignment="0" applyProtection="0"/>
    <xf numFmtId="284" fontId="12" fillId="0" borderId="0"/>
    <xf numFmtId="0" fontId="11" fillId="39" borderId="28" applyNumberFormat="0" applyFont="0" applyAlignment="0" applyProtection="0"/>
    <xf numFmtId="0" fontId="191" fillId="49" borderId="30" applyNumberFormat="0" applyAlignment="0" applyProtection="0"/>
    <xf numFmtId="189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0" fontId="11" fillId="0" borderId="0" applyFill="0" applyBorder="0" applyAlignment="0"/>
    <xf numFmtId="186" fontId="11" fillId="0" borderId="0" applyFill="0" applyBorder="0" applyAlignment="0"/>
    <xf numFmtId="190" fontId="11" fillId="0" borderId="0" applyFill="0" applyBorder="0" applyAlignment="0"/>
    <xf numFmtId="191" fontId="11" fillId="0" borderId="0" applyFill="0" applyBorder="0" applyAlignment="0"/>
    <xf numFmtId="186" fontId="11" fillId="0" borderId="0" applyFill="0" applyBorder="0" applyAlignment="0"/>
    <xf numFmtId="37" fontId="11" fillId="0" borderId="0" applyFont="0" applyFill="0" applyBorder="0" applyAlignment="0" applyProtection="0"/>
    <xf numFmtId="0" fontId="192" fillId="54" borderId="10" applyNumberFormat="0" applyFont="0" applyBorder="0" applyAlignment="0"/>
    <xf numFmtId="0" fontId="193" fillId="0" borderId="0" applyNumberFormat="0" applyFill="0" applyBorder="0" applyAlignment="0" applyProtection="0"/>
    <xf numFmtId="197" fontId="11" fillId="0" borderId="0" applyFill="0" applyBorder="0" applyAlignment="0"/>
    <xf numFmtId="198" fontId="11" fillId="0" borderId="0" applyFill="0" applyBorder="0" applyAlignment="0"/>
    <xf numFmtId="0" fontId="159" fillId="0" borderId="0" applyNumberFormat="0" applyFill="0" applyBorder="0" applyAlignment="0" applyProtection="0">
      <alignment vertical="center"/>
    </xf>
    <xf numFmtId="0" fontId="194" fillId="0" borderId="41" applyNumberFormat="0" applyFill="0" applyAlignment="0" applyProtection="0"/>
    <xf numFmtId="0" fontId="195" fillId="0" borderId="0" applyNumberFormat="0" applyFill="0" applyBorder="0" applyAlignment="0" applyProtection="0"/>
    <xf numFmtId="285" fontId="19" fillId="0" borderId="0">
      <protection locked="0"/>
    </xf>
    <xf numFmtId="0" fontId="196" fillId="0" borderId="0" applyNumberFormat="0" applyFill="0" applyBorder="0" applyAlignment="0" applyProtection="0">
      <alignment vertical="top"/>
      <protection locked="0"/>
    </xf>
    <xf numFmtId="0" fontId="196" fillId="0" borderId="0" applyNumberFormat="0" applyFill="0" applyBorder="0" applyAlignment="0" applyProtection="0">
      <alignment vertical="top"/>
      <protection locked="0"/>
    </xf>
    <xf numFmtId="0" fontId="11" fillId="29" borderId="28" applyNumberFormat="0" applyFont="0" applyAlignment="0" applyProtection="0">
      <alignment vertical="center"/>
    </xf>
    <xf numFmtId="0" fontId="11" fillId="29" borderId="28" applyNumberFormat="0" applyFont="0" applyAlignment="0" applyProtection="0">
      <alignment vertical="center"/>
    </xf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202" fontId="11" fillId="0" borderId="0">
      <alignment vertical="center"/>
    </xf>
    <xf numFmtId="41" fontId="4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226" fontId="73" fillId="0" borderId="0" applyFont="0" applyFill="0" applyBorder="0" applyAlignment="0" applyProtection="0">
      <alignment vertical="center"/>
    </xf>
    <xf numFmtId="286" fontId="19" fillId="0" borderId="0">
      <protection locked="0"/>
    </xf>
    <xf numFmtId="42" fontId="11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205" fontId="11" fillId="0" borderId="0">
      <protection locked="0"/>
    </xf>
    <xf numFmtId="0" fontId="163" fillId="0" borderId="0">
      <alignment vertical="center"/>
    </xf>
    <xf numFmtId="0" fontId="11" fillId="0" borderId="0"/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0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206" fontId="11" fillId="0" borderId="0">
      <protection locked="0"/>
    </xf>
    <xf numFmtId="287" fontId="19" fillId="0" borderId="0">
      <protection locked="0"/>
    </xf>
    <xf numFmtId="0" fontId="11" fillId="0" borderId="0"/>
    <xf numFmtId="42" fontId="6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0" borderId="0"/>
    <xf numFmtId="0" fontId="17" fillId="0" borderId="0"/>
    <xf numFmtId="0" fontId="79" fillId="0" borderId="0" applyFont="0" applyFill="0" applyBorder="0" applyAlignment="0" applyProtection="0"/>
    <xf numFmtId="38" fontId="20" fillId="4" borderId="0" applyNumberFormat="0" applyBorder="0" applyAlignment="0" applyProtection="0"/>
    <xf numFmtId="10" fontId="20" fillId="4" borderId="4" applyNumberFormat="0" applyBorder="0" applyAlignment="0" applyProtection="0"/>
    <xf numFmtId="0" fontId="79" fillId="0" borderId="0"/>
    <xf numFmtId="0" fontId="212" fillId="0" borderId="0"/>
    <xf numFmtId="9" fontId="163" fillId="0" borderId="0" applyFont="0" applyFill="0" applyBorder="0" applyAlignment="0" applyProtection="0">
      <alignment vertical="center"/>
    </xf>
    <xf numFmtId="0" fontId="213" fillId="0" borderId="0">
      <alignment vertical="center"/>
    </xf>
    <xf numFmtId="41" fontId="16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63" fillId="0" borderId="0" applyFont="0" applyFill="0" applyBorder="0" applyAlignment="0" applyProtection="0">
      <alignment vertical="center"/>
    </xf>
    <xf numFmtId="226" fontId="213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163" fillId="0" borderId="0" applyFont="0" applyFill="0" applyBorder="0" applyAlignment="0" applyProtection="0">
      <alignment vertical="center"/>
    </xf>
    <xf numFmtId="0" fontId="163" fillId="0" borderId="0">
      <alignment vertical="center"/>
    </xf>
    <xf numFmtId="9" fontId="5" fillId="0" borderId="0" applyFont="0" applyFill="0" applyBorder="0" applyAlignment="0" applyProtection="0">
      <alignment vertical="center"/>
    </xf>
    <xf numFmtId="229" fontId="82" fillId="0" borderId="0" applyFont="0" applyFill="0" applyBorder="0" applyAlignment="0" applyProtection="0"/>
    <xf numFmtId="220" fontId="82" fillId="0" borderId="0" applyFont="0" applyFill="0" applyBorder="0" applyAlignment="0" applyProtection="0"/>
    <xf numFmtId="226" fontId="82" fillId="0" borderId="0" applyFont="0" applyFill="0" applyBorder="0" applyAlignment="0" applyProtection="0"/>
    <xf numFmtId="193" fontId="82" fillId="0" borderId="0" applyFont="0" applyFill="0" applyBorder="0" applyAlignment="0" applyProtection="0"/>
    <xf numFmtId="193" fontId="16" fillId="0" borderId="0" applyFont="0" applyFill="0" applyBorder="0" applyAlignment="0" applyProtection="0"/>
    <xf numFmtId="0" fontId="19" fillId="0" borderId="0">
      <protection locked="0"/>
    </xf>
    <xf numFmtId="0" fontId="19" fillId="0" borderId="0">
      <protection locked="0"/>
    </xf>
    <xf numFmtId="288" fontId="12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289" fontId="215" fillId="0" borderId="0" applyFont="0" applyFill="0" applyBorder="0" applyAlignment="0" applyProtection="0"/>
    <xf numFmtId="290" fontId="215" fillId="0" borderId="0" applyFont="0" applyFill="0" applyBorder="0" applyAlignment="0" applyProtection="0"/>
    <xf numFmtId="41" fontId="11" fillId="0" borderId="0" applyFont="0" applyFill="0" applyBorder="0" applyAlignment="0" applyProtection="0"/>
    <xf numFmtId="291" fontId="12" fillId="0" borderId="0">
      <protection locked="0"/>
    </xf>
    <xf numFmtId="29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230" fontId="216" fillId="0" borderId="0" applyFont="0" applyFill="0" applyBorder="0" applyAlignment="0" applyProtection="0"/>
    <xf numFmtId="293" fontId="12" fillId="0" borderId="0">
      <protection locked="0"/>
    </xf>
    <xf numFmtId="0" fontId="163" fillId="0" borderId="0">
      <alignment vertical="center"/>
    </xf>
    <xf numFmtId="0" fontId="5" fillId="0" borderId="0">
      <alignment vertical="center"/>
    </xf>
    <xf numFmtId="0" fontId="11" fillId="0" borderId="0"/>
    <xf numFmtId="0" fontId="216" fillId="0" borderId="0"/>
    <xf numFmtId="226" fontId="215" fillId="0" borderId="0" applyFont="0" applyFill="0" applyBorder="0" applyAlignment="0" applyProtection="0"/>
    <xf numFmtId="193" fontId="215" fillId="0" borderId="0" applyFont="0" applyFill="0" applyBorder="0" applyAlignment="0" applyProtection="0"/>
    <xf numFmtId="38" fontId="216" fillId="0" borderId="0" applyFont="0" applyFill="0" applyBorder="0" applyAlignment="0" applyProtection="0"/>
    <xf numFmtId="192" fontId="12" fillId="0" borderId="0">
      <protection locked="0"/>
    </xf>
    <xf numFmtId="294" fontId="12" fillId="0" borderId="0">
      <protection locked="0"/>
    </xf>
    <xf numFmtId="0" fontId="163" fillId="0" borderId="0">
      <alignment vertical="center"/>
    </xf>
    <xf numFmtId="0" fontId="11" fillId="0" borderId="0"/>
    <xf numFmtId="0" fontId="5" fillId="0" borderId="0">
      <alignment vertical="center"/>
    </xf>
    <xf numFmtId="0" fontId="11" fillId="0" borderId="0"/>
    <xf numFmtId="193" fontId="16" fillId="0" borderId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1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5" fontId="17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163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5" fontId="11" fillId="0" borderId="0" applyBorder="0"/>
    <xf numFmtId="41" fontId="7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wrapText="1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73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1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41" fontId="16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6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16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97" fillId="0" borderId="0" applyNumberForma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72">
    <xf numFmtId="0" fontId="0" fillId="0" borderId="0" xfId="0"/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212" fontId="21" fillId="0" borderId="51" xfId="0" applyNumberFormat="1" applyFont="1" applyBorder="1" applyAlignment="1">
      <alignment vertical="center"/>
    </xf>
    <xf numFmtId="0" fontId="25" fillId="0" borderId="0" xfId="0" applyFont="1" applyAlignment="1">
      <alignment vertical="center"/>
    </xf>
    <xf numFmtId="3" fontId="56" fillId="0" borderId="52" xfId="188" applyNumberFormat="1" applyFont="1" applyBorder="1" applyAlignment="1">
      <alignment horizontal="center" vertical="center"/>
    </xf>
    <xf numFmtId="0" fontId="210" fillId="0" borderId="0" xfId="188" applyFont="1" applyAlignment="1">
      <alignment vertical="center"/>
    </xf>
    <xf numFmtId="0" fontId="204" fillId="0" borderId="0" xfId="0" applyFont="1" applyAlignment="1">
      <alignment horizontal="right"/>
    </xf>
    <xf numFmtId="0" fontId="208" fillId="56" borderId="56" xfId="0" applyFont="1" applyFill="1" applyBorder="1" applyAlignment="1">
      <alignment horizontal="center" vertical="center"/>
    </xf>
    <xf numFmtId="0" fontId="208" fillId="56" borderId="56" xfId="0" applyFont="1" applyFill="1" applyBorder="1" applyAlignment="1">
      <alignment horizontal="center" vertical="center" wrapText="1"/>
    </xf>
    <xf numFmtId="0" fontId="57" fillId="57" borderId="56" xfId="0" applyFont="1" applyFill="1" applyBorder="1" applyAlignment="1">
      <alignment horizontal="center" vertical="center" wrapText="1"/>
    </xf>
    <xf numFmtId="295" fontId="22" fillId="58" borderId="56" xfId="0" applyNumberFormat="1" applyFont="1" applyFill="1" applyBorder="1" applyAlignment="1">
      <alignment horizontal="center" vertical="center"/>
    </xf>
    <xf numFmtId="0" fontId="177" fillId="0" borderId="57" xfId="3847" applyFont="1" applyBorder="1"/>
    <xf numFmtId="0" fontId="177" fillId="0" borderId="54" xfId="3847" applyFont="1" applyBorder="1"/>
    <xf numFmtId="0" fontId="199" fillId="0" borderId="54" xfId="3847" applyFont="1" applyBorder="1"/>
    <xf numFmtId="0" fontId="43" fillId="0" borderId="54" xfId="3847" applyFont="1" applyBorder="1"/>
    <xf numFmtId="0" fontId="177" fillId="0" borderId="58" xfId="3847" applyFont="1" applyBorder="1"/>
    <xf numFmtId="0" fontId="177" fillId="0" borderId="0" xfId="3847" applyFont="1"/>
    <xf numFmtId="0" fontId="177" fillId="0" borderId="59" xfId="3847" applyFont="1" applyBorder="1"/>
    <xf numFmtId="0" fontId="177" fillId="0" borderId="60" xfId="3847" applyFont="1" applyBorder="1"/>
    <xf numFmtId="0" fontId="203" fillId="0" borderId="0" xfId="3847" applyFont="1"/>
    <xf numFmtId="0" fontId="198" fillId="0" borderId="0" xfId="3847" applyFont="1" applyAlignment="1">
      <alignment horizontal="right"/>
    </xf>
    <xf numFmtId="14" fontId="177" fillId="0" borderId="0" xfId="3847" applyNumberFormat="1" applyFont="1"/>
    <xf numFmtId="0" fontId="207" fillId="0" borderId="0" xfId="3847" applyFont="1" applyAlignment="1">
      <alignment vertical="top"/>
    </xf>
    <xf numFmtId="41" fontId="22" fillId="58" borderId="56" xfId="3" applyFont="1" applyFill="1" applyBorder="1" applyAlignment="1">
      <alignment horizontal="center" vertical="center"/>
    </xf>
    <xf numFmtId="0" fontId="23" fillId="0" borderId="0" xfId="188" applyFont="1" applyAlignment="1">
      <alignment vertical="center"/>
    </xf>
    <xf numFmtId="0" fontId="56" fillId="0" borderId="0" xfId="188" applyFont="1" applyAlignment="1">
      <alignment horizontal="center" vertical="center"/>
    </xf>
    <xf numFmtId="3" fontId="56" fillId="0" borderId="0" xfId="188" applyNumberFormat="1" applyFont="1" applyAlignment="1">
      <alignment horizontal="center" vertical="center"/>
    </xf>
    <xf numFmtId="0" fontId="56" fillId="0" borderId="0" xfId="188" applyFont="1" applyAlignment="1">
      <alignment vertical="center"/>
    </xf>
    <xf numFmtId="0" fontId="56" fillId="0" borderId="52" xfId="188" applyFont="1" applyBorder="1" applyAlignment="1">
      <alignment horizontal="center" vertical="center"/>
    </xf>
    <xf numFmtId="0" fontId="56" fillId="0" borderId="52" xfId="188" applyFont="1" applyBorder="1" applyAlignment="1">
      <alignment vertical="center"/>
    </xf>
    <xf numFmtId="0" fontId="25" fillId="0" borderId="0" xfId="188" applyFont="1" applyAlignment="1">
      <alignment horizontal="center" vertical="center"/>
    </xf>
    <xf numFmtId="3" fontId="25" fillId="0" borderId="0" xfId="188" applyNumberFormat="1" applyFont="1" applyAlignment="1">
      <alignment horizontal="center" vertical="center"/>
    </xf>
    <xf numFmtId="0" fontId="25" fillId="0" borderId="0" xfId="188" applyFont="1" applyAlignment="1">
      <alignment vertical="center"/>
    </xf>
    <xf numFmtId="0" fontId="11" fillId="0" borderId="0" xfId="3847"/>
    <xf numFmtId="0" fontId="23" fillId="55" borderId="0" xfId="188" applyFont="1" applyFill="1" applyAlignment="1">
      <alignment vertical="center"/>
    </xf>
    <xf numFmtId="0" fontId="220" fillId="0" borderId="0" xfId="188" applyFont="1" applyAlignment="1">
      <alignment vertical="center"/>
    </xf>
    <xf numFmtId="0" fontId="22" fillId="0" borderId="0" xfId="188" applyFont="1" applyAlignment="1">
      <alignment vertical="center"/>
    </xf>
    <xf numFmtId="297" fontId="25" fillId="0" borderId="65" xfId="4896" applyNumberFormat="1" applyFont="1" applyBorder="1" applyAlignment="1">
      <alignment horizontal="center" vertical="center"/>
    </xf>
    <xf numFmtId="297" fontId="25" fillId="0" borderId="64" xfId="4896" applyNumberFormat="1" applyFont="1" applyBorder="1" applyAlignment="1">
      <alignment horizontal="center" vertical="center"/>
    </xf>
    <xf numFmtId="297" fontId="25" fillId="0" borderId="64" xfId="4399" applyNumberFormat="1" applyFont="1" applyBorder="1" applyAlignment="1">
      <alignment horizontal="center" vertical="center"/>
    </xf>
    <xf numFmtId="234" fontId="203" fillId="57" borderId="66" xfId="3847" applyNumberFormat="1" applyFont="1" applyFill="1" applyBorder="1" applyAlignment="1">
      <alignment horizontal="center" vertical="center"/>
    </xf>
    <xf numFmtId="0" fontId="23" fillId="0" borderId="0" xfId="3847" applyFont="1" applyAlignment="1">
      <alignment vertical="center"/>
    </xf>
    <xf numFmtId="0" fontId="201" fillId="56" borderId="64" xfId="3847" applyFont="1" applyFill="1" applyBorder="1" applyAlignment="1">
      <alignment horizontal="center" vertical="center" wrapText="1"/>
    </xf>
    <xf numFmtId="0" fontId="56" fillId="0" borderId="0" xfId="3847" applyFont="1" applyAlignment="1">
      <alignment horizontal="center" vertical="center"/>
    </xf>
    <xf numFmtId="0" fontId="56" fillId="0" borderId="0" xfId="3847" applyFont="1" applyAlignment="1">
      <alignment vertical="center"/>
    </xf>
    <xf numFmtId="0" fontId="56" fillId="0" borderId="52" xfId="3847" applyFont="1" applyBorder="1" applyAlignment="1">
      <alignment horizontal="center" vertical="center"/>
    </xf>
    <xf numFmtId="0" fontId="56" fillId="0" borderId="52" xfId="3847" applyFont="1" applyBorder="1" applyAlignment="1">
      <alignment vertical="center"/>
    </xf>
    <xf numFmtId="0" fontId="25" fillId="0" borderId="0" xfId="3847" applyFont="1" applyAlignment="1">
      <alignment horizontal="left" vertical="center" indent="1"/>
    </xf>
    <xf numFmtId="0" fontId="25" fillId="0" borderId="0" xfId="3847" applyFont="1" applyAlignment="1">
      <alignment horizontal="center" vertical="center"/>
    </xf>
    <xf numFmtId="0" fontId="25" fillId="0" borderId="0" xfId="3847" applyFont="1" applyAlignment="1">
      <alignment vertical="center"/>
    </xf>
    <xf numFmtId="0" fontId="23" fillId="0" borderId="0" xfId="3847" applyFont="1" applyAlignment="1">
      <alignment horizontal="center" vertical="center"/>
    </xf>
    <xf numFmtId="3" fontId="23" fillId="0" borderId="0" xfId="3847" applyNumberFormat="1" applyFont="1" applyAlignment="1">
      <alignment horizontal="center" vertical="center"/>
    </xf>
    <xf numFmtId="0" fontId="223" fillId="0" borderId="0" xfId="0" applyFont="1" applyAlignment="1">
      <alignment vertical="center"/>
    </xf>
    <xf numFmtId="0" fontId="218" fillId="0" borderId="0" xfId="188" applyFont="1" applyAlignment="1">
      <alignment horizontal="left" vertical="center"/>
    </xf>
    <xf numFmtId="43" fontId="56" fillId="0" borderId="0" xfId="188" applyNumberFormat="1" applyFont="1" applyAlignment="1">
      <alignment vertical="center"/>
    </xf>
    <xf numFmtId="41" fontId="22" fillId="58" borderId="4" xfId="3" applyFont="1" applyFill="1" applyBorder="1" applyAlignment="1">
      <alignment horizontal="center" vertical="center"/>
    </xf>
    <xf numFmtId="295" fontId="22" fillId="58" borderId="4" xfId="0" applyNumberFormat="1" applyFont="1" applyFill="1" applyBorder="1" applyAlignment="1">
      <alignment horizontal="center" vertical="center"/>
    </xf>
    <xf numFmtId="176" fontId="25" fillId="0" borderId="4" xfId="3847" applyNumberFormat="1" applyFont="1" applyBorder="1" applyAlignment="1">
      <alignment horizontal="center" vertical="center"/>
    </xf>
    <xf numFmtId="176" fontId="26" fillId="58" borderId="4" xfId="3847" applyNumberFormat="1" applyFont="1" applyFill="1" applyBorder="1" applyAlignment="1">
      <alignment horizontal="center" vertical="center"/>
    </xf>
    <xf numFmtId="41" fontId="25" fillId="0" borderId="0" xfId="3" applyFont="1" applyBorder="1" applyAlignment="1">
      <alignment vertical="center"/>
    </xf>
    <xf numFmtId="9" fontId="25" fillId="0" borderId="4" xfId="3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41" fontId="25" fillId="0" borderId="4" xfId="3" applyFont="1" applyBorder="1" applyAlignment="1">
      <alignment horizontal="center" vertical="center"/>
    </xf>
    <xf numFmtId="9" fontId="25" fillId="0" borderId="4" xfId="0" applyNumberFormat="1" applyFont="1" applyBorder="1" applyAlignment="1">
      <alignment horizontal="center" vertical="center"/>
    </xf>
    <xf numFmtId="41" fontId="25" fillId="0" borderId="4" xfId="0" applyNumberFormat="1" applyFont="1" applyBorder="1" applyAlignment="1">
      <alignment horizontal="center" vertical="center"/>
    </xf>
    <xf numFmtId="41" fontId="25" fillId="0" borderId="4" xfId="0" applyNumberFormat="1" applyFont="1" applyBorder="1" applyAlignment="1">
      <alignment vertical="center"/>
    </xf>
    <xf numFmtId="0" fontId="25" fillId="0" borderId="46" xfId="0" applyFont="1" applyBorder="1" applyAlignment="1">
      <alignment horizontal="center" vertical="center"/>
    </xf>
    <xf numFmtId="9" fontId="25" fillId="0" borderId="46" xfId="0" applyNumberFormat="1" applyFont="1" applyBorder="1" applyAlignment="1">
      <alignment horizontal="center" vertical="center"/>
    </xf>
    <xf numFmtId="43" fontId="25" fillId="0" borderId="0" xfId="0" applyNumberFormat="1" applyFont="1" applyAlignment="1">
      <alignment vertical="center"/>
    </xf>
    <xf numFmtId="0" fontId="57" fillId="57" borderId="46" xfId="0" applyFont="1" applyFill="1" applyBorder="1" applyAlignment="1">
      <alignment horizontal="center" vertical="center" wrapText="1"/>
    </xf>
    <xf numFmtId="41" fontId="22" fillId="58" borderId="46" xfId="3" applyFont="1" applyFill="1" applyBorder="1" applyAlignment="1">
      <alignment horizontal="center" vertical="center"/>
    </xf>
    <xf numFmtId="295" fontId="22" fillId="58" borderId="46" xfId="0" applyNumberFormat="1" applyFont="1" applyFill="1" applyBorder="1" applyAlignment="1">
      <alignment horizontal="center" vertical="center"/>
    </xf>
    <xf numFmtId="41" fontId="25" fillId="0" borderId="46" xfId="0" applyNumberFormat="1" applyFont="1" applyBorder="1" applyAlignment="1">
      <alignment horizontal="center" vertical="center"/>
    </xf>
    <xf numFmtId="41" fontId="25" fillId="0" borderId="46" xfId="3" applyFont="1" applyBorder="1" applyAlignment="1">
      <alignment horizontal="center" vertical="center"/>
    </xf>
    <xf numFmtId="212" fontId="21" fillId="0" borderId="51" xfId="3847" applyNumberFormat="1" applyFont="1" applyBorder="1" applyAlignment="1">
      <alignment vertical="center"/>
    </xf>
    <xf numFmtId="212" fontId="21" fillId="0" borderId="0" xfId="3847" applyNumberFormat="1" applyFont="1" applyAlignment="1">
      <alignment vertical="center"/>
    </xf>
    <xf numFmtId="0" fontId="26" fillId="0" borderId="0" xfId="3847" applyFont="1" applyAlignment="1">
      <alignment vertical="center"/>
    </xf>
    <xf numFmtId="0" fontId="230" fillId="0" borderId="0" xfId="3847" applyFont="1" applyAlignment="1">
      <alignment vertical="center"/>
    </xf>
    <xf numFmtId="0" fontId="22" fillId="0" borderId="0" xfId="3847" applyFont="1" applyAlignment="1">
      <alignment vertical="center"/>
    </xf>
    <xf numFmtId="14" fontId="56" fillId="0" borderId="0" xfId="3847" applyNumberFormat="1" applyFont="1" applyAlignment="1">
      <alignment horizontal="left" vertical="center"/>
    </xf>
    <xf numFmtId="211" fontId="56" fillId="0" borderId="55" xfId="3847" applyNumberFormat="1" applyFont="1" applyBorder="1" applyAlignment="1">
      <alignment horizontal="left" vertical="center"/>
    </xf>
    <xf numFmtId="213" fontId="57" fillId="0" borderId="55" xfId="3847" applyNumberFormat="1" applyFont="1" applyBorder="1" applyAlignment="1">
      <alignment horizontal="left" vertical="center"/>
    </xf>
    <xf numFmtId="0" fontId="56" fillId="0" borderId="55" xfId="3847" applyFont="1" applyBorder="1" applyAlignment="1">
      <alignment vertical="center"/>
    </xf>
    <xf numFmtId="0" fontId="21" fillId="0" borderId="55" xfId="3847" applyFont="1" applyBorder="1" applyAlignment="1">
      <alignment vertical="center"/>
    </xf>
    <xf numFmtId="0" fontId="23" fillId="0" borderId="55" xfId="3847" applyFont="1" applyBorder="1" applyAlignment="1">
      <alignment vertical="center"/>
    </xf>
    <xf numFmtId="0" fontId="57" fillId="57" borderId="4" xfId="3847" applyFont="1" applyFill="1" applyBorder="1" applyAlignment="1">
      <alignment horizontal="left" vertical="center" indent="1"/>
    </xf>
    <xf numFmtId="41" fontId="21" fillId="0" borderId="4" xfId="3" applyFont="1" applyBorder="1" applyAlignment="1">
      <alignment vertical="center"/>
    </xf>
    <xf numFmtId="41" fontId="21" fillId="0" borderId="4" xfId="3" applyFont="1" applyFill="1" applyBorder="1" applyAlignment="1">
      <alignment vertical="center"/>
    </xf>
    <xf numFmtId="49" fontId="25" fillId="0" borderId="0" xfId="3847" quotePrefix="1" applyNumberFormat="1" applyFont="1" applyAlignment="1">
      <alignment horizontal="left" vertical="center" indent="1"/>
    </xf>
    <xf numFmtId="9" fontId="25" fillId="0" borderId="46" xfId="3" applyNumberFormat="1" applyFont="1" applyBorder="1" applyAlignment="1">
      <alignment horizontal="center" vertical="center"/>
    </xf>
    <xf numFmtId="0" fontId="26" fillId="63" borderId="45" xfId="0" applyFont="1" applyFill="1" applyBorder="1" applyAlignment="1">
      <alignment horizontal="center" vertical="center"/>
    </xf>
    <xf numFmtId="0" fontId="26" fillId="63" borderId="4" xfId="0" applyFont="1" applyFill="1" applyBorder="1" applyAlignment="1">
      <alignment horizontal="center" vertical="center"/>
    </xf>
    <xf numFmtId="0" fontId="25" fillId="63" borderId="45" xfId="0" applyFont="1" applyFill="1" applyBorder="1" applyAlignment="1">
      <alignment horizontal="center" vertical="center"/>
    </xf>
    <xf numFmtId="41" fontId="25" fillId="63" borderId="45" xfId="3" applyFont="1" applyFill="1" applyBorder="1" applyAlignment="1">
      <alignment horizontal="center" vertical="center"/>
    </xf>
    <xf numFmtId="41" fontId="25" fillId="61" borderId="4" xfId="3" applyFont="1" applyFill="1" applyBorder="1" applyAlignment="1">
      <alignment horizontal="center" vertical="center"/>
    </xf>
    <xf numFmtId="41" fontId="25" fillId="61" borderId="46" xfId="3" applyFont="1" applyFill="1" applyBorder="1" applyAlignment="1">
      <alignment horizontal="center" vertical="center"/>
    </xf>
    <xf numFmtId="0" fontId="57" fillId="60" borderId="76" xfId="0" applyFont="1" applyFill="1" applyBorder="1" applyAlignment="1">
      <alignment horizontal="center" vertical="center"/>
    </xf>
    <xf numFmtId="41" fontId="57" fillId="60" borderId="77" xfId="3" applyFont="1" applyFill="1" applyBorder="1" applyAlignment="1">
      <alignment horizontal="center" vertical="center"/>
    </xf>
    <xf numFmtId="9" fontId="57" fillId="60" borderId="77" xfId="0" applyNumberFormat="1" applyFont="1" applyFill="1" applyBorder="1" applyAlignment="1">
      <alignment horizontal="center" vertical="center"/>
    </xf>
    <xf numFmtId="41" fontId="57" fillId="60" borderId="75" xfId="3" applyFont="1" applyFill="1" applyBorder="1" applyAlignment="1">
      <alignment horizontal="center" vertical="center"/>
    </xf>
    <xf numFmtId="0" fontId="57" fillId="0" borderId="0" xfId="0" applyFont="1" applyAlignment="1">
      <alignment vertical="center"/>
    </xf>
    <xf numFmtId="41" fontId="22" fillId="60" borderId="75" xfId="0" applyNumberFormat="1" applyFont="1" applyFill="1" applyBorder="1" applyAlignment="1">
      <alignment horizontal="center" vertical="center"/>
    </xf>
    <xf numFmtId="9" fontId="22" fillId="60" borderId="77" xfId="0" applyNumberFormat="1" applyFont="1" applyFill="1" applyBorder="1" applyAlignment="1">
      <alignment horizontal="center" vertical="center"/>
    </xf>
    <xf numFmtId="41" fontId="22" fillId="60" borderId="75" xfId="0" applyNumberFormat="1" applyFont="1" applyFill="1" applyBorder="1" applyAlignment="1">
      <alignment vertical="center"/>
    </xf>
    <xf numFmtId="41" fontId="26" fillId="63" borderId="4" xfId="3" applyFont="1" applyFill="1" applyBorder="1" applyAlignment="1">
      <alignment horizontal="center" vertical="center"/>
    </xf>
    <xf numFmtId="0" fontId="205" fillId="0" borderId="0" xfId="0" applyFont="1" applyAlignment="1">
      <alignment vertical="center"/>
    </xf>
    <xf numFmtId="0" fontId="22" fillId="60" borderId="31" xfId="0" applyFont="1" applyFill="1" applyBorder="1" applyAlignment="1">
      <alignment horizontal="center" vertical="center"/>
    </xf>
    <xf numFmtId="0" fontId="22" fillId="60" borderId="2" xfId="0" applyFont="1" applyFill="1" applyBorder="1" applyAlignment="1">
      <alignment horizontal="center" vertical="center"/>
    </xf>
    <xf numFmtId="0" fontId="22" fillId="60" borderId="74" xfId="0" applyFont="1" applyFill="1" applyBorder="1" applyAlignment="1">
      <alignment horizontal="center" vertical="center"/>
    </xf>
    <xf numFmtId="0" fontId="228" fillId="0" borderId="0" xfId="0" applyFont="1" applyAlignment="1">
      <alignment vertical="center"/>
    </xf>
    <xf numFmtId="49" fontId="232" fillId="0" borderId="0" xfId="0" applyNumberFormat="1" applyFont="1" applyAlignment="1">
      <alignment horizontal="left" vertical="center" indent="1"/>
    </xf>
    <xf numFmtId="176" fontId="22" fillId="60" borderId="4" xfId="3847" applyNumberFormat="1" applyFont="1" applyFill="1" applyBorder="1" applyAlignment="1">
      <alignment horizontal="center" vertical="center"/>
    </xf>
    <xf numFmtId="41" fontId="23" fillId="0" borderId="0" xfId="0" applyNumberFormat="1" applyFont="1" applyAlignment="1">
      <alignment vertical="center"/>
    </xf>
    <xf numFmtId="296" fontId="22" fillId="59" borderId="0" xfId="3847" applyNumberFormat="1" applyFont="1" applyFill="1" applyAlignment="1">
      <alignment horizontal="left" vertical="center"/>
    </xf>
    <xf numFmtId="0" fontId="56" fillId="0" borderId="0" xfId="0" applyFont="1" applyAlignment="1">
      <alignment vertical="center"/>
    </xf>
    <xf numFmtId="43" fontId="23" fillId="0" borderId="0" xfId="0" applyNumberFormat="1" applyFont="1" applyAlignment="1">
      <alignment vertical="center"/>
    </xf>
    <xf numFmtId="0" fontId="227" fillId="0" borderId="0" xfId="0" applyFont="1" applyAlignment="1">
      <alignment horizontal="center" vertical="center"/>
    </xf>
    <xf numFmtId="0" fontId="205" fillId="0" borderId="0" xfId="0" applyFont="1" applyAlignment="1">
      <alignment horizontal="center" vertical="center"/>
    </xf>
    <xf numFmtId="301" fontId="23" fillId="0" borderId="0" xfId="0" applyNumberFormat="1" applyFont="1" applyAlignment="1">
      <alignment vertical="center"/>
    </xf>
    <xf numFmtId="0" fontId="234" fillId="0" borderId="0" xfId="0" applyFont="1" applyAlignment="1">
      <alignment vertical="center"/>
    </xf>
    <xf numFmtId="0" fontId="235" fillId="0" borderId="0" xfId="0" applyFont="1" applyAlignment="1">
      <alignment vertical="center"/>
    </xf>
    <xf numFmtId="0" fontId="237" fillId="0" borderId="0" xfId="188" applyFont="1" applyAlignment="1">
      <alignment vertical="center"/>
    </xf>
    <xf numFmtId="0" fontId="218" fillId="0" borderId="0" xfId="188" applyFont="1" applyAlignment="1">
      <alignment vertical="center"/>
    </xf>
    <xf numFmtId="0" fontId="220" fillId="64" borderId="4" xfId="3847" applyFont="1" applyFill="1" applyBorder="1" applyAlignment="1">
      <alignment horizontal="center" vertical="center"/>
    </xf>
    <xf numFmtId="0" fontId="208" fillId="64" borderId="63" xfId="0" applyFont="1" applyFill="1" applyBorder="1" applyAlignment="1">
      <alignment horizontal="center" vertical="center"/>
    </xf>
    <xf numFmtId="0" fontId="208" fillId="64" borderId="63" xfId="0" applyFont="1" applyFill="1" applyBorder="1" applyAlignment="1">
      <alignment horizontal="center" vertical="center" wrapText="1"/>
    </xf>
    <xf numFmtId="176" fontId="240" fillId="60" borderId="4" xfId="3847" applyNumberFormat="1" applyFont="1" applyFill="1" applyBorder="1" applyAlignment="1">
      <alignment horizontal="center" vertical="center"/>
    </xf>
    <xf numFmtId="0" fontId="219" fillId="0" borderId="0" xfId="3847" applyFont="1" applyAlignment="1">
      <alignment vertical="center"/>
    </xf>
    <xf numFmtId="0" fontId="243" fillId="0" borderId="0" xfId="4898" applyFont="1" applyAlignment="1"/>
    <xf numFmtId="0" fontId="177" fillId="0" borderId="0" xfId="4898" applyFont="1" applyAlignment="1"/>
    <xf numFmtId="41" fontId="177" fillId="0" borderId="0" xfId="4897" applyFont="1" applyAlignment="1"/>
    <xf numFmtId="0" fontId="177" fillId="0" borderId="4" xfId="4898" applyFont="1" applyBorder="1" applyAlignment="1">
      <alignment horizontal="center" vertical="center"/>
    </xf>
    <xf numFmtId="0" fontId="244" fillId="0" borderId="4" xfId="4899" applyFont="1" applyBorder="1" applyAlignment="1">
      <alignment horizontal="center" vertical="center"/>
    </xf>
    <xf numFmtId="0" fontId="245" fillId="62" borderId="4" xfId="4898" applyFont="1" applyFill="1" applyBorder="1">
      <alignment vertical="center"/>
    </xf>
    <xf numFmtId="0" fontId="245" fillId="62" borderId="10" xfId="4898" applyFont="1" applyFill="1" applyBorder="1">
      <alignment vertical="center"/>
    </xf>
    <xf numFmtId="0" fontId="245" fillId="0" borderId="4" xfId="4898" applyFont="1" applyBorder="1" applyAlignment="1">
      <alignment horizontal="center" vertical="center"/>
    </xf>
    <xf numFmtId="0" fontId="43" fillId="0" borderId="0" xfId="4898" applyFont="1" applyAlignment="1"/>
    <xf numFmtId="0" fontId="43" fillId="0" borderId="0" xfId="4898" applyFont="1">
      <alignment vertical="center"/>
    </xf>
    <xf numFmtId="0" fontId="43" fillId="62" borderId="10" xfId="4898" applyFont="1" applyFill="1" applyBorder="1">
      <alignment vertical="center"/>
    </xf>
    <xf numFmtId="14" fontId="245" fillId="60" borderId="4" xfId="4898" applyNumberFormat="1" applyFont="1" applyFill="1" applyBorder="1" applyAlignment="1">
      <alignment horizontal="center" vertical="center"/>
    </xf>
    <xf numFmtId="0" fontId="245" fillId="0" borderId="0" xfId="4898" applyFont="1" applyAlignment="1"/>
    <xf numFmtId="14" fontId="245" fillId="0" borderId="0" xfId="4898" applyNumberFormat="1" applyFont="1" applyAlignment="1">
      <alignment horizontal="left"/>
    </xf>
    <xf numFmtId="14" fontId="245" fillId="0" borderId="4" xfId="4898" applyNumberFormat="1" applyFont="1" applyBorder="1" applyAlignment="1">
      <alignment horizontal="center" vertical="center"/>
    </xf>
    <xf numFmtId="41" fontId="43" fillId="0" borderId="0" xfId="4897" applyFont="1" applyBorder="1" applyAlignment="1"/>
    <xf numFmtId="0" fontId="245" fillId="62" borderId="69" xfId="4898" applyFont="1" applyFill="1" applyBorder="1">
      <alignment vertical="center"/>
    </xf>
    <xf numFmtId="0" fontId="245" fillId="0" borderId="0" xfId="4898" applyFont="1">
      <alignment vertical="center"/>
    </xf>
    <xf numFmtId="41" fontId="245" fillId="0" borderId="0" xfId="4897" applyFont="1" applyAlignment="1">
      <alignment vertical="center"/>
    </xf>
    <xf numFmtId="0" fontId="245" fillId="62" borderId="10" xfId="4898" applyFont="1" applyFill="1" applyBorder="1" applyAlignment="1">
      <alignment horizontal="center" vertical="center"/>
    </xf>
    <xf numFmtId="0" fontId="245" fillId="62" borderId="4" xfId="4898" applyFont="1" applyFill="1" applyBorder="1" applyAlignment="1">
      <alignment horizontal="center" vertical="center"/>
    </xf>
    <xf numFmtId="41" fontId="245" fillId="62" borderId="4" xfId="4897" applyFont="1" applyFill="1" applyBorder="1" applyAlignment="1">
      <alignment horizontal="center" vertical="center"/>
    </xf>
    <xf numFmtId="37" fontId="245" fillId="62" borderId="4" xfId="4898" applyNumberFormat="1" applyFont="1" applyFill="1" applyBorder="1" applyAlignment="1">
      <alignment horizontal="center" vertical="center"/>
    </xf>
    <xf numFmtId="298" fontId="246" fillId="0" borderId="4" xfId="4898" applyNumberFormat="1" applyFont="1" applyBorder="1" applyAlignment="1">
      <alignment horizontal="center" vertical="center"/>
    </xf>
    <xf numFmtId="270" fontId="246" fillId="4" borderId="4" xfId="4898" applyNumberFormat="1" applyFont="1" applyFill="1" applyBorder="1" applyAlignment="1">
      <alignment horizontal="center" vertical="center" wrapText="1"/>
    </xf>
    <xf numFmtId="41" fontId="246" fillId="0" borderId="4" xfId="4897" applyFont="1" applyFill="1" applyBorder="1" applyAlignment="1">
      <alignment vertical="center"/>
    </xf>
    <xf numFmtId="41" fontId="246" fillId="4" borderId="4" xfId="4897" applyFont="1" applyFill="1" applyBorder="1" applyAlignment="1">
      <alignment vertical="center" wrapText="1"/>
    </xf>
    <xf numFmtId="299" fontId="247" fillId="0" borderId="4" xfId="4898" applyNumberFormat="1" applyFont="1" applyBorder="1" applyAlignment="1">
      <alignment horizontal="center" vertical="center" wrapText="1"/>
    </xf>
    <xf numFmtId="298" fontId="247" fillId="0" borderId="4" xfId="4898" applyNumberFormat="1" applyFont="1" applyBorder="1" applyAlignment="1">
      <alignment horizontal="center" vertical="center"/>
    </xf>
    <xf numFmtId="3" fontId="43" fillId="0" borderId="0" xfId="4898" applyNumberFormat="1" applyFont="1" applyAlignment="1"/>
    <xf numFmtId="41" fontId="246" fillId="0" borderId="6" xfId="4897" applyFont="1" applyBorder="1" applyAlignment="1">
      <alignment vertical="center"/>
    </xf>
    <xf numFmtId="41" fontId="246" fillId="0" borderId="45" xfId="4897" applyFont="1" applyBorder="1" applyAlignment="1">
      <alignment vertical="center"/>
    </xf>
    <xf numFmtId="37" fontId="248" fillId="0" borderId="70" xfId="4898" applyNumberFormat="1" applyFont="1" applyBorder="1">
      <alignment vertical="center"/>
    </xf>
    <xf numFmtId="37" fontId="246" fillId="0" borderId="71" xfId="4898" applyNumberFormat="1" applyFont="1" applyBorder="1" applyAlignment="1">
      <alignment horizontal="center" vertical="center"/>
    </xf>
    <xf numFmtId="300" fontId="177" fillId="0" borderId="4" xfId="4898" applyNumberFormat="1" applyFont="1" applyBorder="1" applyAlignment="1">
      <alignment horizontal="center" vertical="center"/>
    </xf>
    <xf numFmtId="37" fontId="177" fillId="0" borderId="4" xfId="4898" applyNumberFormat="1" applyFont="1" applyBorder="1" applyAlignment="1">
      <alignment horizontal="center" vertical="center"/>
    </xf>
    <xf numFmtId="0" fontId="249" fillId="0" borderId="0" xfId="4898" applyFont="1" applyAlignment="1"/>
    <xf numFmtId="3" fontId="177" fillId="0" borderId="0" xfId="4898" applyNumberFormat="1" applyFont="1" applyAlignment="1"/>
    <xf numFmtId="0" fontId="218" fillId="0" borderId="0" xfId="0" applyFont="1" applyAlignment="1">
      <alignment vertical="center"/>
    </xf>
    <xf numFmtId="0" fontId="250" fillId="63" borderId="45" xfId="0" applyFont="1" applyFill="1" applyBorder="1" applyAlignment="1">
      <alignment horizontal="center" vertical="center"/>
    </xf>
    <xf numFmtId="0" fontId="251" fillId="0" borderId="0" xfId="0" applyFont="1" applyAlignment="1">
      <alignment horizontal="center" vertical="center"/>
    </xf>
    <xf numFmtId="41" fontId="251" fillId="59" borderId="4" xfId="3" applyFont="1" applyFill="1" applyBorder="1" applyAlignment="1">
      <alignment horizontal="center" vertical="center"/>
    </xf>
    <xf numFmtId="302" fontId="21" fillId="0" borderId="4" xfId="3847" applyNumberFormat="1" applyFont="1" applyBorder="1" applyAlignment="1">
      <alignment horizontal="center" vertical="center"/>
    </xf>
    <xf numFmtId="0" fontId="253" fillId="0" borderId="0" xfId="3847" applyFont="1" applyAlignment="1">
      <alignment vertical="center"/>
    </xf>
    <xf numFmtId="0" fontId="254" fillId="0" borderId="45" xfId="3847" applyFont="1" applyBorder="1" applyAlignment="1">
      <alignment horizontal="center" vertical="center"/>
    </xf>
    <xf numFmtId="0" fontId="254" fillId="0" borderId="4" xfId="3847" applyFont="1" applyBorder="1" applyAlignment="1">
      <alignment horizontal="center" vertical="center"/>
    </xf>
    <xf numFmtId="41" fontId="21" fillId="0" borderId="45" xfId="3847" applyNumberFormat="1" applyFont="1" applyBorder="1" applyAlignment="1">
      <alignment horizontal="center" vertical="center"/>
    </xf>
    <xf numFmtId="41" fontId="21" fillId="0" borderId="4" xfId="3847" applyNumberFormat="1" applyFont="1" applyBorder="1" applyAlignment="1">
      <alignment horizontal="center" vertical="center"/>
    </xf>
    <xf numFmtId="281" fontId="22" fillId="0" borderId="45" xfId="3847" applyNumberFormat="1" applyFont="1" applyBorder="1" applyAlignment="1">
      <alignment horizontal="center" vertical="center"/>
    </xf>
    <xf numFmtId="281" fontId="22" fillId="0" borderId="4" xfId="3847" applyNumberFormat="1" applyFont="1" applyBorder="1" applyAlignment="1">
      <alignment horizontal="center" vertical="center"/>
    </xf>
    <xf numFmtId="303" fontId="22" fillId="0" borderId="45" xfId="3847" applyNumberFormat="1" applyFont="1" applyBorder="1" applyAlignment="1">
      <alignment horizontal="center" vertical="center"/>
    </xf>
    <xf numFmtId="303" fontId="22" fillId="0" borderId="4" xfId="3847" applyNumberFormat="1" applyFont="1" applyBorder="1" applyAlignment="1">
      <alignment horizontal="center" vertical="center"/>
    </xf>
    <xf numFmtId="41" fontId="253" fillId="0" borderId="45" xfId="3847" applyNumberFormat="1" applyFont="1" applyBorder="1" applyAlignment="1">
      <alignment horizontal="center" vertical="center"/>
    </xf>
    <xf numFmtId="41" fontId="253" fillId="0" borderId="4" xfId="3847" quotePrefix="1" applyNumberFormat="1" applyFont="1" applyBorder="1" applyAlignment="1">
      <alignment horizontal="center" vertical="center"/>
    </xf>
    <xf numFmtId="0" fontId="255" fillId="0" borderId="45" xfId="3847" quotePrefix="1" applyFont="1" applyBorder="1" applyAlignment="1">
      <alignment horizontal="center" vertical="center"/>
    </xf>
    <xf numFmtId="0" fontId="255" fillId="0" borderId="4" xfId="3847" quotePrefix="1" applyFont="1" applyBorder="1" applyAlignment="1">
      <alignment horizontal="center" vertical="center"/>
    </xf>
    <xf numFmtId="302" fontId="21" fillId="0" borderId="45" xfId="3847" applyNumberFormat="1" applyFont="1" applyBorder="1" applyAlignment="1">
      <alignment horizontal="center" vertical="center"/>
    </xf>
    <xf numFmtId="0" fontId="233" fillId="0" borderId="0" xfId="3847" applyFont="1" applyAlignment="1">
      <alignment horizontal="right" vertical="center"/>
    </xf>
    <xf numFmtId="0" fontId="1" fillId="0" borderId="0" xfId="4901">
      <alignment vertical="center"/>
    </xf>
    <xf numFmtId="0" fontId="256" fillId="0" borderId="0" xfId="188" applyFont="1" applyAlignment="1">
      <alignment vertical="center"/>
    </xf>
    <xf numFmtId="41" fontId="1" fillId="0" borderId="0" xfId="4901" applyNumberFormat="1">
      <alignment vertical="center"/>
    </xf>
    <xf numFmtId="304" fontId="208" fillId="65" borderId="4" xfId="188" applyNumberFormat="1" applyFont="1" applyFill="1" applyBorder="1" applyAlignment="1">
      <alignment horizontal="center" vertical="center"/>
    </xf>
    <xf numFmtId="9" fontId="208" fillId="65" borderId="4" xfId="188" applyNumberFormat="1" applyFont="1" applyFill="1" applyBorder="1" applyAlignment="1">
      <alignment horizontal="center" vertical="center"/>
    </xf>
    <xf numFmtId="0" fontId="57" fillId="66" borderId="4" xfId="188" applyFont="1" applyFill="1" applyBorder="1" applyAlignment="1">
      <alignment horizontal="center" vertical="center"/>
    </xf>
    <xf numFmtId="0" fontId="57" fillId="66" borderId="4" xfId="188" applyFont="1" applyFill="1" applyBorder="1" applyAlignment="1">
      <alignment vertical="center"/>
    </xf>
    <xf numFmtId="38" fontId="25" fillId="0" borderId="4" xfId="188" applyNumberFormat="1" applyFont="1" applyBorder="1" applyAlignment="1">
      <alignment horizontal="right" vertical="center"/>
    </xf>
    <xf numFmtId="41" fontId="22" fillId="59" borderId="4" xfId="188" applyNumberFormat="1" applyFont="1" applyFill="1" applyBorder="1" applyAlignment="1">
      <alignment vertical="center"/>
    </xf>
    <xf numFmtId="41" fontId="22" fillId="67" borderId="4" xfId="188" applyNumberFormat="1" applyFont="1" applyFill="1" applyBorder="1" applyAlignment="1">
      <alignment vertical="center"/>
    </xf>
    <xf numFmtId="0" fontId="57" fillId="66" borderId="4" xfId="188" applyFont="1" applyFill="1" applyBorder="1" applyAlignment="1">
      <alignment horizontal="left" vertical="center"/>
    </xf>
    <xf numFmtId="41" fontId="43" fillId="0" borderId="4" xfId="4902" applyFont="1" applyBorder="1" applyAlignment="1">
      <alignment horizontal="center" vertical="center" wrapText="1"/>
    </xf>
    <xf numFmtId="0" fontId="217" fillId="65" borderId="90" xfId="188" applyFont="1" applyFill="1" applyBorder="1" applyAlignment="1">
      <alignment horizontal="center" vertical="center"/>
    </xf>
    <xf numFmtId="41" fontId="22" fillId="67" borderId="38" xfId="188" applyNumberFormat="1" applyFont="1" applyFill="1" applyBorder="1" applyAlignment="1">
      <alignment vertical="center"/>
    </xf>
    <xf numFmtId="0" fontId="57" fillId="66" borderId="17" xfId="188" applyFont="1" applyFill="1" applyBorder="1" applyAlignment="1">
      <alignment horizontal="center" vertical="center"/>
    </xf>
    <xf numFmtId="0" fontId="57" fillId="66" borderId="17" xfId="188" applyFont="1" applyFill="1" applyBorder="1" applyAlignment="1">
      <alignment horizontal="left" vertical="center"/>
    </xf>
    <xf numFmtId="41" fontId="43" fillId="0" borderId="17" xfId="4902" applyFont="1" applyBorder="1" applyAlignment="1">
      <alignment horizontal="center" vertical="center" wrapText="1"/>
    </xf>
    <xf numFmtId="38" fontId="25" fillId="0" borderId="17" xfId="188" applyNumberFormat="1" applyFont="1" applyBorder="1" applyAlignment="1">
      <alignment horizontal="right" vertical="center"/>
    </xf>
    <xf numFmtId="41" fontId="22" fillId="59" borderId="17" xfId="188" applyNumberFormat="1" applyFont="1" applyFill="1" applyBorder="1" applyAlignment="1">
      <alignment vertical="center"/>
    </xf>
    <xf numFmtId="41" fontId="22" fillId="67" borderId="17" xfId="188" applyNumberFormat="1" applyFont="1" applyFill="1" applyBorder="1" applyAlignment="1">
      <alignment vertical="center"/>
    </xf>
    <xf numFmtId="41" fontId="22" fillId="67" borderId="93" xfId="188" applyNumberFormat="1" applyFont="1" applyFill="1" applyBorder="1" applyAlignment="1">
      <alignment vertical="center"/>
    </xf>
    <xf numFmtId="0" fontId="221" fillId="0" borderId="0" xfId="0" applyFont="1" applyAlignment="1">
      <alignment vertical="center"/>
    </xf>
    <xf numFmtId="0" fontId="226" fillId="0" borderId="0" xfId="3847" applyFont="1" applyAlignment="1">
      <alignment vertical="center"/>
    </xf>
    <xf numFmtId="0" fontId="25" fillId="0" borderId="15" xfId="0" applyFont="1" applyBorder="1" applyAlignment="1">
      <alignment vertical="center"/>
    </xf>
    <xf numFmtId="0" fontId="25" fillId="0" borderId="94" xfId="0" applyFont="1" applyBorder="1" applyAlignment="1">
      <alignment vertical="center"/>
    </xf>
    <xf numFmtId="0" fontId="25" fillId="0" borderId="4" xfId="0" applyFont="1" applyBorder="1" applyAlignment="1">
      <alignment vertical="center" wrapText="1"/>
    </xf>
    <xf numFmtId="0" fontId="218" fillId="0" borderId="4" xfId="0" applyFont="1" applyBorder="1" applyAlignment="1">
      <alignment vertical="center" wrapText="1"/>
    </xf>
    <xf numFmtId="0" fontId="238" fillId="0" borderId="59" xfId="3847" applyFont="1" applyBorder="1" applyAlignment="1">
      <alignment horizontal="left" vertical="center" wrapText="1"/>
    </xf>
    <xf numFmtId="0" fontId="238" fillId="0" borderId="0" xfId="3847" applyFont="1" applyAlignment="1">
      <alignment horizontal="left" vertical="center"/>
    </xf>
    <xf numFmtId="0" fontId="238" fillId="0" borderId="60" xfId="3847" applyFont="1" applyBorder="1" applyAlignment="1">
      <alignment horizontal="left" vertical="center"/>
    </xf>
    <xf numFmtId="0" fontId="238" fillId="0" borderId="59" xfId="3847" applyFont="1" applyBorder="1" applyAlignment="1">
      <alignment horizontal="left" vertical="center"/>
    </xf>
    <xf numFmtId="0" fontId="238" fillId="0" borderId="61" xfId="3847" applyFont="1" applyBorder="1" applyAlignment="1">
      <alignment horizontal="left" vertical="center"/>
    </xf>
    <xf numFmtId="0" fontId="238" fillId="0" borderId="53" xfId="3847" applyFont="1" applyBorder="1" applyAlignment="1">
      <alignment horizontal="left" vertical="center"/>
    </xf>
    <xf numFmtId="0" fontId="238" fillId="0" borderId="62" xfId="3847" applyFont="1" applyBorder="1" applyAlignment="1">
      <alignment horizontal="left" vertical="center"/>
    </xf>
    <xf numFmtId="0" fontId="199" fillId="0" borderId="0" xfId="3847" applyFont="1" applyAlignment="1">
      <alignment horizontal="right"/>
    </xf>
    <xf numFmtId="0" fontId="43" fillId="0" borderId="0" xfId="3847" applyFont="1" applyAlignment="1">
      <alignment horizontal="right"/>
    </xf>
    <xf numFmtId="0" fontId="239" fillId="0" borderId="59" xfId="3847" applyFont="1" applyBorder="1" applyAlignment="1">
      <alignment horizontal="center" wrapText="1"/>
    </xf>
    <xf numFmtId="0" fontId="239" fillId="0" borderId="0" xfId="3847" applyFont="1" applyAlignment="1">
      <alignment horizontal="center" wrapText="1"/>
    </xf>
    <xf numFmtId="0" fontId="239" fillId="0" borderId="60" xfId="3847" applyFont="1" applyBorder="1" applyAlignment="1">
      <alignment horizontal="center" wrapText="1"/>
    </xf>
    <xf numFmtId="0" fontId="229" fillId="0" borderId="0" xfId="3847" applyFont="1" applyAlignment="1">
      <alignment horizontal="center" vertical="top" wrapText="1"/>
    </xf>
    <xf numFmtId="14" fontId="211" fillId="0" borderId="0" xfId="3847" applyNumberFormat="1" applyFont="1" applyAlignment="1">
      <alignment horizontal="center"/>
    </xf>
    <xf numFmtId="0" fontId="206" fillId="0" borderId="0" xfId="3847" applyFont="1" applyAlignment="1">
      <alignment horizontal="left"/>
    </xf>
    <xf numFmtId="41" fontId="21" fillId="58" borderId="10" xfId="3" applyFont="1" applyFill="1" applyBorder="1" applyAlignment="1">
      <alignment horizontal="right" vertical="center"/>
    </xf>
    <xf numFmtId="41" fontId="21" fillId="58" borderId="69" xfId="3" applyFont="1" applyFill="1" applyBorder="1" applyAlignment="1">
      <alignment horizontal="right" vertical="center"/>
    </xf>
    <xf numFmtId="41" fontId="21" fillId="58" borderId="4" xfId="3" applyFont="1" applyFill="1" applyBorder="1" applyAlignment="1">
      <alignment horizontal="right" vertical="center"/>
    </xf>
    <xf numFmtId="0" fontId="57" fillId="57" borderId="46" xfId="3847" applyFont="1" applyFill="1" applyBorder="1" applyAlignment="1">
      <alignment horizontal="center" vertical="center" wrapText="1"/>
    </xf>
    <xf numFmtId="0" fontId="57" fillId="57" borderId="45" xfId="3847" applyFont="1" applyFill="1" applyBorder="1" applyAlignment="1">
      <alignment horizontal="center" vertical="center" wrapText="1"/>
    </xf>
    <xf numFmtId="0" fontId="252" fillId="64" borderId="31" xfId="3847" applyFont="1" applyFill="1" applyBorder="1" applyAlignment="1">
      <alignment horizontal="center" vertical="center"/>
    </xf>
    <xf numFmtId="0" fontId="252" fillId="64" borderId="2" xfId="3847" applyFont="1" applyFill="1" applyBorder="1" applyAlignment="1">
      <alignment horizontal="center" vertical="center"/>
    </xf>
    <xf numFmtId="0" fontId="252" fillId="64" borderId="81" xfId="3847" applyFont="1" applyFill="1" applyBorder="1" applyAlignment="1">
      <alignment horizontal="center" vertical="center"/>
    </xf>
    <xf numFmtId="0" fontId="202" fillId="0" borderId="0" xfId="3847" applyFont="1" applyAlignment="1">
      <alignment horizontal="left" vertical="center" indent="1"/>
    </xf>
    <xf numFmtId="0" fontId="231" fillId="0" borderId="0" xfId="0" applyFont="1" applyAlignment="1">
      <alignment horizontal="center" vertical="center"/>
    </xf>
    <xf numFmtId="0" fontId="201" fillId="64" borderId="0" xfId="3847" quotePrefix="1" applyFont="1" applyFill="1" applyAlignment="1">
      <alignment horizontal="left"/>
    </xf>
    <xf numFmtId="0" fontId="200" fillId="64" borderId="0" xfId="3847" quotePrefix="1" applyFont="1" applyFill="1" applyAlignment="1">
      <alignment horizontal="left" vertical="top"/>
    </xf>
    <xf numFmtId="0" fontId="205" fillId="0" borderId="0" xfId="3847" applyFont="1" applyAlignment="1">
      <alignment horizontal="left" vertical="center" indent="3"/>
    </xf>
    <xf numFmtId="0" fontId="209" fillId="0" borderId="0" xfId="3847" applyFont="1" applyAlignment="1">
      <alignment horizontal="left" vertical="center"/>
    </xf>
    <xf numFmtId="0" fontId="204" fillId="0" borderId="0" xfId="3847" applyFont="1" applyAlignment="1">
      <alignment horizontal="right"/>
    </xf>
    <xf numFmtId="0" fontId="219" fillId="0" borderId="0" xfId="3847" applyFont="1" applyAlignment="1">
      <alignment horizontal="right" vertical="center"/>
    </xf>
    <xf numFmtId="0" fontId="226" fillId="60" borderId="76" xfId="3847" applyFont="1" applyFill="1" applyBorder="1" applyAlignment="1">
      <alignment horizontal="center" vertical="center"/>
    </xf>
    <xf numFmtId="0" fontId="226" fillId="60" borderId="77" xfId="3847" applyFont="1" applyFill="1" applyBorder="1" applyAlignment="1">
      <alignment horizontal="center" vertical="center"/>
    </xf>
    <xf numFmtId="41" fontId="241" fillId="60" borderId="77" xfId="3" applyFont="1" applyFill="1" applyBorder="1" applyAlignment="1">
      <alignment vertical="center"/>
    </xf>
    <xf numFmtId="41" fontId="241" fillId="60" borderId="75" xfId="3" applyFont="1" applyFill="1" applyBorder="1" applyAlignment="1">
      <alignment vertical="center"/>
    </xf>
    <xf numFmtId="0" fontId="220" fillId="64" borderId="4" xfId="3847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 wrapText="1"/>
    </xf>
    <xf numFmtId="0" fontId="21" fillId="0" borderId="87" xfId="0" applyFont="1" applyBorder="1" applyAlignment="1">
      <alignment horizontal="center" vertical="center" wrapText="1"/>
    </xf>
    <xf numFmtId="0" fontId="21" fillId="0" borderId="88" xfId="0" applyFont="1" applyBorder="1" applyAlignment="1">
      <alignment horizontal="center" vertical="center" wrapText="1"/>
    </xf>
    <xf numFmtId="41" fontId="226" fillId="0" borderId="31" xfId="3" applyFont="1" applyBorder="1" applyAlignment="1">
      <alignment horizontal="center" vertical="center"/>
    </xf>
    <xf numFmtId="41" fontId="226" fillId="0" borderId="2" xfId="3" applyFont="1" applyBorder="1" applyAlignment="1">
      <alignment horizontal="center" vertical="center"/>
    </xf>
    <xf numFmtId="41" fontId="226" fillId="0" borderId="81" xfId="3" applyFont="1" applyBorder="1" applyAlignment="1">
      <alignment horizontal="center" vertical="center"/>
    </xf>
    <xf numFmtId="49" fontId="56" fillId="0" borderId="56" xfId="3" applyNumberFormat="1" applyFont="1" applyBorder="1" applyAlignment="1">
      <alignment horizontal="left" vertical="center" wrapText="1"/>
    </xf>
    <xf numFmtId="0" fontId="56" fillId="0" borderId="56" xfId="3" applyNumberFormat="1" applyFont="1" applyBorder="1" applyAlignment="1">
      <alignment horizontal="left" vertical="center" wrapText="1"/>
    </xf>
    <xf numFmtId="0" fontId="208" fillId="56" borderId="56" xfId="0" applyFont="1" applyFill="1" applyBorder="1" applyAlignment="1">
      <alignment horizontal="center" vertical="center"/>
    </xf>
    <xf numFmtId="41" fontId="203" fillId="60" borderId="79" xfId="3" applyFont="1" applyFill="1" applyBorder="1" applyAlignment="1">
      <alignment horizontal="center" vertical="center"/>
    </xf>
    <xf numFmtId="41" fontId="203" fillId="60" borderId="80" xfId="3" applyFont="1" applyFill="1" applyBorder="1" applyAlignment="1">
      <alignment horizontal="center" vertical="center"/>
    </xf>
    <xf numFmtId="41" fontId="203" fillId="57" borderId="79" xfId="3" applyFont="1" applyFill="1" applyBorder="1" applyAlignment="1">
      <alignment horizontal="center" vertical="center"/>
    </xf>
    <xf numFmtId="41" fontId="203" fillId="57" borderId="80" xfId="3" applyFont="1" applyFill="1" applyBorder="1" applyAlignment="1">
      <alignment horizontal="center" vertical="center"/>
    </xf>
    <xf numFmtId="41" fontId="22" fillId="59" borderId="84" xfId="3" applyFont="1" applyFill="1" applyBorder="1" applyAlignment="1">
      <alignment horizontal="center" vertical="center"/>
    </xf>
    <xf numFmtId="41" fontId="22" fillId="59" borderId="78" xfId="3" applyFont="1" applyFill="1" applyBorder="1" applyAlignment="1">
      <alignment horizontal="center" vertical="center"/>
    </xf>
    <xf numFmtId="0" fontId="57" fillId="59" borderId="85" xfId="0" applyFont="1" applyFill="1" applyBorder="1" applyAlignment="1">
      <alignment horizontal="center" vertical="center" wrapText="1"/>
    </xf>
    <xf numFmtId="0" fontId="57" fillId="59" borderId="2" xfId="0" applyFont="1" applyFill="1" applyBorder="1" applyAlignment="1">
      <alignment horizontal="center" vertical="center" wrapText="1"/>
    </xf>
    <xf numFmtId="0" fontId="57" fillId="59" borderId="74" xfId="0" applyFont="1" applyFill="1" applyBorder="1" applyAlignment="1">
      <alignment horizontal="center" vertical="center" wrapText="1"/>
    </xf>
    <xf numFmtId="0" fontId="203" fillId="57" borderId="31" xfId="0" applyFont="1" applyFill="1" applyBorder="1" applyAlignment="1">
      <alignment horizontal="center" vertical="center"/>
    </xf>
    <xf numFmtId="0" fontId="203" fillId="57" borderId="2" xfId="0" applyFont="1" applyFill="1" applyBorder="1" applyAlignment="1">
      <alignment horizontal="center" vertical="center"/>
    </xf>
    <xf numFmtId="0" fontId="203" fillId="57" borderId="78" xfId="0" applyFont="1" applyFill="1" applyBorder="1" applyAlignment="1">
      <alignment horizontal="center" vertical="center"/>
    </xf>
    <xf numFmtId="0" fontId="203" fillId="60" borderId="31" xfId="0" applyFont="1" applyFill="1" applyBorder="1" applyAlignment="1">
      <alignment horizontal="center" vertical="center"/>
    </xf>
    <xf numFmtId="0" fontId="203" fillId="60" borderId="2" xfId="0" applyFont="1" applyFill="1" applyBorder="1" applyAlignment="1">
      <alignment horizontal="center" vertical="center"/>
    </xf>
    <xf numFmtId="0" fontId="203" fillId="60" borderId="78" xfId="0" applyFont="1" applyFill="1" applyBorder="1" applyAlignment="1">
      <alignment horizontal="center" vertical="center"/>
    </xf>
    <xf numFmtId="0" fontId="234" fillId="0" borderId="0" xfId="0" applyFont="1" applyAlignment="1">
      <alignment horizontal="right" vertical="center"/>
    </xf>
    <xf numFmtId="0" fontId="235" fillId="0" borderId="0" xfId="0" applyFont="1" applyAlignment="1">
      <alignment horizontal="center" vertical="center"/>
    </xf>
    <xf numFmtId="0" fontId="22" fillId="60" borderId="31" xfId="0" applyFont="1" applyFill="1" applyBorder="1" applyAlignment="1">
      <alignment horizontal="center" vertical="center"/>
    </xf>
    <xf numFmtId="0" fontId="22" fillId="60" borderId="74" xfId="0" applyFont="1" applyFill="1" applyBorder="1" applyAlignment="1">
      <alignment horizontal="center" vertical="center"/>
    </xf>
    <xf numFmtId="0" fontId="22" fillId="60" borderId="2" xfId="0" applyFont="1" applyFill="1" applyBorder="1" applyAlignment="1">
      <alignment horizontal="center" vertical="center"/>
    </xf>
    <xf numFmtId="41" fontId="25" fillId="0" borderId="46" xfId="3" applyFont="1" applyBorder="1" applyAlignment="1">
      <alignment horizontal="center" vertical="center"/>
    </xf>
    <xf numFmtId="41" fontId="25" fillId="0" borderId="6" xfId="3" applyFont="1" applyBorder="1" applyAlignment="1">
      <alignment horizontal="center" vertical="center"/>
    </xf>
    <xf numFmtId="41" fontId="25" fillId="0" borderId="46" xfId="0" applyNumberFormat="1" applyFont="1" applyBorder="1" applyAlignment="1">
      <alignment horizontal="center" vertical="center"/>
    </xf>
    <xf numFmtId="41" fontId="25" fillId="0" borderId="6" xfId="0" applyNumberFormat="1" applyFont="1" applyBorder="1" applyAlignment="1">
      <alignment horizontal="center" vertical="center"/>
    </xf>
    <xf numFmtId="41" fontId="25" fillId="0" borderId="82" xfId="0" applyNumberFormat="1" applyFont="1" applyBorder="1" applyAlignment="1">
      <alignment horizontal="center" vertical="center"/>
    </xf>
    <xf numFmtId="0" fontId="205" fillId="61" borderId="31" xfId="0" applyFont="1" applyFill="1" applyBorder="1" applyAlignment="1">
      <alignment horizontal="center" vertical="center"/>
    </xf>
    <xf numFmtId="0" fontId="205" fillId="61" borderId="2" xfId="0" applyFont="1" applyFill="1" applyBorder="1" applyAlignment="1">
      <alignment horizontal="center" vertical="center"/>
    </xf>
    <xf numFmtId="0" fontId="205" fillId="61" borderId="81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69" xfId="0" applyFont="1" applyBorder="1" applyAlignment="1">
      <alignment horizontal="center" vertical="center"/>
    </xf>
    <xf numFmtId="41" fontId="22" fillId="0" borderId="10" xfId="3" applyFont="1" applyBorder="1" applyAlignment="1">
      <alignment horizontal="center" vertical="center"/>
    </xf>
    <xf numFmtId="41" fontId="22" fillId="0" borderId="3" xfId="3" applyFont="1" applyBorder="1" applyAlignment="1">
      <alignment horizontal="center" vertical="center"/>
    </xf>
    <xf numFmtId="41" fontId="22" fillId="0" borderId="69" xfId="3" applyFont="1" applyBorder="1" applyAlignment="1">
      <alignment horizontal="center" vertical="center"/>
    </xf>
    <xf numFmtId="0" fontId="205" fillId="0" borderId="0" xfId="0" applyFont="1" applyAlignment="1">
      <alignment horizontal="center" vertical="center"/>
    </xf>
    <xf numFmtId="0" fontId="218" fillId="0" borderId="6" xfId="0" applyFont="1" applyBorder="1" applyAlignment="1">
      <alignment horizontal="center" vertical="center"/>
    </xf>
    <xf numFmtId="0" fontId="226" fillId="0" borderId="31" xfId="0" applyFont="1" applyBorder="1" applyAlignment="1">
      <alignment horizontal="center" vertical="center"/>
    </xf>
    <xf numFmtId="0" fontId="226" fillId="0" borderId="2" xfId="0" applyFont="1" applyBorder="1" applyAlignment="1">
      <alignment horizontal="center" vertical="center"/>
    </xf>
    <xf numFmtId="0" fontId="226" fillId="0" borderId="81" xfId="0" applyFont="1" applyBorder="1" applyAlignment="1">
      <alignment horizontal="center" vertical="center"/>
    </xf>
    <xf numFmtId="0" fontId="209" fillId="59" borderId="0" xfId="0" applyFont="1" applyFill="1" applyAlignment="1">
      <alignment horizontal="left" vertical="center"/>
    </xf>
    <xf numFmtId="0" fontId="201" fillId="64" borderId="0" xfId="188" quotePrefix="1" applyFont="1" applyFill="1" applyAlignment="1">
      <alignment horizontal="left"/>
    </xf>
    <xf numFmtId="0" fontId="200" fillId="64" borderId="0" xfId="0" quotePrefix="1" applyFont="1" applyFill="1" applyAlignment="1">
      <alignment horizontal="left" vertical="top"/>
    </xf>
    <xf numFmtId="0" fontId="209" fillId="0" borderId="0" xfId="0" applyFont="1" applyAlignment="1">
      <alignment horizontal="left" vertical="center"/>
    </xf>
    <xf numFmtId="49" fontId="56" fillId="0" borderId="4" xfId="3" applyNumberFormat="1" applyFont="1" applyBorder="1" applyAlignment="1">
      <alignment horizontal="left" vertical="center" wrapText="1"/>
    </xf>
    <xf numFmtId="49" fontId="56" fillId="0" borderId="3" xfId="3" applyNumberFormat="1" applyFont="1" applyBorder="1" applyAlignment="1">
      <alignment horizontal="left" vertical="center" wrapText="1"/>
    </xf>
    <xf numFmtId="49" fontId="56" fillId="0" borderId="69" xfId="3" applyNumberFormat="1" applyFont="1" applyBorder="1" applyAlignment="1">
      <alignment horizontal="left" vertical="center" wrapText="1"/>
    </xf>
    <xf numFmtId="0" fontId="208" fillId="64" borderId="67" xfId="0" applyFont="1" applyFill="1" applyBorder="1" applyAlignment="1">
      <alignment horizontal="center" vertical="center"/>
    </xf>
    <xf numFmtId="0" fontId="208" fillId="64" borderId="52" xfId="0" applyFont="1" applyFill="1" applyBorder="1" applyAlignment="1">
      <alignment horizontal="center" vertical="center"/>
    </xf>
    <xf numFmtId="0" fontId="208" fillId="64" borderId="68" xfId="0" applyFont="1" applyFill="1" applyBorder="1" applyAlignment="1">
      <alignment horizontal="center" vertical="center"/>
    </xf>
    <xf numFmtId="49" fontId="56" fillId="0" borderId="46" xfId="3" applyNumberFormat="1" applyFont="1" applyBorder="1" applyAlignment="1">
      <alignment horizontal="left" vertical="center" wrapText="1"/>
    </xf>
    <xf numFmtId="41" fontId="225" fillId="57" borderId="79" xfId="3" applyFont="1" applyFill="1" applyBorder="1" applyAlignment="1">
      <alignment horizontal="center" vertical="center"/>
    </xf>
    <xf numFmtId="41" fontId="225" fillId="57" borderId="80" xfId="3" applyFont="1" applyFill="1" applyBorder="1" applyAlignment="1">
      <alignment horizontal="center" vertical="center"/>
    </xf>
    <xf numFmtId="0" fontId="22" fillId="60" borderId="78" xfId="0" applyFont="1" applyFill="1" applyBorder="1" applyAlignment="1">
      <alignment horizontal="center" vertical="center"/>
    </xf>
    <xf numFmtId="41" fontId="225" fillId="60" borderId="79" xfId="3" applyFont="1" applyFill="1" applyBorder="1" applyAlignment="1">
      <alignment horizontal="center" vertical="center"/>
    </xf>
    <xf numFmtId="41" fontId="225" fillId="60" borderId="80" xfId="3" applyFont="1" applyFill="1" applyBorder="1" applyAlignment="1">
      <alignment horizontal="center" vertical="center"/>
    </xf>
    <xf numFmtId="0" fontId="22" fillId="57" borderId="31" xfId="0" applyFont="1" applyFill="1" applyBorder="1" applyAlignment="1">
      <alignment horizontal="center" vertical="center"/>
    </xf>
    <xf numFmtId="0" fontId="22" fillId="57" borderId="2" xfId="0" applyFont="1" applyFill="1" applyBorder="1" applyAlignment="1">
      <alignment horizontal="center" vertical="center"/>
    </xf>
    <xf numFmtId="0" fontId="22" fillId="57" borderId="78" xfId="0" applyFont="1" applyFill="1" applyBorder="1" applyAlignment="1">
      <alignment horizontal="center" vertical="center"/>
    </xf>
    <xf numFmtId="0" fontId="234" fillId="0" borderId="83" xfId="0" applyFont="1" applyBorder="1" applyAlignment="1">
      <alignment horizontal="center" vertical="center"/>
    </xf>
    <xf numFmtId="0" fontId="200" fillId="64" borderId="0" xfId="188" quotePrefix="1" applyFont="1" applyFill="1" applyAlignment="1">
      <alignment horizontal="left" vertical="top"/>
    </xf>
    <xf numFmtId="0" fontId="204" fillId="0" borderId="0" xfId="188" applyFont="1" applyAlignment="1">
      <alignment horizontal="right"/>
    </xf>
    <xf numFmtId="0" fontId="22" fillId="0" borderId="0" xfId="188" applyFont="1" applyAlignment="1">
      <alignment horizontal="left" vertical="center"/>
    </xf>
    <xf numFmtId="0" fontId="22" fillId="57" borderId="10" xfId="3847" applyFont="1" applyFill="1" applyBorder="1" applyAlignment="1">
      <alignment horizontal="center" vertical="center"/>
    </xf>
    <xf numFmtId="0" fontId="22" fillId="57" borderId="3" xfId="3847" applyFont="1" applyFill="1" applyBorder="1" applyAlignment="1">
      <alignment horizontal="center" vertical="center"/>
    </xf>
    <xf numFmtId="0" fontId="22" fillId="57" borderId="69" xfId="3847" applyFont="1" applyFill="1" applyBorder="1" applyAlignment="1">
      <alignment horizontal="center" vertical="center"/>
    </xf>
    <xf numFmtId="0" fontId="208" fillId="64" borderId="4" xfId="3847" applyFont="1" applyFill="1" applyBorder="1" applyAlignment="1">
      <alignment horizontal="center" vertical="center" wrapText="1"/>
    </xf>
    <xf numFmtId="0" fontId="201" fillId="56" borderId="65" xfId="3847" applyFont="1" applyFill="1" applyBorder="1" applyAlignment="1">
      <alignment horizontal="center" vertical="center" wrapText="1"/>
    </xf>
    <xf numFmtId="0" fontId="201" fillId="56" borderId="64" xfId="3847" applyFont="1" applyFill="1" applyBorder="1" applyAlignment="1">
      <alignment horizontal="center" vertical="center" wrapText="1"/>
    </xf>
    <xf numFmtId="0" fontId="57" fillId="57" borderId="46" xfId="3847" applyFont="1" applyFill="1" applyBorder="1" applyAlignment="1">
      <alignment horizontal="center" vertical="center"/>
    </xf>
    <xf numFmtId="0" fontId="57" fillId="57" borderId="6" xfId="3847" applyFont="1" applyFill="1" applyBorder="1" applyAlignment="1">
      <alignment horizontal="center" vertical="center"/>
    </xf>
    <xf numFmtId="0" fontId="202" fillId="0" borderId="0" xfId="188" applyFont="1" applyAlignment="1">
      <alignment horizontal="left" vertical="center" indent="1"/>
    </xf>
    <xf numFmtId="0" fontId="57" fillId="66" borderId="39" xfId="188" applyFont="1" applyFill="1" applyBorder="1" applyAlignment="1">
      <alignment horizontal="center" vertical="center" wrapText="1"/>
    </xf>
    <xf numFmtId="0" fontId="57" fillId="66" borderId="92" xfId="188" applyFont="1" applyFill="1" applyBorder="1" applyAlignment="1">
      <alignment horizontal="center" vertical="center" wrapText="1"/>
    </xf>
    <xf numFmtId="0" fontId="208" fillId="65" borderId="91" xfId="188" applyFont="1" applyFill="1" applyBorder="1" applyAlignment="1">
      <alignment horizontal="center" vertical="center"/>
    </xf>
    <xf numFmtId="0" fontId="208" fillId="65" borderId="38" xfId="188" applyFont="1" applyFill="1" applyBorder="1" applyAlignment="1">
      <alignment horizontal="center" vertical="center"/>
    </xf>
    <xf numFmtId="0" fontId="208" fillId="65" borderId="89" xfId="188" applyFont="1" applyFill="1" applyBorder="1" applyAlignment="1">
      <alignment horizontal="center" vertical="center"/>
    </xf>
    <xf numFmtId="0" fontId="208" fillId="65" borderId="39" xfId="188" applyFont="1" applyFill="1" applyBorder="1" applyAlignment="1">
      <alignment horizontal="center" vertical="center"/>
    </xf>
    <xf numFmtId="0" fontId="208" fillId="65" borderId="90" xfId="188" applyFont="1" applyFill="1" applyBorder="1" applyAlignment="1">
      <alignment horizontal="center" vertical="center"/>
    </xf>
    <xf numFmtId="0" fontId="208" fillId="65" borderId="4" xfId="188" applyFont="1" applyFill="1" applyBorder="1" applyAlignment="1">
      <alignment horizontal="center" vertical="center"/>
    </xf>
    <xf numFmtId="0" fontId="208" fillId="65" borderId="90" xfId="188" applyFont="1" applyFill="1" applyBorder="1" applyAlignment="1">
      <alignment horizontal="center" vertical="center" wrapText="1"/>
    </xf>
    <xf numFmtId="0" fontId="208" fillId="65" borderId="4" xfId="188" applyFont="1" applyFill="1" applyBorder="1" applyAlignment="1">
      <alignment vertical="center"/>
    </xf>
    <xf numFmtId="0" fontId="201" fillId="65" borderId="0" xfId="188" quotePrefix="1" applyFont="1" applyFill="1" applyAlignment="1">
      <alignment horizontal="left"/>
    </xf>
    <xf numFmtId="0" fontId="200" fillId="65" borderId="0" xfId="188" quotePrefix="1" applyFont="1" applyFill="1" applyAlignment="1">
      <alignment horizontal="left" vertical="top"/>
    </xf>
    <xf numFmtId="41" fontId="249" fillId="0" borderId="11" xfId="4897" applyFont="1" applyBorder="1" applyAlignment="1">
      <alignment horizontal="center" vertical="center"/>
    </xf>
    <xf numFmtId="0" fontId="245" fillId="62" borderId="18" xfId="4898" applyFont="1" applyFill="1" applyBorder="1" applyAlignment="1">
      <alignment horizontal="center" vertical="center"/>
    </xf>
    <xf numFmtId="0" fontId="177" fillId="62" borderId="72" xfId="4898" applyFont="1" applyFill="1" applyBorder="1">
      <alignment vertical="center"/>
    </xf>
    <xf numFmtId="0" fontId="177" fillId="62" borderId="13" xfId="4898" applyFont="1" applyFill="1" applyBorder="1">
      <alignment vertical="center"/>
    </xf>
    <xf numFmtId="0" fontId="177" fillId="62" borderId="32" xfId="4898" applyFont="1" applyFill="1" applyBorder="1">
      <alignment vertical="center"/>
    </xf>
    <xf numFmtId="0" fontId="177" fillId="62" borderId="73" xfId="4898" applyFont="1" applyFill="1" applyBorder="1">
      <alignment vertical="center"/>
    </xf>
    <xf numFmtId="0" fontId="177" fillId="62" borderId="9" xfId="4898" applyFont="1" applyFill="1" applyBorder="1">
      <alignment vertical="center"/>
    </xf>
    <xf numFmtId="0" fontId="177" fillId="0" borderId="4" xfId="4898" applyFont="1" applyBorder="1" applyAlignment="1">
      <alignment horizontal="center" vertical="center"/>
    </xf>
    <xf numFmtId="0" fontId="177" fillId="0" borderId="10" xfId="4898" applyFont="1" applyBorder="1" applyAlignment="1">
      <alignment horizontal="center" vertical="center"/>
    </xf>
    <xf numFmtId="0" fontId="177" fillId="0" borderId="69" xfId="4898" applyFont="1" applyBorder="1" applyAlignment="1">
      <alignment horizontal="center" vertical="center"/>
    </xf>
    <xf numFmtId="0" fontId="177" fillId="0" borderId="3" xfId="4898" applyFont="1" applyBorder="1" applyAlignment="1">
      <alignment horizontal="center" vertical="center"/>
    </xf>
    <xf numFmtId="0" fontId="177" fillId="0" borderId="3" xfId="4897" applyNumberFormat="1" applyFont="1" applyBorder="1" applyAlignment="1">
      <alignment vertical="center"/>
    </xf>
    <xf numFmtId="0" fontId="177" fillId="0" borderId="69" xfId="4897" applyNumberFormat="1" applyFont="1" applyBorder="1" applyAlignment="1">
      <alignment vertical="center"/>
    </xf>
    <xf numFmtId="41" fontId="177" fillId="0" borderId="10" xfId="4897" applyFont="1" applyBorder="1" applyAlignment="1">
      <alignment horizontal="center" vertical="center"/>
    </xf>
    <xf numFmtId="41" fontId="177" fillId="0" borderId="69" xfId="4897" applyFont="1" applyBorder="1" applyAlignment="1">
      <alignment horizontal="center" vertical="center"/>
    </xf>
    <xf numFmtId="37" fontId="177" fillId="0" borderId="10" xfId="4898" applyNumberFormat="1" applyFont="1" applyBorder="1" applyAlignment="1">
      <alignment horizontal="center" vertical="center"/>
    </xf>
    <xf numFmtId="37" fontId="177" fillId="0" borderId="69" xfId="4898" applyNumberFormat="1" applyFont="1" applyBorder="1" applyAlignment="1">
      <alignment horizontal="center" vertical="center"/>
    </xf>
    <xf numFmtId="41" fontId="248" fillId="62" borderId="10" xfId="4897" applyFont="1" applyFill="1" applyBorder="1" applyAlignment="1">
      <alignment horizontal="center" vertical="center"/>
    </xf>
    <xf numFmtId="41" fontId="248" fillId="62" borderId="3" xfId="4897" applyFont="1" applyFill="1" applyBorder="1" applyAlignment="1">
      <alignment horizontal="center" vertical="center"/>
    </xf>
    <xf numFmtId="41" fontId="248" fillId="62" borderId="69" xfId="4897" applyFont="1" applyFill="1" applyBorder="1" applyAlignment="1">
      <alignment horizontal="center" vertical="center"/>
    </xf>
    <xf numFmtId="37" fontId="248" fillId="0" borderId="10" xfId="4898" applyNumberFormat="1" applyFont="1" applyBorder="1" applyAlignment="1">
      <alignment horizontal="center" vertical="center"/>
    </xf>
    <xf numFmtId="0" fontId="246" fillId="0" borderId="69" xfId="4898" applyFont="1" applyBorder="1" applyAlignment="1">
      <alignment horizontal="center" vertical="center"/>
    </xf>
    <xf numFmtId="41" fontId="242" fillId="0" borderId="0" xfId="4897" applyFont="1" applyBorder="1" applyAlignment="1">
      <alignment horizontal="center" vertical="center"/>
    </xf>
    <xf numFmtId="41" fontId="163" fillId="0" borderId="0" xfId="4897" applyFont="1" applyAlignment="1">
      <alignment horizontal="center" vertical="center"/>
    </xf>
    <xf numFmtId="0" fontId="245" fillId="0" borderId="0" xfId="4898" applyFont="1" applyAlignment="1">
      <alignment horizontal="left"/>
    </xf>
    <xf numFmtId="0" fontId="246" fillId="62" borderId="4" xfId="4898" applyFont="1" applyFill="1" applyBorder="1" applyAlignment="1">
      <alignment horizontal="center" vertical="center"/>
    </xf>
    <xf numFmtId="0" fontId="246" fillId="0" borderId="4" xfId="4898" applyFont="1" applyBorder="1" applyAlignment="1">
      <alignment horizontal="center" vertical="center" shrinkToFit="1"/>
    </xf>
    <xf numFmtId="41" fontId="248" fillId="62" borderId="8" xfId="4897" applyFont="1" applyFill="1" applyBorder="1" applyAlignment="1">
      <alignment horizontal="center" vertical="center"/>
    </xf>
    <xf numFmtId="41" fontId="248" fillId="62" borderId="9" xfId="4897" applyFont="1" applyFill="1" applyBorder="1" applyAlignment="1">
      <alignment horizontal="center" vertical="center"/>
    </xf>
  </cellXfs>
  <cellStyles count="4903">
    <cellStyle name="          _x000d__x000a_386grabber=vga.3gr_x000d__x000a_" xfId="189" xr:uid="{00000000-0005-0000-0000-000000000000}"/>
    <cellStyle name="          _x000d__x000a_mouse.drv=lmouse.drv" xfId="190" xr:uid="{00000000-0005-0000-0000-000001000000}"/>
    <cellStyle name=" 1" xfId="191" xr:uid="{00000000-0005-0000-0000-000002000000}"/>
    <cellStyle name="_x000a_386grabber=M" xfId="192" xr:uid="{00000000-0005-0000-0000-000003000000}"/>
    <cellStyle name="_x0007__x000b_" xfId="193" xr:uid="{00000000-0005-0000-0000-000004000000}"/>
    <cellStyle name="_x000d__x000a_JournalTemplate=C:\COMFO\CTALK\JOURSTD.TPL_x000d__x000a_LbStateAddress=3 3 0 251 1 89 2 311_x000d__x000a_LbStateJou" xfId="194" xr:uid="{00000000-0005-0000-0000-000005000000}"/>
    <cellStyle name="&quot;" xfId="195" xr:uid="{00000000-0005-0000-0000-000006000000}"/>
    <cellStyle name="#" xfId="196" xr:uid="{00000000-0005-0000-0000-000007000000}"/>
    <cellStyle name="#,##0" xfId="121" xr:uid="{00000000-0005-0000-0000-000008000000}"/>
    <cellStyle name="#,##0.0" xfId="197" xr:uid="{00000000-0005-0000-0000-000009000000}"/>
    <cellStyle name="#,##0.00" xfId="198" xr:uid="{00000000-0005-0000-0000-00000A000000}"/>
    <cellStyle name="#,##0.000" xfId="199" xr:uid="{00000000-0005-0000-0000-00000B000000}"/>
    <cellStyle name="#_2003년TD교정공사" xfId="200" xr:uid="{00000000-0005-0000-0000-00000C000000}"/>
    <cellStyle name="#_2003년TD교정공사설계서" xfId="201" xr:uid="{00000000-0005-0000-0000-00000D000000}"/>
    <cellStyle name="#_2003년TD교정최종" xfId="202" xr:uid="{00000000-0005-0000-0000-00000E000000}"/>
    <cellStyle name="#_공사설계서 최종확정_수원" xfId="203" xr:uid="{00000000-0005-0000-0000-00000F000000}"/>
    <cellStyle name="#_교정기준변경" xfId="204" xr:uid="{00000000-0005-0000-0000-000010000000}"/>
    <cellStyle name="#_목차 " xfId="205" xr:uid="{00000000-0005-0000-0000-000011000000}"/>
    <cellStyle name="#_변전소자료" xfId="206" xr:uid="{00000000-0005-0000-0000-000012000000}"/>
    <cellStyle name="#_변전소자료_SCADA 보안 보강 견적서" xfId="207" xr:uid="{00000000-0005-0000-0000-000013000000}"/>
    <cellStyle name="#_변전소자료_SCADA 보안설비 견적 비교 (KDN과 퓨처)" xfId="208" xr:uid="{00000000-0005-0000-0000-000014000000}"/>
    <cellStyle name="#_변전소자료_SCADA 보안설비 견적비교 및 견적서" xfId="209" xr:uid="{00000000-0005-0000-0000-000015000000}"/>
    <cellStyle name="#_변전소자료_SCADA 보안설비 견적서_Future" xfId="210" xr:uid="{00000000-0005-0000-0000-000016000000}"/>
    <cellStyle name="#_변전소자료_견적_SCADA 시스템 정보보호설비 1식_KDN" xfId="211" xr:uid="{00000000-0005-0000-0000-000017000000}"/>
    <cellStyle name="#_변전소자료_견적_SCADA 시스템 정보보호설비 1식_브레인즈스퀘어" xfId="212" xr:uid="{00000000-0005-0000-0000-000018000000}"/>
    <cellStyle name="#_변전소자료_발주설계서" xfId="213" xr:uid="{00000000-0005-0000-0000-000019000000}"/>
    <cellStyle name="#_변전소자료_붙임_종합" xfId="214" xr:uid="{00000000-0005-0000-0000-00001A000000}"/>
    <cellStyle name="#_변전소자료_붙임_종합_원본" xfId="215" xr:uid="{00000000-0005-0000-0000-00001B000000}"/>
    <cellStyle name="#_변전소자료_붙임4 견적 비교" xfId="216" xr:uid="{00000000-0005-0000-0000-00001C000000}"/>
    <cellStyle name="#_변전소자료_사본 - 사본 - SCADA 보안설비 견적서_KDN" xfId="217" xr:uid="{00000000-0005-0000-0000-00001D000000}"/>
    <cellStyle name="#_변전소자료_설계서" xfId="218" xr:uid="{00000000-0005-0000-0000-00001E000000}"/>
    <cellStyle name="#_변전소자료_설계서(부산, 창원 조1023)" xfId="219" xr:uid="{00000000-0005-0000-0000-00001F000000}"/>
    <cellStyle name="#_변전소자료_설계서부산창원 조1023" xfId="220" xr:uid="{00000000-0005-0000-0000-000020000000}"/>
    <cellStyle name="#_변전소자료_원가조사" xfId="221" xr:uid="{00000000-0005-0000-0000-000021000000}"/>
    <cellStyle name="#_변전소자료_참조용 자료_미완성" xfId="222" xr:uid="{00000000-0005-0000-0000-000022000000}"/>
    <cellStyle name="#_변전소자료_한전 원가조사_050000" xfId="223" xr:uid="{00000000-0005-0000-0000-000023000000}"/>
    <cellStyle name="#_변전소자료_한전 통신부문 노무임 산출" xfId="224" xr:uid="{00000000-0005-0000-0000-000024000000}"/>
    <cellStyle name="#_설계지침변경1" xfId="225" xr:uid="{00000000-0005-0000-0000-000025000000}"/>
    <cellStyle name="#_시스템 운용 수량" xfId="226" xr:uid="{00000000-0005-0000-0000-000026000000}"/>
    <cellStyle name="#_장비유지보수대상LIST_080225 (2)" xfId="227" xr:uid="{00000000-0005-0000-0000-000027000000}"/>
    <cellStyle name="#_품셈 " xfId="228" xr:uid="{00000000-0005-0000-0000-000028000000}"/>
    <cellStyle name="$" xfId="22" xr:uid="{00000000-0005-0000-0000-000029000000}"/>
    <cellStyle name="$_0009김포공항LED교체공사(광일)" xfId="229" xr:uid="{00000000-0005-0000-0000-00002A000000}"/>
    <cellStyle name="$_0011KIST소각설비제작설치" xfId="230" xr:uid="{00000000-0005-0000-0000-00002B000000}"/>
    <cellStyle name="$_0011긴급전화기정산(99년형광일)" xfId="231" xr:uid="{00000000-0005-0000-0000-00002C000000}"/>
    <cellStyle name="$_0011부산종합경기장전광판" xfId="232" xr:uid="{00000000-0005-0000-0000-00002D000000}"/>
    <cellStyle name="$_0012문화유적지표석제작설치" xfId="233" xr:uid="{00000000-0005-0000-0000-00002E000000}"/>
    <cellStyle name="$_0102국제조명신공항분수조명" xfId="234" xr:uid="{00000000-0005-0000-0000-00002F000000}"/>
    <cellStyle name="$_0105담배자판기개조원가" xfId="235" xr:uid="{00000000-0005-0000-0000-000030000000}"/>
    <cellStyle name="$_0106LG인버터냉난방기제작-1" xfId="236" xr:uid="{00000000-0005-0000-0000-000031000000}"/>
    <cellStyle name="$_0107광전송장비구매설치" xfId="237" xr:uid="{00000000-0005-0000-0000-000032000000}"/>
    <cellStyle name="$_0107도공IBS설비SW부문(참조)" xfId="238" xr:uid="{00000000-0005-0000-0000-000033000000}"/>
    <cellStyle name="$_0107문화재복원용목재-8월6일" xfId="239" xr:uid="{00000000-0005-0000-0000-000034000000}"/>
    <cellStyle name="$_0107포천영중수배전반(제조,설치)" xfId="240" xr:uid="{00000000-0005-0000-0000-000035000000}"/>
    <cellStyle name="$_0108한국전기교통-LED교통신호등((원본))" xfId="241" xr:uid="{00000000-0005-0000-0000-000036000000}"/>
    <cellStyle name="$_0111해양수산부등명기제작" xfId="242" xr:uid="{00000000-0005-0000-0000-000037000000}"/>
    <cellStyle name="$_0112금감원사무자동화시스템" xfId="243" xr:uid="{00000000-0005-0000-0000-000038000000}"/>
    <cellStyle name="$_0112수도권매립지SW원가" xfId="244" xr:uid="{00000000-0005-0000-0000-000039000000}"/>
    <cellStyle name="$_0201종합예술회관의자제작설치" xfId="245" xr:uid="{00000000-0005-0000-0000-00003A000000}"/>
    <cellStyle name="$_0202마사회근무복" xfId="246" xr:uid="{00000000-0005-0000-0000-00003B000000}"/>
    <cellStyle name="$_0202부경교재-승강칠판" xfId="247" xr:uid="{00000000-0005-0000-0000-00003C000000}"/>
    <cellStyle name="$_0204한국석묘납골함-1규격" xfId="248" xr:uid="{00000000-0005-0000-0000-00003D000000}"/>
    <cellStyle name="$_2002결과표" xfId="249" xr:uid="{00000000-0005-0000-0000-00003E000000}"/>
    <cellStyle name="$_db진흥" xfId="23" xr:uid="{00000000-0005-0000-0000-00003F000000}"/>
    <cellStyle name="$_db진흥_일동후디스_견적서(20060930)계약용" xfId="250" xr:uid="{00000000-0005-0000-0000-000040000000}"/>
    <cellStyle name="$_db진흥_조선무약_견적서(20070702)" xfId="251" xr:uid="{00000000-0005-0000-0000-000041000000}"/>
    <cellStyle name="$_db진흥_진영산업_견적서_ver1" xfId="252" xr:uid="{00000000-0005-0000-0000-000042000000}"/>
    <cellStyle name="$_SE40" xfId="253" xr:uid="{00000000-0005-0000-0000-000043000000}"/>
    <cellStyle name="$_견적2" xfId="24" xr:uid="{00000000-0005-0000-0000-000044000000}"/>
    <cellStyle name="$_견적2_일동후디스_견적서(20060930)계약용" xfId="254" xr:uid="{00000000-0005-0000-0000-000045000000}"/>
    <cellStyle name="$_견적2_조선무약_견적서(20070702)" xfId="255" xr:uid="{00000000-0005-0000-0000-000046000000}"/>
    <cellStyle name="$_견적2_진영산업_견적서_ver1" xfId="256" xr:uid="{00000000-0005-0000-0000-000047000000}"/>
    <cellStyle name="$_기아" xfId="25" xr:uid="{00000000-0005-0000-0000-000048000000}"/>
    <cellStyle name="$_기아_일동후디스_견적서(20060930)계약용" xfId="257" xr:uid="{00000000-0005-0000-0000-000049000000}"/>
    <cellStyle name="$_기아_조선무약_견적서(20070702)" xfId="258" xr:uid="{00000000-0005-0000-0000-00004A000000}"/>
    <cellStyle name="$_기아_진영산업_견적서_ver1" xfId="259" xr:uid="{00000000-0005-0000-0000-00004B000000}"/>
    <cellStyle name="$_동산용사촌수현(원본)" xfId="260" xr:uid="{00000000-0005-0000-0000-00004C000000}"/>
    <cellStyle name="$_수초제거기(대양기계)" xfId="261" xr:uid="{00000000-0005-0000-0000-00004D000000}"/>
    <cellStyle name="$_원본 - 한국전기교통-개선형신호등 4종" xfId="262" xr:uid="{00000000-0005-0000-0000-00004E000000}"/>
    <cellStyle name="$_일동후디스_견적서(20060930)계약용" xfId="263" xr:uid="{00000000-0005-0000-0000-00004F000000}"/>
    <cellStyle name="$_장비유지보수대상LIST_080225 (2)" xfId="264" xr:uid="{00000000-0005-0000-0000-000050000000}"/>
    <cellStyle name="$_조선무약_견적서(20070702)" xfId="265" xr:uid="{00000000-0005-0000-0000-000051000000}"/>
    <cellStyle name="$_중앙선관위(투표,개표)" xfId="266" xr:uid="{00000000-0005-0000-0000-000052000000}"/>
    <cellStyle name="$_진영산업_견적서_ver1" xfId="267" xr:uid="{00000000-0005-0000-0000-000053000000}"/>
    <cellStyle name="$_최종-한국전기교통-개선형신호등 4종(공수조정)" xfId="268" xr:uid="{00000000-0005-0000-0000-000054000000}"/>
    <cellStyle name="$1000s (0)" xfId="269" xr:uid="{00000000-0005-0000-0000-000055000000}"/>
    <cellStyle name="%" xfId="270" xr:uid="{00000000-0005-0000-0000-000056000000}"/>
    <cellStyle name="(표준)" xfId="271" xr:uid="{00000000-0005-0000-0000-000057000000}"/>
    <cellStyle name="??_x000c_@?_x000d_3?_x0001__x000b_" xfId="272" xr:uid="{00000000-0005-0000-0000-000058000000}"/>
    <cellStyle name="??&amp;O?&amp;H?_x0008__x000f__x0007_?_x0007__x0001__x0001_" xfId="26" xr:uid="{00000000-0005-0000-0000-000059000000}"/>
    <cellStyle name="??&amp;O?&amp;H?_x0008_??_x0007__x0001__x0001_" xfId="27" xr:uid="{00000000-0005-0000-0000-00005A000000}"/>
    <cellStyle name="??&amp;O?&amp;H?_x0008_??_x0007__x0001__x0001_?_x0002__x0001_(_x0002_&gt;_x000f_???v!????_x0007_??????????????????????????           ?????           ?????????_x000d_?????????????????????????????????????????????????????????????????????????????????????????????????????????????????????" xfId="273" xr:uid="{00000000-0005-0000-0000-00005B000000}"/>
    <cellStyle name="??&amp;O?&amp;H?_x0008__x000f__x0007_?_x0007__x0001__x0001_?_x0002__x0001_(_x0002_c ????????_x0007_??????????????????????????           ?????           ?????????_x000d_C:\WINDOWS\COUNTRY.SYS_x000d_??????????????????????????????????????????????????????????????????????????????????????????????" xfId="274" xr:uid="{00000000-0005-0000-0000-00005C000000}"/>
    <cellStyle name="??&amp;O?&amp;H?_x0008__x000f__x0007_?_x0007__x0001__x0001_?_x0002__x0001_(_x0002_c_x0009_????????_x0007_??????????????????????????           ?????           ?????????_x000d_C:\WINDOWS\COUNTRY.SYS_x000d_??????????????????????????????????????????????????????????????????????????????????????????????" xfId="275" xr:uid="{00000000-0005-0000-0000-00005D000000}"/>
    <cellStyle name="??&amp;쏗?뷐9_x0008__x0011__x0007_?_x0007__x0001__x0001_" xfId="276" xr:uid="{00000000-0005-0000-0000-00005E000000}"/>
    <cellStyle name="??&amp;蟻?縊9_x0008_f_x000a_:_x000b__x0007__x0001__x0001_" xfId="277" xr:uid="{00000000-0005-0000-0000-00005F000000}"/>
    <cellStyle name="???­ [0]_INQUIRY ¿?¾÷?ß?ø " xfId="278" xr:uid="{00000000-0005-0000-0000-000060000000}"/>
    <cellStyle name="???­_INQUIRY ¿?¾÷?ß?ø " xfId="279" xr:uid="{00000000-0005-0000-0000-000061000000}"/>
    <cellStyle name="???Ø_??°???(2¿?) " xfId="280" xr:uid="{00000000-0005-0000-0000-000062000000}"/>
    <cellStyle name="?Þ¸¶ [0]_INQUIRY ¿?¾÷?ß?ø " xfId="281" xr:uid="{00000000-0005-0000-0000-000063000000}"/>
    <cellStyle name="?Þ¸¶_INQUIRY ¿?¾÷?ß?ø " xfId="282" xr:uid="{00000000-0005-0000-0000-000064000000}"/>
    <cellStyle name="?W?_laroux" xfId="283" xr:uid="{00000000-0005-0000-0000-000065000000}"/>
    <cellStyle name="_(040727)부산진구청_rx7620,rp7420,MSL6030_1(원가)" xfId="284" xr:uid="{00000000-0005-0000-0000-000066000000}"/>
    <cellStyle name="_(040811)부산진구청_PC Console_1(원가)" xfId="285" xr:uid="{00000000-0005-0000-0000-000067000000}"/>
    <cellStyle name="_(040823)부산진구청_통합콘솔장비_1(원가) (1)" xfId="286" xr:uid="{00000000-0005-0000-0000-000068000000}"/>
    <cellStyle name="_(050901)구리시청_rp7420_1외(원가)" xfId="287" xr:uid="{00000000-0005-0000-0000-000069000000}"/>
    <cellStyle name="_(051005)송파구청_rp7420,CX700_1(원가)" xfId="288" xr:uid="{00000000-0005-0000-0000-00006A000000}"/>
    <cellStyle name="_(20080304) 교원나라상호저축은행_DR견적서_v1" xfId="289" xr:uid="{00000000-0005-0000-0000-00006B000000}"/>
    <cellStyle name="__e272ds4e5r08rrgohnmt13her5k8shcghnfph3hvm50s3gc0hnimh3efm54mj0dph6kmj2_" xfId="4222" xr:uid="{00000000-0005-0000-0000-00006C000000}"/>
    <cellStyle name="_~1452456" xfId="290" xr:uid="{00000000-0005-0000-0000-00006D000000}"/>
    <cellStyle name="_~2057228" xfId="291" xr:uid="{00000000-0005-0000-0000-00006E000000}"/>
    <cellStyle name="_~4088333" xfId="292" xr:uid="{00000000-0005-0000-0000-00006F000000}"/>
    <cellStyle name="_~4383317" xfId="293" xr:uid="{00000000-0005-0000-0000-000070000000}"/>
    <cellStyle name="_00.연도별_장비예산요구견적종합_제출용_v1.1" xfId="294" xr:uid="{00000000-0005-0000-0000-000071000000}"/>
    <cellStyle name="_004(거창군청)-1" xfId="295" xr:uid="{00000000-0005-0000-0000-000072000000}"/>
    <cellStyle name="_009(자료관시스템 견적서)" xfId="296" xr:uid="{00000000-0005-0000-0000-000073000000}"/>
    <cellStyle name="_010705(ES40, MA8000, DS20 Add_On)김상준" xfId="297" xr:uid="{00000000-0005-0000-0000-000074000000}"/>
    <cellStyle name="_011305(ES40, MA8000, DS20, BW-UNIX 혼용)" xfId="298" xr:uid="{00000000-0005-0000-0000-000075000000}"/>
    <cellStyle name="_011706(베이스라인 이권우 DL580G2, DL380G2, DL760, MSA1000, MSL5030, TINA 해운조합 한장희)K-1(0123)" xfId="299" xr:uid="{00000000-0005-0000-0000-000076000000}"/>
    <cellStyle name="_015.도로 및 지하시설물도 유지보수 용역" xfId="300" xr:uid="{00000000-0005-0000-0000-000077000000}"/>
    <cellStyle name="_016(함양군청)" xfId="301" xr:uid="{00000000-0005-0000-0000-000078000000}"/>
    <cellStyle name="_01월 27일 주간보고(창원지사)" xfId="302" xr:uid="{00000000-0005-0000-0000-000079000000}"/>
    <cellStyle name="_02 0821 정보경(흥아타이어 ML570R원가)" xfId="303" xr:uid="{00000000-0005-0000-0000-00007A000000}"/>
    <cellStyle name="_02 1018_제주도청(rp7400,VA7100,LTO)원가" xfId="304" xr:uid="{00000000-0005-0000-0000-00007B000000}"/>
    <cellStyle name="_02 1119_제주도청(rp7400,VA7100,DB)원가" xfId="305" xr:uid="{00000000-0005-0000-0000-00007C000000}"/>
    <cellStyle name="_02_1104_넥슨_W2K 10user_정보경C (1)" xfId="306" xr:uid="{00000000-0005-0000-0000-00007D000000}"/>
    <cellStyle name="_020304(대우정보 배원락 DL760 DL580 ML370 ML570 대우자동차 부평 군산 창원)K" xfId="307" xr:uid="{00000000-0005-0000-0000-00007E000000}"/>
    <cellStyle name="_020822 정보경(흥아타이어 ML570T)" xfId="308" xr:uid="{00000000-0005-0000-0000-00007F000000}"/>
    <cellStyle name="_020923 휴먼정보기술_서순옥대리_D500(470032-705)" xfId="309" xr:uid="{00000000-0005-0000-0000-000080000000}"/>
    <cellStyle name="_021024(넥센 NT견적원가)" xfId="310" xr:uid="{00000000-0005-0000-0000-000081000000}"/>
    <cellStyle name="_021107 넥센(rp5470,750,NT DS2300견적원가)" xfId="311" xr:uid="{00000000-0005-0000-0000-000082000000}"/>
    <cellStyle name="_0223_해운대구청(LH6000)" xfId="312" xr:uid="{00000000-0005-0000-0000-000083000000}"/>
    <cellStyle name="_028sb_인성정보(삼성서버유지보수)" xfId="313" xr:uid="{00000000-0005-0000-0000-000084000000}"/>
    <cellStyle name="_02년1차(수정)" xfId="314" xr:uid="{00000000-0005-0000-0000-000085000000}"/>
    <cellStyle name="_02년순기보고" xfId="315" xr:uid="{00000000-0005-0000-0000-000086000000}"/>
    <cellStyle name="_03.도입장비내역정리(센터_통합관제시스템견적내역추가)" xfId="316" xr:uid="{00000000-0005-0000-0000-000087000000}"/>
    <cellStyle name="_03.목차" xfId="317" xr:uid="{00000000-0005-0000-0000-000088000000}"/>
    <cellStyle name="_030108울산동구청rp7410_CX400본사원가" xfId="318" xr:uid="{00000000-0005-0000-0000-000089000000}"/>
    <cellStyle name="_030121울산동구청본사원가(1)" xfId="319" xr:uid="{00000000-0005-0000-0000-00008A000000}"/>
    <cellStyle name="_030716_울산시청rp2405_2_DAT원가 (1)" xfId="320" xr:uid="{00000000-0005-0000-0000-00008B000000}"/>
    <cellStyle name="_030820_정원엔시스템(양산)-(NMS)" xfId="321" xr:uid="{00000000-0005-0000-0000-00008C000000}"/>
    <cellStyle name="_031027_양산시청(disk축소,jukebox 외자료관)재견적원가(1)" xfId="322" xr:uid="{00000000-0005-0000-0000-00008D000000}"/>
    <cellStyle name="_0313_두산중공업(ML570G2)(1)" xfId="323" xr:uid="{00000000-0005-0000-0000-00008E000000}"/>
    <cellStyle name="_04.웹 기반 기상분석시스템 개발" xfId="324" xr:uid="{00000000-0005-0000-0000-00008F000000}"/>
    <cellStyle name="_0401_사천시청(VA7110)(1)" xfId="325" xr:uid="{00000000-0005-0000-0000-000090000000}"/>
    <cellStyle name="_040212_분당병원_DL580G2_원가" xfId="326" xr:uid="{00000000-0005-0000-0000-000091000000}"/>
    <cellStyle name="_0404_price" xfId="327" xr:uid="{00000000-0005-0000-0000-000092000000}"/>
    <cellStyle name="_040420_부산시청(인터넷토지_rx4640)원가분석" xfId="328" xr:uid="{00000000-0005-0000-0000-000093000000}"/>
    <cellStyle name="_040423_후지필름_ML570G2_제안" xfId="329" xr:uid="{00000000-0005-0000-0000-000094000000}"/>
    <cellStyle name="_0406_도시개발공사(ML370G3-3대" xfId="330" xr:uid="{00000000-0005-0000-0000-000095000000}"/>
    <cellStyle name="_040602_대홍기획 발송_DL380G3_DL560_제안" xfId="331" xr:uid="{00000000-0005-0000-0000-000096000000}"/>
    <cellStyle name="_040603_롯데정보통신_DL380G3_DL580G2_제안2(1)" xfId="332" xr:uid="{00000000-0005-0000-0000-000097000000}"/>
    <cellStyle name="_040915_AX100 원가분석" xfId="333" xr:uid="{00000000-0005-0000-0000-000098000000}"/>
    <cellStyle name="_041220_자료관시스템(수영구청)본사발송" xfId="334" xr:uid="{00000000-0005-0000-0000-000099000000}"/>
    <cellStyle name="_0430_마산시청_플로터 외" xfId="335" xr:uid="{00000000-0005-0000-0000-00009A000000}"/>
    <cellStyle name="_0430_부산대학교(DL360G3-5대)" xfId="336" xr:uid="{00000000-0005-0000-0000-00009B000000}"/>
    <cellStyle name="_046-경남도청-1" xfId="337" xr:uid="{00000000-0005-0000-0000-00009C000000}"/>
    <cellStyle name="_04월 28일 주간보고(창원지사)" xfId="338" xr:uid="{00000000-0005-0000-0000-00009D000000}"/>
    <cellStyle name="_050307-VA7110" xfId="339" xr:uid="{00000000-0005-0000-0000-00009E000000}"/>
    <cellStyle name="_050913_비진_정원_견적서(구리)" xfId="340" xr:uid="{00000000-0005-0000-0000-00009F000000}"/>
    <cellStyle name="_0515_SecurityCostcase" xfId="341" xr:uid="{00000000-0005-0000-0000-0000A0000000}"/>
    <cellStyle name="_05월 26일 주간보고(창원지사)" xfId="342" xr:uid="{00000000-0005-0000-0000-0000A1000000}"/>
    <cellStyle name="_06.웹기반 위성자료처리시스템 개발" xfId="343" xr:uid="{00000000-0005-0000-0000-0000A2000000}"/>
    <cellStyle name="_0604_부산은행(VA7110)" xfId="344" xr:uid="{00000000-0005-0000-0000-0000A3000000}"/>
    <cellStyle name="_060725_견적서_다우데이타_150CAL" xfId="122" xr:uid="{00000000-0005-0000-0000-0000A4000000}"/>
    <cellStyle name="_06월 30일 주간보고(창원지사)" xfId="345" xr:uid="{00000000-0005-0000-0000-0000A5000000}"/>
    <cellStyle name="_073101(LG-CNS, 김진규)-DAT" xfId="346" xr:uid="{00000000-0005-0000-0000-0000A6000000}"/>
    <cellStyle name="_07월 14일 주간보고(창원지사)" xfId="347" xr:uid="{00000000-0005-0000-0000-0000A7000000}"/>
    <cellStyle name="_07월 21일 주간보고(창원지사)" xfId="348" xr:uid="{00000000-0005-0000-0000-0000A8000000}"/>
    <cellStyle name="_0823_부산경상대학(2차통합)_Promotion" xfId="349" xr:uid="{00000000-0005-0000-0000-0000A9000000}"/>
    <cellStyle name="_086(합천군청)" xfId="350" xr:uid="{00000000-0005-0000-0000-0000AA000000}"/>
    <cellStyle name="_0901_두산중공업(ML570R,DL380R,ML330,ML530) (1)" xfId="351" xr:uid="{00000000-0005-0000-0000-0000AB000000}"/>
    <cellStyle name="_0902_고성군청(PC,스위칭허브,MSL6030)" xfId="352" xr:uid="{00000000-0005-0000-0000-0000AC000000}"/>
    <cellStyle name="_094(윌네트)" xfId="353" xr:uid="{00000000-0005-0000-0000-0000AD000000}"/>
    <cellStyle name="_094(창신대학)" xfId="354" xr:uid="{00000000-0005-0000-0000-0000AE000000}"/>
    <cellStyle name="_09월 01일 주간보고(창원지사)" xfId="355" xr:uid="{00000000-0005-0000-0000-0000AF000000}"/>
    <cellStyle name="_09월 22일 주간보고(창원지사)" xfId="356" xr:uid="{00000000-0005-0000-0000-0000B0000000}"/>
    <cellStyle name="_1.현대백화점 전점 변경 합의서" xfId="357" xr:uid="{00000000-0005-0000-0000-0000B1000000}"/>
    <cellStyle name="_100(마산시청)" xfId="358" xr:uid="{00000000-0005-0000-0000-0000B2000000}"/>
    <cellStyle name="_1007_하남군청(rx5670) (1)" xfId="359" xr:uid="{00000000-0005-0000-0000-0000B3000000}"/>
    <cellStyle name="_102(고성군청)" xfId="360" xr:uid="{00000000-0005-0000-0000-0000B4000000}"/>
    <cellStyle name="_102sb_소프트랜드(교보콜센타 유지보수)" xfId="361" xr:uid="{00000000-0005-0000-0000-0000B5000000}"/>
    <cellStyle name="_104sb_소프트랜드(네트웍유지보수)" xfId="362" xr:uid="{00000000-0005-0000-0000-0000B6000000}"/>
    <cellStyle name="_10월 20일 주간보고(창원지사)" xfId="363" xr:uid="{00000000-0005-0000-0000-0000B7000000}"/>
    <cellStyle name="_11.통합보안관리서버" xfId="364" xr:uid="{00000000-0005-0000-0000-0000B8000000}"/>
    <cellStyle name="_1104 KO Options Meeting One 04-27-11" xfId="4010" xr:uid="{00000000-0005-0000-0000-0000B9000000}"/>
    <cellStyle name="_1106_LG-CNS(rp8400)백천일_부장(1)" xfId="365" xr:uid="{00000000-0005-0000-0000-0000BA000000}"/>
    <cellStyle name="_11월 24일 주간보고(창원지사)" xfId="366" xr:uid="{00000000-0005-0000-0000-0000BB000000}"/>
    <cellStyle name="_11월 가격표 hp workstation" xfId="367" xr:uid="{00000000-0005-0000-0000-0000BC000000}"/>
    <cellStyle name="_1220평창군청(rp7400,CX600,Oracle)_원가" xfId="368" xr:uid="{00000000-0005-0000-0000-0000BD000000}"/>
    <cellStyle name="_12월 29일 주간보고(창원지사)" xfId="369" xr:uid="{00000000-0005-0000-0000-0000BE000000}"/>
    <cellStyle name="_144sb_소프트랜드(현대백화점_유지보수)" xfId="370" xr:uid="{00000000-0005-0000-0000-0000BF000000}"/>
    <cellStyle name="_171(HSD엔진)" xfId="371" xr:uid="{00000000-0005-0000-0000-0000C0000000}"/>
    <cellStyle name="_1H05 Quota_061204" xfId="372" xr:uid="{00000000-0005-0000-0000-0000C1000000}"/>
    <cellStyle name="_1H05 Quota_061204_Q206 DPFR Template_India(plan details)" xfId="373" xr:uid="{00000000-0005-0000-0000-0000C2000000}"/>
    <cellStyle name="_1H05 Quota_061204_Q206 DPFR Template_India(plan details)_computation  File - KR Q406 DPFR(24th Nov)" xfId="374" xr:uid="{00000000-0005-0000-0000-0000C3000000}"/>
    <cellStyle name="_1H05 Quota_061204_Q206 DPFR Template_India(plan details)_computation File - KR Q207 DPFR--(1st version draft 0522 update )" xfId="375" xr:uid="{00000000-0005-0000-0000-0000C4000000}"/>
    <cellStyle name="_1H05 Quota_061204_Q206 DPFR Template_India(plan details)_computation File - KR Q307 DPFR(final version)" xfId="376" xr:uid="{00000000-0005-0000-0000-0000C5000000}"/>
    <cellStyle name="_1H05 Quota_061204_Q206 DPFR Template_India(plan details)_computation File - KR Q307 DPFR(Leeway 0828)" xfId="377" xr:uid="{00000000-0005-0000-0000-0000C6000000}"/>
    <cellStyle name="_1H05 Quota_061204_Q206 DPFR Template_India(plan details)_computation File - KR Q307 DPFR(update07-18-07)" xfId="378" xr:uid="{00000000-0005-0000-0000-0000C7000000}"/>
    <cellStyle name="_1H05 Quota_061204_Q206 DPFR Template_India(plan details)_computation File - KR Q307 DPFR(update07-23-07)" xfId="379" xr:uid="{00000000-0005-0000-0000-0000C8000000}"/>
    <cellStyle name="_1H05 Quota_061204_Q206 DPFR Template_India(plan details)_computation Practice(10thMay) - KR Q207 DPFR-  " xfId="380" xr:uid="{00000000-0005-0000-0000-0000C9000000}"/>
    <cellStyle name="_1H05 Quota_061204_Q206 DPFR Template_India(plan details)_computationFile - KR Q107 DPFR" xfId="381" xr:uid="{00000000-0005-0000-0000-0000CA000000}"/>
    <cellStyle name="_1H05 Quota_061204_Q206 DPFR Template_India(plan details)_ID Q107 DPFR Computation (5Mar07)" xfId="382" xr:uid="{00000000-0005-0000-0000-0000CB000000}"/>
    <cellStyle name="_1H05 Quota_061204_Q206 DPFR Template_India(plan details)_ID Q207 DPFR Computation_template" xfId="383" xr:uid="{00000000-0005-0000-0000-0000CC000000}"/>
    <cellStyle name="_1H05 Quota_061204_Q206 DPFR Template_India(plan details)_IN Q207 DPFR Computation_template" xfId="384" xr:uid="{00000000-0005-0000-0000-0000CD000000}"/>
    <cellStyle name="_1H05 Quota_061204_Q206 DPFR Template_India(plan details)_Input File - AEC Q207 DPFR" xfId="385" xr:uid="{00000000-0005-0000-0000-0000CE000000}"/>
    <cellStyle name="_1H05 Quota_061204_Q206 DPFR Template_India(plan details)_Input File - ID Q107 DPFR_Ver3" xfId="386" xr:uid="{00000000-0005-0000-0000-0000CF000000}"/>
    <cellStyle name="_1H05 Quota_061204_Q206 DPFR Template_India(plan details)_Input File - ID Q207 DPFR_Final-5-3-2007" xfId="387" xr:uid="{00000000-0005-0000-0000-0000D0000000}"/>
    <cellStyle name="_1H05 Quota_061204_Q206 DPFR Template_India(plan details)_Input File - IN Q107 DPFR" xfId="388" xr:uid="{00000000-0005-0000-0000-0000D1000000}"/>
    <cellStyle name="_1H05 Quota_061204_Q206 DPFR Template_India(plan details)_Input File - KR Q107 DPFR" xfId="389" xr:uid="{00000000-0005-0000-0000-0000D2000000}"/>
    <cellStyle name="_1H05 Quota_061204_Q206 DPFR Template_India(plan details)_Input File - KR Q107 DPFR(1128-PBM)" xfId="390" xr:uid="{00000000-0005-0000-0000-0000D3000000}"/>
    <cellStyle name="_1H05 Quota_061204_Q206 DPFR Template_India(plan details)_Input File - KR Q107 DPFR(23th Nov) 001" xfId="391" xr:uid="{00000000-0005-0000-0000-0000D4000000}"/>
    <cellStyle name="_1H05 Quota_061204_Q206 DPFR Template_India(plan details)_Input File - KR Q207 DPFR" xfId="392" xr:uid="{00000000-0005-0000-0000-0000D5000000}"/>
    <cellStyle name="_1H05 Quota_061204_Q206 DPFR Template_India(plan details)_Input File - KR Q207 DPFR(0205-AP)" xfId="393" xr:uid="{00000000-0005-0000-0000-0000D6000000}"/>
    <cellStyle name="_1H05 Quota_061204_Q206 DPFR Template_India(plan details)_Input File - KR Q307 DPFR(update05-23-07)" xfId="394" xr:uid="{00000000-0005-0000-0000-0000D7000000}"/>
    <cellStyle name="_1H05 Quota_061204_Q206 DPFR Template_India(plan details)_Input File - KR Q406 DPFR(AP)_0807" xfId="395" xr:uid="{00000000-0005-0000-0000-0000D8000000}"/>
    <cellStyle name="_1H05 Quota_061204_Q206 DPFR Template_India(plan details)_Input File - SG Q107 DPFR" xfId="396" xr:uid="{00000000-0005-0000-0000-0000D9000000}"/>
    <cellStyle name="_1H05 Quota_061204_Q206 DPFR Template_India(plan details)_KR Q108 inputfile_DPFR_071203" xfId="397" xr:uid="{00000000-0005-0000-0000-0000DA000000}"/>
    <cellStyle name="_1H05 Quota_061204_Q206 DPFR Template_India(plan details)_KR Q306 DPFR (Aug24thLeeway)" xfId="398" xr:uid="{00000000-0005-0000-0000-0000DB000000}"/>
    <cellStyle name="_1H05 Quota_061204_Q206 DPFR Template_India(plan details)_KR Q306 DPFR 001fina-leewayl (2)" xfId="399" xr:uid="{00000000-0005-0000-0000-0000DC000000}"/>
    <cellStyle name="_1H05 Quota_061204_Q206 DPFR Template_India(plan details)_KR Q407 DPFR_final_071030" xfId="400" xr:uid="{00000000-0005-0000-0000-0000DD000000}"/>
    <cellStyle name="_1H05 Quota_061204_Q206 DPFR Template_India(plan details)_KR Q407 DPFR_final_071106" xfId="401" xr:uid="{00000000-0005-0000-0000-0000DE000000}"/>
    <cellStyle name="_1H05 Quota_061204_Q206 DPFR Template_India(plan details)_KR Q407 DPFR_template_070802(updated)" xfId="402" xr:uid="{00000000-0005-0000-0000-0000DF000000}"/>
    <cellStyle name="_1H05 Quota_061204_Q206 DPFR Template_India(plan details)_Leeway-computation File - KR Q207 DPFR--(0523 update )" xfId="403" xr:uid="{00000000-0005-0000-0000-0000E0000000}"/>
    <cellStyle name="_1H05 Quota_061204_Q206 DPFR Template_India(plan details)_NMFT HD계산 법" xfId="404" xr:uid="{00000000-0005-0000-0000-0000E1000000}"/>
    <cellStyle name="_1H05 Quota_061204_Q206 DPFR Template_India(plan details)_nMFT 계산 (DPFR HD)_exclude RM (3)" xfId="405" xr:uid="{00000000-0005-0000-0000-0000E2000000}"/>
    <cellStyle name="_1H05 Quota_061204_Q206 DPFR Template_India(plan details)_Q107 제외 7개사" xfId="406" xr:uid="{00000000-0005-0000-0000-0000E3000000}"/>
    <cellStyle name="_1H05 Quota_061204_Q206 DPFR Template_India(plan details)_Q207 DPFR-021(Korea)" xfId="407" xr:uid="{00000000-0005-0000-0000-0000E4000000}"/>
    <cellStyle name="_1H05 Quota_061204_Q206 DPFR Template_India(plan details)_Q407 plan detail for computation details" xfId="408" xr:uid="{00000000-0005-0000-0000-0000E5000000}"/>
    <cellStyle name="_1H05 Quota_061204_Q206 DPFR Template_India(plan details)_TH Q107 DPFR Computation_template" xfId="409" xr:uid="{00000000-0005-0000-0000-0000E6000000}"/>
    <cellStyle name="_1H05 Quota_061204_Q206 DPFR Template_India(plan details)_수정본 KR Q407 DPFR_draft v._071122( NMFT HD update)" xfId="410" xr:uid="{00000000-0005-0000-0000-0000E7000000}"/>
    <cellStyle name="_1H05 Quota_061204_Q206 DPFR Template_Malaysia_2006-02-23 (2)_12068" xfId="411" xr:uid="{00000000-0005-0000-0000-0000E8000000}"/>
    <cellStyle name="_1H05 Quota_061204_Q206 DPFR Template_Malaysia_2006-02-23 (2)_12068_computation  File - KR Q406 DPFR(24th Nov)" xfId="412" xr:uid="{00000000-0005-0000-0000-0000E9000000}"/>
    <cellStyle name="_1H05 Quota_061204_Q206 DPFR Template_Malaysia_2006-02-23 (2)_12068_computation File - KR Q207 DPFR--(1st version draft 0522 update )" xfId="413" xr:uid="{00000000-0005-0000-0000-0000EA000000}"/>
    <cellStyle name="_1H05 Quota_061204_Q206 DPFR Template_Malaysia_2006-02-23 (2)_12068_computation File - KR Q307 DPFR(final version)" xfId="414" xr:uid="{00000000-0005-0000-0000-0000EB000000}"/>
    <cellStyle name="_1H05 Quota_061204_Q206 DPFR Template_Malaysia_2006-02-23 (2)_12068_computation File - KR Q307 DPFR(Leeway 0828)" xfId="415" xr:uid="{00000000-0005-0000-0000-0000EC000000}"/>
    <cellStyle name="_1H05 Quota_061204_Q206 DPFR Template_Malaysia_2006-02-23 (2)_12068_computation File - KR Q307 DPFR(update07-18-07)" xfId="416" xr:uid="{00000000-0005-0000-0000-0000ED000000}"/>
    <cellStyle name="_1H05 Quota_061204_Q206 DPFR Template_Malaysia_2006-02-23 (2)_12068_computation File - KR Q307 DPFR(update07-23-07)" xfId="417" xr:uid="{00000000-0005-0000-0000-0000EE000000}"/>
    <cellStyle name="_1H05 Quota_061204_Q206 DPFR Template_Malaysia_2006-02-23 (2)_12068_computation Practice(10thMay) - KR Q207 DPFR-  " xfId="418" xr:uid="{00000000-0005-0000-0000-0000EF000000}"/>
    <cellStyle name="_1H05 Quota_061204_Q206 DPFR Template_Malaysia_2006-02-23 (2)_12068_computationFile - KR Q107 DPFR" xfId="419" xr:uid="{00000000-0005-0000-0000-0000F0000000}"/>
    <cellStyle name="_1H05 Quota_061204_Q206 DPFR Template_Malaysia_2006-02-23 (2)_12068_ID Q107 DPFR Computation (5Mar07)" xfId="420" xr:uid="{00000000-0005-0000-0000-0000F1000000}"/>
    <cellStyle name="_1H05 Quota_061204_Q206 DPFR Template_Malaysia_2006-02-23 (2)_12068_ID Q207 DPFR Computation_template" xfId="421" xr:uid="{00000000-0005-0000-0000-0000F2000000}"/>
    <cellStyle name="_1H05 Quota_061204_Q206 DPFR Template_Malaysia_2006-02-23 (2)_12068_IN Q207 DPFR Computation_template" xfId="422" xr:uid="{00000000-0005-0000-0000-0000F3000000}"/>
    <cellStyle name="_1H05 Quota_061204_Q206 DPFR Template_Malaysia_2006-02-23 (2)_12068_IN Q406 DPFR Computation (13nov06)" xfId="423" xr:uid="{00000000-0005-0000-0000-0000F4000000}"/>
    <cellStyle name="_1H05 Quota_061204_Q206 DPFR Template_Malaysia_2006-02-23 (2)_12068_IN Q406 DPFR Computation (24nov06)" xfId="424" xr:uid="{00000000-0005-0000-0000-0000F5000000}"/>
    <cellStyle name="_1H05 Quota_061204_Q206 DPFR Template_Malaysia_2006-02-23 (2)_12068_IN Q406 DPFR-R Computation (01dec06)" xfId="425" xr:uid="{00000000-0005-0000-0000-0000F6000000}"/>
    <cellStyle name="_1H05 Quota_061204_Q206 DPFR Template_Malaysia_2006-02-23 (2)_12068_Input File - AEC Q207 DPFR" xfId="426" xr:uid="{00000000-0005-0000-0000-0000F7000000}"/>
    <cellStyle name="_1H05 Quota_061204_Q206 DPFR Template_Malaysia_2006-02-23 (2)_12068_Input File - ID Q107 DPFR_Ver3" xfId="427" xr:uid="{00000000-0005-0000-0000-0000F8000000}"/>
    <cellStyle name="_1H05 Quota_061204_Q206 DPFR Template_Malaysia_2006-02-23 (2)_12068_Input File - ID Q207 DPFR_Final-5-3-2007" xfId="428" xr:uid="{00000000-0005-0000-0000-0000F9000000}"/>
    <cellStyle name="_1H05 Quota_061204_Q206 DPFR Template_Malaysia_2006-02-23 (2)_12068_Input File - IN Q107 DPFR" xfId="429" xr:uid="{00000000-0005-0000-0000-0000FA000000}"/>
    <cellStyle name="_1H05 Quota_061204_Q206 DPFR Template_Malaysia_2006-02-23 (2)_12068_Input File - KR Q107 DPFR" xfId="430" xr:uid="{00000000-0005-0000-0000-0000FB000000}"/>
    <cellStyle name="_1H05 Quota_061204_Q206 DPFR Template_Malaysia_2006-02-23 (2)_12068_Input File - KR Q107 DPFR(1128-PBM)" xfId="431" xr:uid="{00000000-0005-0000-0000-0000FC000000}"/>
    <cellStyle name="_1H05 Quota_061204_Q206 DPFR Template_Malaysia_2006-02-23 (2)_12068_Input File - KR Q107 DPFR(23th Nov) 001" xfId="432" xr:uid="{00000000-0005-0000-0000-0000FD000000}"/>
    <cellStyle name="_1H05 Quota_061204_Q206 DPFR Template_Malaysia_2006-02-23 (2)_12068_Input File - KR Q207 DPFR" xfId="433" xr:uid="{00000000-0005-0000-0000-0000FE000000}"/>
    <cellStyle name="_1H05 Quota_061204_Q206 DPFR Template_Malaysia_2006-02-23 (2)_12068_Input File - KR Q207 DPFR(0205-AP)" xfId="434" xr:uid="{00000000-0005-0000-0000-0000FF000000}"/>
    <cellStyle name="_1H05 Quota_061204_Q206 DPFR Template_Malaysia_2006-02-23 (2)_12068_Input File - KR Q307 DPFR(update05-23-07)" xfId="435" xr:uid="{00000000-0005-0000-0000-000000010000}"/>
    <cellStyle name="_1H05 Quota_061204_Q206 DPFR Template_Malaysia_2006-02-23 (2)_12068_Input File - KR Q406 DPFR(AP)_0807" xfId="436" xr:uid="{00000000-0005-0000-0000-000001010000}"/>
    <cellStyle name="_1H05 Quota_061204_Q206 DPFR Template_Malaysia_2006-02-23 (2)_12068_Input File - SG Q107 DPFR" xfId="437" xr:uid="{00000000-0005-0000-0000-000002010000}"/>
    <cellStyle name="_1H05 Quota_061204_Q206 DPFR Template_Malaysia_2006-02-23 (2)_12068_KR Q108 inputfile_DPFR_071203" xfId="438" xr:uid="{00000000-0005-0000-0000-000003010000}"/>
    <cellStyle name="_1H05 Quota_061204_Q206 DPFR Template_Malaysia_2006-02-23 (2)_12068_KR Q306 DPFR (Aug24thLeeway)" xfId="439" xr:uid="{00000000-0005-0000-0000-000004010000}"/>
    <cellStyle name="_1H05 Quota_061204_Q206 DPFR Template_Malaysia_2006-02-23 (2)_12068_KR Q306 DPFR 001fina-leewayl (2)" xfId="440" xr:uid="{00000000-0005-0000-0000-000005010000}"/>
    <cellStyle name="_1H05 Quota_061204_Q206 DPFR Template_Malaysia_2006-02-23 (2)_12068_KR Q407 DPFR_final_071030" xfId="441" xr:uid="{00000000-0005-0000-0000-000006010000}"/>
    <cellStyle name="_1H05 Quota_061204_Q206 DPFR Template_Malaysia_2006-02-23 (2)_12068_KR Q407 DPFR_final_071106" xfId="442" xr:uid="{00000000-0005-0000-0000-000007010000}"/>
    <cellStyle name="_1H05 Quota_061204_Q206 DPFR Template_Malaysia_2006-02-23 (2)_12068_KR Q407 DPFR_template_070802(updated)" xfId="443" xr:uid="{00000000-0005-0000-0000-000008010000}"/>
    <cellStyle name="_1H05 Quota_061204_Q206 DPFR Template_Malaysia_2006-02-23 (2)_12068_Leeway-computation File - KR Q207 DPFR--(0523 update )" xfId="444" xr:uid="{00000000-0005-0000-0000-000009010000}"/>
    <cellStyle name="_1H05 Quota_061204_Q206 DPFR Template_Malaysia_2006-02-23 (2)_12068_NMFT HD계산 법" xfId="445" xr:uid="{00000000-0005-0000-0000-00000A010000}"/>
    <cellStyle name="_1H05 Quota_061204_Q206 DPFR Template_Malaysia_2006-02-23 (2)_12068_nMFT 계산 (DPFR HD)_exclude RM (3)" xfId="446" xr:uid="{00000000-0005-0000-0000-00000B010000}"/>
    <cellStyle name="_1H05 Quota_061204_Q206 DPFR Template_Malaysia_2006-02-23 (2)_12068_Q107 제외 7개사" xfId="447" xr:uid="{00000000-0005-0000-0000-00000C010000}"/>
    <cellStyle name="_1H05 Quota_061204_Q206 DPFR Template_Malaysia_2006-02-23 (2)_12068_Q207 DPFR-021(Korea)" xfId="448" xr:uid="{00000000-0005-0000-0000-00000D010000}"/>
    <cellStyle name="_1H05 Quota_061204_Q206 DPFR Template_Malaysia_2006-02-23 (2)_12068_Q407 plan detail for computation details" xfId="449" xr:uid="{00000000-0005-0000-0000-00000E010000}"/>
    <cellStyle name="_1H05 Quota_061204_Q206 DPFR Template_Malaysia_2006-02-23 (2)_12068_SG Q206 DPFR Computation (24may06)" xfId="450" xr:uid="{00000000-0005-0000-0000-00000F010000}"/>
    <cellStyle name="_1H05 Quota_061204_Q206 DPFR Template_Malaysia_2006-02-23 (2)_12068_SG Q306 DPFR Computation (08sept06)" xfId="451" xr:uid="{00000000-0005-0000-0000-000010010000}"/>
    <cellStyle name="_1H05 Quota_061204_Q206 DPFR Template_Malaysia_2006-02-23 (2)_12068_SG Q406 DPFR Computation (20nov06)" xfId="452" xr:uid="{00000000-0005-0000-0000-000011010000}"/>
    <cellStyle name="_1H05 Quota_061204_Q206 DPFR Template_Malaysia_2006-02-23 (2)_12068_TH Q107 DPFR Computation_template" xfId="453" xr:uid="{00000000-0005-0000-0000-000012010000}"/>
    <cellStyle name="_1H05 Quota_061204_Q206 DPFR Template_Malaysia_2006-02-23 (2)_12068_수정본 KR Q407 DPFR_draft v._071122( NMFT HD update)" xfId="454" xr:uid="{00000000-0005-0000-0000-000013010000}"/>
    <cellStyle name="_1H05 Quota_061204_Q206 DPFR Template_Singapore (8 Mar 06)" xfId="455" xr:uid="{00000000-0005-0000-0000-000014010000}"/>
    <cellStyle name="_1H05 Quota_061204_Q206 DPFR Template_Singapore (8 Mar 06)_computation  File - KR Q406 DPFR(24th Nov)" xfId="456" xr:uid="{00000000-0005-0000-0000-000015010000}"/>
    <cellStyle name="_1H05 Quota_061204_Q206 DPFR Template_Singapore (8 Mar 06)_computation File - KR Q207 DPFR--(1st version draft 0522 update )" xfId="457" xr:uid="{00000000-0005-0000-0000-000016010000}"/>
    <cellStyle name="_1H05 Quota_061204_Q206 DPFR Template_Singapore (8 Mar 06)_computation File - KR Q307 DPFR(final version)" xfId="458" xr:uid="{00000000-0005-0000-0000-000017010000}"/>
    <cellStyle name="_1H05 Quota_061204_Q206 DPFR Template_Singapore (8 Mar 06)_computation File - KR Q307 DPFR(Leeway 0828)" xfId="459" xr:uid="{00000000-0005-0000-0000-000018010000}"/>
    <cellStyle name="_1H05 Quota_061204_Q206 DPFR Template_Singapore (8 Mar 06)_computation File - KR Q307 DPFR(update07-18-07)" xfId="460" xr:uid="{00000000-0005-0000-0000-000019010000}"/>
    <cellStyle name="_1H05 Quota_061204_Q206 DPFR Template_Singapore (8 Mar 06)_computation File - KR Q307 DPFR(update07-23-07)" xfId="461" xr:uid="{00000000-0005-0000-0000-00001A010000}"/>
    <cellStyle name="_1H05 Quota_061204_Q206 DPFR Template_Singapore (8 Mar 06)_computation Practice(10thMay) - KR Q207 DPFR-  " xfId="462" xr:uid="{00000000-0005-0000-0000-00001B010000}"/>
    <cellStyle name="_1H05 Quota_061204_Q206 DPFR Template_Singapore (8 Mar 06)_computationFile - KR Q107 DPFR" xfId="463" xr:uid="{00000000-0005-0000-0000-00001C010000}"/>
    <cellStyle name="_1H05 Quota_061204_Q206 DPFR Template_Singapore (8 Mar 06)_ID Q107 DPFR Computation (5Mar07)" xfId="464" xr:uid="{00000000-0005-0000-0000-00001D010000}"/>
    <cellStyle name="_1H05 Quota_061204_Q206 DPFR Template_Singapore (8 Mar 06)_ID Q207 DPFR Computation_template" xfId="465" xr:uid="{00000000-0005-0000-0000-00001E010000}"/>
    <cellStyle name="_1H05 Quota_061204_Q206 DPFR Template_Singapore (8 Mar 06)_IN Q207 DPFR Computation_template" xfId="466" xr:uid="{00000000-0005-0000-0000-00001F010000}"/>
    <cellStyle name="_1H05 Quota_061204_Q206 DPFR Template_Singapore (8 Mar 06)_IN Q406 DPFR Computation (13nov06)" xfId="467" xr:uid="{00000000-0005-0000-0000-000020010000}"/>
    <cellStyle name="_1H05 Quota_061204_Q206 DPFR Template_Singapore (8 Mar 06)_IN Q406 DPFR Computation (24nov06)" xfId="468" xr:uid="{00000000-0005-0000-0000-000021010000}"/>
    <cellStyle name="_1H05 Quota_061204_Q206 DPFR Template_Singapore (8 Mar 06)_IN Q406 DPFR-R Computation (01dec06)" xfId="469" xr:uid="{00000000-0005-0000-0000-000022010000}"/>
    <cellStyle name="_1H05 Quota_061204_Q206 DPFR Template_Singapore (8 Mar 06)_Input File - AEC Q207 DPFR" xfId="470" xr:uid="{00000000-0005-0000-0000-000023010000}"/>
    <cellStyle name="_1H05 Quota_061204_Q206 DPFR Template_Singapore (8 Mar 06)_Input File - ID Q107 DPFR_Ver3" xfId="471" xr:uid="{00000000-0005-0000-0000-000024010000}"/>
    <cellStyle name="_1H05 Quota_061204_Q206 DPFR Template_Singapore (8 Mar 06)_Input File - ID Q207 DPFR_Final-5-3-2007" xfId="472" xr:uid="{00000000-0005-0000-0000-000025010000}"/>
    <cellStyle name="_1H05 Quota_061204_Q206 DPFR Template_Singapore (8 Mar 06)_Input File - IN Q107 DPFR" xfId="473" xr:uid="{00000000-0005-0000-0000-000026010000}"/>
    <cellStyle name="_1H05 Quota_061204_Q206 DPFR Template_Singapore (8 Mar 06)_Input File - KR Q107 DPFR" xfId="474" xr:uid="{00000000-0005-0000-0000-000027010000}"/>
    <cellStyle name="_1H05 Quota_061204_Q206 DPFR Template_Singapore (8 Mar 06)_Input File - KR Q107 DPFR(1128-PBM)" xfId="475" xr:uid="{00000000-0005-0000-0000-000028010000}"/>
    <cellStyle name="_1H05 Quota_061204_Q206 DPFR Template_Singapore (8 Mar 06)_Input File - KR Q107 DPFR(23th Nov) 001" xfId="476" xr:uid="{00000000-0005-0000-0000-000029010000}"/>
    <cellStyle name="_1H05 Quota_061204_Q206 DPFR Template_Singapore (8 Mar 06)_Input File - KR Q207 DPFR" xfId="477" xr:uid="{00000000-0005-0000-0000-00002A010000}"/>
    <cellStyle name="_1H05 Quota_061204_Q206 DPFR Template_Singapore (8 Mar 06)_Input File - KR Q207 DPFR(0205-AP)" xfId="478" xr:uid="{00000000-0005-0000-0000-00002B010000}"/>
    <cellStyle name="_1H05 Quota_061204_Q206 DPFR Template_Singapore (8 Mar 06)_Input File - KR Q307 DPFR(update05-23-07)" xfId="479" xr:uid="{00000000-0005-0000-0000-00002C010000}"/>
    <cellStyle name="_1H05 Quota_061204_Q206 DPFR Template_Singapore (8 Mar 06)_Input File - KR Q406 DPFR(AP)_0807" xfId="480" xr:uid="{00000000-0005-0000-0000-00002D010000}"/>
    <cellStyle name="_1H05 Quota_061204_Q206 DPFR Template_Singapore (8 Mar 06)_Input File - SG Q107 DPFR" xfId="481" xr:uid="{00000000-0005-0000-0000-00002E010000}"/>
    <cellStyle name="_1H05 Quota_061204_Q206 DPFR Template_Singapore (8 Mar 06)_KR Q108 inputfile_DPFR_071203" xfId="482" xr:uid="{00000000-0005-0000-0000-00002F010000}"/>
    <cellStyle name="_1H05 Quota_061204_Q206 DPFR Template_Singapore (8 Mar 06)_KR Q306 DPFR (Aug24thLeeway)" xfId="483" xr:uid="{00000000-0005-0000-0000-000030010000}"/>
    <cellStyle name="_1H05 Quota_061204_Q206 DPFR Template_Singapore (8 Mar 06)_KR Q306 DPFR 001fina-leewayl (2)" xfId="484" xr:uid="{00000000-0005-0000-0000-000031010000}"/>
    <cellStyle name="_1H05 Quota_061204_Q206 DPFR Template_Singapore (8 Mar 06)_KR Q407 DPFR_final_071030" xfId="485" xr:uid="{00000000-0005-0000-0000-000032010000}"/>
    <cellStyle name="_1H05 Quota_061204_Q206 DPFR Template_Singapore (8 Mar 06)_KR Q407 DPFR_final_071106" xfId="486" xr:uid="{00000000-0005-0000-0000-000033010000}"/>
    <cellStyle name="_1H05 Quota_061204_Q206 DPFR Template_Singapore (8 Mar 06)_KR Q407 DPFR_template_070802(updated)" xfId="487" xr:uid="{00000000-0005-0000-0000-000034010000}"/>
    <cellStyle name="_1H05 Quota_061204_Q206 DPFR Template_Singapore (8 Mar 06)_Leeway-computation File - KR Q207 DPFR--(0523 update )" xfId="488" xr:uid="{00000000-0005-0000-0000-000035010000}"/>
    <cellStyle name="_1H05 Quota_061204_Q206 DPFR Template_Singapore (8 Mar 06)_NMFT HD계산 법" xfId="489" xr:uid="{00000000-0005-0000-0000-000036010000}"/>
    <cellStyle name="_1H05 Quota_061204_Q206 DPFR Template_Singapore (8 Mar 06)_nMFT 계산 (DPFR HD)_exclude RM (3)" xfId="490" xr:uid="{00000000-0005-0000-0000-000037010000}"/>
    <cellStyle name="_1H05 Quota_061204_Q206 DPFR Template_Singapore (8 Mar 06)_Q107 제외 7개사" xfId="491" xr:uid="{00000000-0005-0000-0000-000038010000}"/>
    <cellStyle name="_1H05 Quota_061204_Q206 DPFR Template_Singapore (8 Mar 06)_Q207 DPFR-021(Korea)" xfId="492" xr:uid="{00000000-0005-0000-0000-000039010000}"/>
    <cellStyle name="_1H05 Quota_061204_Q206 DPFR Template_Singapore (8 Mar 06)_Q407 plan detail for computation details" xfId="493" xr:uid="{00000000-0005-0000-0000-00003A010000}"/>
    <cellStyle name="_1H05 Quota_061204_Q206 DPFR Template_Singapore (8 Mar 06)_SG Q206 DPFR Computation (24may06)" xfId="494" xr:uid="{00000000-0005-0000-0000-00003B010000}"/>
    <cellStyle name="_1H05 Quota_061204_Q206 DPFR Template_Singapore (8 Mar 06)_SG Q406 DPFR Computation (20nov06)" xfId="495" xr:uid="{00000000-0005-0000-0000-00003C010000}"/>
    <cellStyle name="_1H05 Quota_061204_Q206 DPFR Template_Singapore (8 Mar 06)_TH Q107 DPFR Computation_template" xfId="496" xr:uid="{00000000-0005-0000-0000-00003D010000}"/>
    <cellStyle name="_1H05 Quota_061204_Q206 DPFR Template_Singapore (8 Mar 06)_수정본 KR Q407 DPFR_draft v._071122( NMFT HD update)" xfId="497" xr:uid="{00000000-0005-0000-0000-00003E010000}"/>
    <cellStyle name="_1H05 Quota_061204_SG Q106 DPFR Computation (13feb06)" xfId="498" xr:uid="{00000000-0005-0000-0000-00003F010000}"/>
    <cellStyle name="_1H05 Quota_061204_SG Q106 DPFR Computation (13feb06)_SG Q206 DPFR Computation (24may06)" xfId="499" xr:uid="{00000000-0005-0000-0000-000040010000}"/>
    <cellStyle name="_1안(Turnkey)_030127" xfId="123" xr:uid="{00000000-0005-0000-0000-000041010000}"/>
    <cellStyle name="_1월 26일 주간보고(창원지사)" xfId="500" xr:uid="{00000000-0005-0000-0000-000042010000}"/>
    <cellStyle name="_1월 6일 주간보고(창원지사)" xfId="501" xr:uid="{00000000-0005-0000-0000-000043010000}"/>
    <cellStyle name="_1팀 주간보고_060707" xfId="502" xr:uid="{00000000-0005-0000-0000-000044010000}"/>
    <cellStyle name="_200(한국철강)" xfId="503" xr:uid="{00000000-0005-0000-0000-000045010000}"/>
    <cellStyle name="_2001 장애조치" xfId="504" xr:uid="{00000000-0005-0000-0000-000046010000}"/>
    <cellStyle name="_2002-12-30 동부건설 견적서(2단계사업)" xfId="505" xr:uid="{00000000-0005-0000-0000-000047010000}"/>
    <cellStyle name="_2002결과표1" xfId="506" xr:uid="{00000000-0005-0000-0000-000048010000}"/>
    <cellStyle name="_2003-3-14 대림콩크리트 GW견적" xfId="507" xr:uid="{00000000-0005-0000-0000-000049010000}"/>
    <cellStyle name="_2003년 1월 28일 MSA1000" xfId="508" xr:uid="{00000000-0005-0000-0000-00004A010000}"/>
    <cellStyle name="_2003년 1월 변경가격표" xfId="509" xr:uid="{00000000-0005-0000-0000-00004B010000}"/>
    <cellStyle name="_2003년 5월 HP Note Desk 워크스테이션 가격표" xfId="4011" xr:uid="{00000000-0005-0000-0000-00004C010000}"/>
    <cellStyle name="_2003년 MS 3월 가격표 (외부용)" xfId="510" xr:uid="{00000000-0005-0000-0000-00004D010000}"/>
    <cellStyle name="_2003년설계품v2.1" xfId="511" xr:uid="{00000000-0005-0000-0000-00004E010000}"/>
    <cellStyle name="_2004SW노임단가" xfId="512" xr:uid="{00000000-0005-0000-0000-00004F010000}"/>
    <cellStyle name="_2004년이전재고200409_관리" xfId="124" xr:uid="{00000000-0005-0000-0000-000050010000}"/>
    <cellStyle name="_2004년이전재고200409_관리 2" xfId="4223" xr:uid="{00000000-0005-0000-0000-000051010000}"/>
    <cellStyle name="_2005.8-정보기술-MA계약-나래시스템.본점MA계약 변경" xfId="513" xr:uid="{00000000-0005-0000-0000-000052010000}"/>
    <cellStyle name="_2005-12-06_VER1.0 (원본)" xfId="125" xr:uid="{00000000-0005-0000-0000-000053010000}"/>
    <cellStyle name="_2006-06-30 넷스크린 재고(2005년 이후)2" xfId="126" xr:uid="{00000000-0005-0000-0000-000054010000}"/>
    <cellStyle name="_2006-06-30_상품재고현황" xfId="127" xr:uid="{00000000-0005-0000-0000-000055010000}"/>
    <cellStyle name="_2006-09-06 넷스크린 재고(2005년 이후)" xfId="128" xr:uid="{00000000-0005-0000-0000-000056010000}"/>
    <cellStyle name="_210(HSD엔진)" xfId="514" xr:uid="{00000000-0005-0000-0000-000057010000}"/>
    <cellStyle name="_250(윌네트-하동)" xfId="515" xr:uid="{00000000-0005-0000-0000-000058010000}"/>
    <cellStyle name="_2H05 SPO Quota_CHATs (Direct) 2005-06-08 (FINAL-FINAL)" xfId="516" xr:uid="{00000000-0005-0000-0000-000059010000}"/>
    <cellStyle name="_2차_0812_공영DBM1" xfId="2" xr:uid="{00000000-0005-0000-0000-00005A010000}"/>
    <cellStyle name="_2팀 주간보고(7월 1주차)" xfId="517" xr:uid="{00000000-0005-0000-0000-00005B010000}"/>
    <cellStyle name="_2팀 주간보고(7월 2주차)" xfId="518" xr:uid="{00000000-0005-0000-0000-00005C010000}"/>
    <cellStyle name="_30220-바디샾-ERP" xfId="519" xr:uid="{00000000-0005-0000-0000-00005D010000}"/>
    <cellStyle name="_30220-바디샾-ERP0225" xfId="520" xr:uid="{00000000-0005-0000-0000-00005E010000}"/>
    <cellStyle name="_3t021025_강서기능대_견적_한아(1)" xfId="28" xr:uid="{00000000-0005-0000-0000-00005F010000}"/>
    <cellStyle name="_3월 30일 주간보고(창원지사)" xfId="521" xr:uid="{00000000-0005-0000-0000-000060010000}"/>
    <cellStyle name="_404sb_소프트랜드(세방네트웍유지보수)" xfId="522" xr:uid="{00000000-0005-0000-0000-000061010000}"/>
    <cellStyle name="_427sb_소프트랜드(네트웍유지보수)" xfId="523" xr:uid="{00000000-0005-0000-0000-000062010000}"/>
    <cellStyle name="_498sb_소프트랜드(신용보증기금추가네트웍유지보수)" xfId="524" xr:uid="{00000000-0005-0000-0000-000063010000}"/>
    <cellStyle name="_4월 20일 주간보고(창원지사)" xfId="525" xr:uid="{00000000-0005-0000-0000-000064010000}"/>
    <cellStyle name="_4월 환율평균" xfId="129" xr:uid="{00000000-0005-0000-0000-000065010000}"/>
    <cellStyle name="_500user견적(021014)-GW,Wf,EDMS,검색" xfId="526" xr:uid="{00000000-0005-0000-0000-000066010000}"/>
    <cellStyle name="_529sb_소프트랜드(BAT Korea 네트웍장비유지보수)" xfId="527" xr:uid="{00000000-0005-0000-0000-000067010000}"/>
    <cellStyle name="_5월 25일 주간보고(창원지사)" xfId="528" xr:uid="{00000000-0005-0000-0000-000068010000}"/>
    <cellStyle name="_6월 29일 주간보고(창원지사)" xfId="529" xr:uid="{00000000-0005-0000-0000-000069010000}"/>
    <cellStyle name="_6월 가격표 hp workstation(수정중)" xfId="530" xr:uid="{00000000-0005-0000-0000-00006A010000}"/>
    <cellStyle name="_6월실적_20060630" xfId="130" xr:uid="{00000000-0005-0000-0000-00006B010000}"/>
    <cellStyle name="_7월 13일 주간보고(창원지사)(1)" xfId="531" xr:uid="{00000000-0005-0000-0000-00006C010000}"/>
    <cellStyle name="_7월 6일 주간보고(창원지사)" xfId="532" xr:uid="{00000000-0005-0000-0000-00006D010000}"/>
    <cellStyle name="_7월 가격표 hp workstation" xfId="533" xr:uid="{00000000-0005-0000-0000-00006E010000}"/>
    <cellStyle name="_7팀_월간보고(3월)" xfId="534" xr:uid="{00000000-0005-0000-0000-00006F010000}"/>
    <cellStyle name="_8월 가격표 hp workstation" xfId="535" xr:uid="{00000000-0005-0000-0000-000070010000}"/>
    <cellStyle name="_Account Total" xfId="536" xr:uid="{00000000-0005-0000-0000-000071010000}"/>
    <cellStyle name="_ACQ 서버 DL580G2 MSA1000_0205" xfId="537" xr:uid="{00000000-0005-0000-0000-000072010000}"/>
    <cellStyle name="_Acts_DVR 업체 제안_07.5.4" xfId="4012" xr:uid="{00000000-0005-0000-0000-000073010000}"/>
    <cellStyle name="_Acts_Storage 6bay_07.5.11" xfId="4013" xr:uid="{00000000-0005-0000-0000-000074010000}"/>
    <cellStyle name="_Acts_Web HDD 용 ST_07.4.20" xfId="4014" xr:uid="{00000000-0005-0000-0000-000075010000}"/>
    <cellStyle name="_AKLBASEC" xfId="538" xr:uid="{00000000-0005-0000-0000-000076010000}"/>
    <cellStyle name="_Allm_Nas Storage_07.5.4" xfId="4015" xr:uid="{00000000-0005-0000-0000-000077010000}"/>
    <cellStyle name="_AMS Inventory_V0.6_김수진(2)" xfId="539" xr:uid="{00000000-0005-0000-0000-000078010000}"/>
    <cellStyle name="_AP_Weekly" xfId="540" xr:uid="{00000000-0005-0000-0000-000079010000}"/>
    <cellStyle name="_AP_Weekly_Q206 DPFR Template_India(plan details)" xfId="541" xr:uid="{00000000-0005-0000-0000-00007A010000}"/>
    <cellStyle name="_AP_Weekly_Q206 DPFR Template_India(plan details)_computation  File - KR Q406 DPFR(24th Nov)" xfId="542" xr:uid="{00000000-0005-0000-0000-00007B010000}"/>
    <cellStyle name="_AP_Weekly_Q206 DPFR Template_India(plan details)_computation File - KR Q207 DPFR--(1st version draft 0522 update )" xfId="543" xr:uid="{00000000-0005-0000-0000-00007C010000}"/>
    <cellStyle name="_AP_Weekly_Q206 DPFR Template_India(plan details)_computation File - KR Q307 DPFR(final version)" xfId="544" xr:uid="{00000000-0005-0000-0000-00007D010000}"/>
    <cellStyle name="_AP_Weekly_Q206 DPFR Template_India(plan details)_computation File - KR Q307 DPFR(Leeway 0828)" xfId="545" xr:uid="{00000000-0005-0000-0000-00007E010000}"/>
    <cellStyle name="_AP_Weekly_Q206 DPFR Template_India(plan details)_computation File - KR Q307 DPFR(update07-18-07)" xfId="546" xr:uid="{00000000-0005-0000-0000-00007F010000}"/>
    <cellStyle name="_AP_Weekly_Q206 DPFR Template_India(plan details)_computation File - KR Q307 DPFR(update07-23-07)" xfId="547" xr:uid="{00000000-0005-0000-0000-000080010000}"/>
    <cellStyle name="_AP_Weekly_Q206 DPFR Template_India(plan details)_computation Practice(10thMay) - KR Q207 DPFR-  " xfId="548" xr:uid="{00000000-0005-0000-0000-000081010000}"/>
    <cellStyle name="_AP_Weekly_Q206 DPFR Template_India(plan details)_computationFile - KR Q107 DPFR" xfId="549" xr:uid="{00000000-0005-0000-0000-000082010000}"/>
    <cellStyle name="_AP_Weekly_Q206 DPFR Template_India(plan details)_ID Q107 DPFR Computation (5Mar07)" xfId="550" xr:uid="{00000000-0005-0000-0000-000083010000}"/>
    <cellStyle name="_AP_Weekly_Q206 DPFR Template_India(plan details)_ID Q207 DPFR Computation_template" xfId="551" xr:uid="{00000000-0005-0000-0000-000084010000}"/>
    <cellStyle name="_AP_Weekly_Q206 DPFR Template_India(plan details)_IN Q207 DPFR Computation_template" xfId="552" xr:uid="{00000000-0005-0000-0000-000085010000}"/>
    <cellStyle name="_AP_Weekly_Q206 DPFR Template_India(plan details)_Input File - AEC Q207 DPFR" xfId="553" xr:uid="{00000000-0005-0000-0000-000086010000}"/>
    <cellStyle name="_AP_Weekly_Q206 DPFR Template_India(plan details)_Input File - ID Q107 DPFR_Ver3" xfId="554" xr:uid="{00000000-0005-0000-0000-000087010000}"/>
    <cellStyle name="_AP_Weekly_Q206 DPFR Template_India(plan details)_Input File - ID Q207 DPFR_Final-5-3-2007" xfId="555" xr:uid="{00000000-0005-0000-0000-000088010000}"/>
    <cellStyle name="_AP_Weekly_Q206 DPFR Template_India(plan details)_Input File - IN Q107 DPFR" xfId="556" xr:uid="{00000000-0005-0000-0000-000089010000}"/>
    <cellStyle name="_AP_Weekly_Q206 DPFR Template_India(plan details)_Input File - KR Q107 DPFR" xfId="557" xr:uid="{00000000-0005-0000-0000-00008A010000}"/>
    <cellStyle name="_AP_Weekly_Q206 DPFR Template_India(plan details)_Input File - KR Q107 DPFR(1128-PBM)" xfId="558" xr:uid="{00000000-0005-0000-0000-00008B010000}"/>
    <cellStyle name="_AP_Weekly_Q206 DPFR Template_India(plan details)_Input File - KR Q107 DPFR(23th Nov) 001" xfId="559" xr:uid="{00000000-0005-0000-0000-00008C010000}"/>
    <cellStyle name="_AP_Weekly_Q206 DPFR Template_India(plan details)_Input File - KR Q207 DPFR" xfId="560" xr:uid="{00000000-0005-0000-0000-00008D010000}"/>
    <cellStyle name="_AP_Weekly_Q206 DPFR Template_India(plan details)_Input File - KR Q207 DPFR(0205-AP)" xfId="561" xr:uid="{00000000-0005-0000-0000-00008E010000}"/>
    <cellStyle name="_AP_Weekly_Q206 DPFR Template_India(plan details)_Input File - KR Q307 DPFR(update05-23-07)" xfId="562" xr:uid="{00000000-0005-0000-0000-00008F010000}"/>
    <cellStyle name="_AP_Weekly_Q206 DPFR Template_India(plan details)_Input File - KR Q406 DPFR(AP)_0807" xfId="563" xr:uid="{00000000-0005-0000-0000-000090010000}"/>
    <cellStyle name="_AP_Weekly_Q206 DPFR Template_India(plan details)_Input File - SG Q107 DPFR" xfId="564" xr:uid="{00000000-0005-0000-0000-000091010000}"/>
    <cellStyle name="_AP_Weekly_Q206 DPFR Template_India(plan details)_KR Q108 inputfile_DPFR_071203" xfId="565" xr:uid="{00000000-0005-0000-0000-000092010000}"/>
    <cellStyle name="_AP_Weekly_Q206 DPFR Template_India(plan details)_KR Q306 DPFR (Aug24thLeeway)" xfId="566" xr:uid="{00000000-0005-0000-0000-000093010000}"/>
    <cellStyle name="_AP_Weekly_Q206 DPFR Template_India(plan details)_KR Q306 DPFR 001fina-leewayl (2)" xfId="567" xr:uid="{00000000-0005-0000-0000-000094010000}"/>
    <cellStyle name="_AP_Weekly_Q206 DPFR Template_India(plan details)_KR Q407 DPFR_final_071030" xfId="568" xr:uid="{00000000-0005-0000-0000-000095010000}"/>
    <cellStyle name="_AP_Weekly_Q206 DPFR Template_India(plan details)_KR Q407 DPFR_final_071106" xfId="569" xr:uid="{00000000-0005-0000-0000-000096010000}"/>
    <cellStyle name="_AP_Weekly_Q206 DPFR Template_India(plan details)_KR Q407 DPFR_template_070802(updated)" xfId="570" xr:uid="{00000000-0005-0000-0000-000097010000}"/>
    <cellStyle name="_AP_Weekly_Q206 DPFR Template_India(plan details)_Leeway-computation File - KR Q207 DPFR--(0523 update )" xfId="571" xr:uid="{00000000-0005-0000-0000-000098010000}"/>
    <cellStyle name="_AP_Weekly_Q206 DPFR Template_India(plan details)_NMFT HD계산 법" xfId="572" xr:uid="{00000000-0005-0000-0000-000099010000}"/>
    <cellStyle name="_AP_Weekly_Q206 DPFR Template_India(plan details)_nMFT 계산 (DPFR HD)_exclude RM (3)" xfId="573" xr:uid="{00000000-0005-0000-0000-00009A010000}"/>
    <cellStyle name="_AP_Weekly_Q206 DPFR Template_India(plan details)_Q107 제외 7개사" xfId="574" xr:uid="{00000000-0005-0000-0000-00009B010000}"/>
    <cellStyle name="_AP_Weekly_Q206 DPFR Template_India(plan details)_Q207 DPFR-021(Korea)" xfId="575" xr:uid="{00000000-0005-0000-0000-00009C010000}"/>
    <cellStyle name="_AP_Weekly_Q206 DPFR Template_India(plan details)_Q407 plan detail for computation details" xfId="576" xr:uid="{00000000-0005-0000-0000-00009D010000}"/>
    <cellStyle name="_AP_Weekly_Q206 DPFR Template_India(plan details)_TH Q107 DPFR Computation_template" xfId="577" xr:uid="{00000000-0005-0000-0000-00009E010000}"/>
    <cellStyle name="_AP_Weekly_Q206 DPFR Template_India(plan details)_수정본 KR Q407 DPFR_draft v._071122( NMFT HD update)" xfId="578" xr:uid="{00000000-0005-0000-0000-00009F010000}"/>
    <cellStyle name="_AP_Weekly_Q206 DPFR Template_Malaysia_2006-02-23 (2)_12068" xfId="579" xr:uid="{00000000-0005-0000-0000-0000A0010000}"/>
    <cellStyle name="_AP_Weekly_Q206 DPFR Template_Malaysia_2006-02-23 (2)_12068_computation  File - KR Q406 DPFR(24th Nov)" xfId="580" xr:uid="{00000000-0005-0000-0000-0000A1010000}"/>
    <cellStyle name="_AP_Weekly_Q206 DPFR Template_Malaysia_2006-02-23 (2)_12068_computation File - KR Q207 DPFR--(1st version draft 0522 update )" xfId="581" xr:uid="{00000000-0005-0000-0000-0000A2010000}"/>
    <cellStyle name="_AP_Weekly_Q206 DPFR Template_Malaysia_2006-02-23 (2)_12068_computation File - KR Q307 DPFR(final version)" xfId="582" xr:uid="{00000000-0005-0000-0000-0000A3010000}"/>
    <cellStyle name="_AP_Weekly_Q206 DPFR Template_Malaysia_2006-02-23 (2)_12068_computation File - KR Q307 DPFR(Leeway 0828)" xfId="583" xr:uid="{00000000-0005-0000-0000-0000A4010000}"/>
    <cellStyle name="_AP_Weekly_Q206 DPFR Template_Malaysia_2006-02-23 (2)_12068_computation File - KR Q307 DPFR(update07-18-07)" xfId="584" xr:uid="{00000000-0005-0000-0000-0000A5010000}"/>
    <cellStyle name="_AP_Weekly_Q206 DPFR Template_Malaysia_2006-02-23 (2)_12068_computation File - KR Q307 DPFR(update07-23-07)" xfId="585" xr:uid="{00000000-0005-0000-0000-0000A6010000}"/>
    <cellStyle name="_AP_Weekly_Q206 DPFR Template_Malaysia_2006-02-23 (2)_12068_computation Practice(10thMay) - KR Q207 DPFR-  " xfId="586" xr:uid="{00000000-0005-0000-0000-0000A7010000}"/>
    <cellStyle name="_AP_Weekly_Q206 DPFR Template_Malaysia_2006-02-23 (2)_12068_computationFile - KR Q107 DPFR" xfId="587" xr:uid="{00000000-0005-0000-0000-0000A8010000}"/>
    <cellStyle name="_AP_Weekly_Q206 DPFR Template_Malaysia_2006-02-23 (2)_12068_ID Q107 DPFR Computation (5Mar07)" xfId="588" xr:uid="{00000000-0005-0000-0000-0000A9010000}"/>
    <cellStyle name="_AP_Weekly_Q206 DPFR Template_Malaysia_2006-02-23 (2)_12068_ID Q207 DPFR Computation_template" xfId="589" xr:uid="{00000000-0005-0000-0000-0000AA010000}"/>
    <cellStyle name="_AP_Weekly_Q206 DPFR Template_Malaysia_2006-02-23 (2)_12068_IN Q207 DPFR Computation_template" xfId="590" xr:uid="{00000000-0005-0000-0000-0000AB010000}"/>
    <cellStyle name="_AP_Weekly_Q206 DPFR Template_Malaysia_2006-02-23 (2)_12068_IN Q406 DPFR Computation (13nov06)" xfId="591" xr:uid="{00000000-0005-0000-0000-0000AC010000}"/>
    <cellStyle name="_AP_Weekly_Q206 DPFR Template_Malaysia_2006-02-23 (2)_12068_IN Q406 DPFR Computation (24nov06)" xfId="592" xr:uid="{00000000-0005-0000-0000-0000AD010000}"/>
    <cellStyle name="_AP_Weekly_Q206 DPFR Template_Malaysia_2006-02-23 (2)_12068_IN Q406 DPFR-R Computation (01dec06)" xfId="593" xr:uid="{00000000-0005-0000-0000-0000AE010000}"/>
    <cellStyle name="_AP_Weekly_Q206 DPFR Template_Malaysia_2006-02-23 (2)_12068_Input File - AEC Q207 DPFR" xfId="594" xr:uid="{00000000-0005-0000-0000-0000AF010000}"/>
    <cellStyle name="_AP_Weekly_Q206 DPFR Template_Malaysia_2006-02-23 (2)_12068_Input File - ID Q107 DPFR_Ver3" xfId="595" xr:uid="{00000000-0005-0000-0000-0000B0010000}"/>
    <cellStyle name="_AP_Weekly_Q206 DPFR Template_Malaysia_2006-02-23 (2)_12068_Input File - ID Q207 DPFR_Final-5-3-2007" xfId="596" xr:uid="{00000000-0005-0000-0000-0000B1010000}"/>
    <cellStyle name="_AP_Weekly_Q206 DPFR Template_Malaysia_2006-02-23 (2)_12068_Input File - IN Q107 DPFR" xfId="597" xr:uid="{00000000-0005-0000-0000-0000B2010000}"/>
    <cellStyle name="_AP_Weekly_Q206 DPFR Template_Malaysia_2006-02-23 (2)_12068_Input File - KR Q107 DPFR" xfId="598" xr:uid="{00000000-0005-0000-0000-0000B3010000}"/>
    <cellStyle name="_AP_Weekly_Q206 DPFR Template_Malaysia_2006-02-23 (2)_12068_Input File - KR Q107 DPFR(1128-PBM)" xfId="599" xr:uid="{00000000-0005-0000-0000-0000B4010000}"/>
    <cellStyle name="_AP_Weekly_Q206 DPFR Template_Malaysia_2006-02-23 (2)_12068_Input File - KR Q107 DPFR(23th Nov) 001" xfId="600" xr:uid="{00000000-0005-0000-0000-0000B5010000}"/>
    <cellStyle name="_AP_Weekly_Q206 DPFR Template_Malaysia_2006-02-23 (2)_12068_Input File - KR Q207 DPFR" xfId="601" xr:uid="{00000000-0005-0000-0000-0000B6010000}"/>
    <cellStyle name="_AP_Weekly_Q206 DPFR Template_Malaysia_2006-02-23 (2)_12068_Input File - KR Q207 DPFR(0205-AP)" xfId="602" xr:uid="{00000000-0005-0000-0000-0000B7010000}"/>
    <cellStyle name="_AP_Weekly_Q206 DPFR Template_Malaysia_2006-02-23 (2)_12068_Input File - KR Q307 DPFR(update05-23-07)" xfId="603" xr:uid="{00000000-0005-0000-0000-0000B8010000}"/>
    <cellStyle name="_AP_Weekly_Q206 DPFR Template_Malaysia_2006-02-23 (2)_12068_Input File - KR Q406 DPFR(AP)_0807" xfId="604" xr:uid="{00000000-0005-0000-0000-0000B9010000}"/>
    <cellStyle name="_AP_Weekly_Q206 DPFR Template_Malaysia_2006-02-23 (2)_12068_Input File - SG Q107 DPFR" xfId="605" xr:uid="{00000000-0005-0000-0000-0000BA010000}"/>
    <cellStyle name="_AP_Weekly_Q206 DPFR Template_Malaysia_2006-02-23 (2)_12068_KR Q108 inputfile_DPFR_071203" xfId="606" xr:uid="{00000000-0005-0000-0000-0000BB010000}"/>
    <cellStyle name="_AP_Weekly_Q206 DPFR Template_Malaysia_2006-02-23 (2)_12068_KR Q306 DPFR (Aug24thLeeway)" xfId="607" xr:uid="{00000000-0005-0000-0000-0000BC010000}"/>
    <cellStyle name="_AP_Weekly_Q206 DPFR Template_Malaysia_2006-02-23 (2)_12068_KR Q306 DPFR 001fina-leewayl (2)" xfId="608" xr:uid="{00000000-0005-0000-0000-0000BD010000}"/>
    <cellStyle name="_AP_Weekly_Q206 DPFR Template_Malaysia_2006-02-23 (2)_12068_KR Q407 DPFR_final_071030" xfId="609" xr:uid="{00000000-0005-0000-0000-0000BE010000}"/>
    <cellStyle name="_AP_Weekly_Q206 DPFR Template_Malaysia_2006-02-23 (2)_12068_KR Q407 DPFR_final_071106" xfId="610" xr:uid="{00000000-0005-0000-0000-0000BF010000}"/>
    <cellStyle name="_AP_Weekly_Q206 DPFR Template_Malaysia_2006-02-23 (2)_12068_KR Q407 DPFR_template_070802(updated)" xfId="611" xr:uid="{00000000-0005-0000-0000-0000C0010000}"/>
    <cellStyle name="_AP_Weekly_Q206 DPFR Template_Malaysia_2006-02-23 (2)_12068_Leeway-computation File - KR Q207 DPFR--(0523 update )" xfId="612" xr:uid="{00000000-0005-0000-0000-0000C1010000}"/>
    <cellStyle name="_AP_Weekly_Q206 DPFR Template_Malaysia_2006-02-23 (2)_12068_NMFT HD계산 법" xfId="613" xr:uid="{00000000-0005-0000-0000-0000C2010000}"/>
    <cellStyle name="_AP_Weekly_Q206 DPFR Template_Malaysia_2006-02-23 (2)_12068_nMFT 계산 (DPFR HD)_exclude RM (3)" xfId="614" xr:uid="{00000000-0005-0000-0000-0000C3010000}"/>
    <cellStyle name="_AP_Weekly_Q206 DPFR Template_Malaysia_2006-02-23 (2)_12068_Q107 제외 7개사" xfId="615" xr:uid="{00000000-0005-0000-0000-0000C4010000}"/>
    <cellStyle name="_AP_Weekly_Q206 DPFR Template_Malaysia_2006-02-23 (2)_12068_Q207 DPFR-021(Korea)" xfId="616" xr:uid="{00000000-0005-0000-0000-0000C5010000}"/>
    <cellStyle name="_AP_Weekly_Q206 DPFR Template_Malaysia_2006-02-23 (2)_12068_Q407 plan detail for computation details" xfId="617" xr:uid="{00000000-0005-0000-0000-0000C6010000}"/>
    <cellStyle name="_AP_Weekly_Q206 DPFR Template_Malaysia_2006-02-23 (2)_12068_SG Q206 DPFR Computation (24may06)" xfId="618" xr:uid="{00000000-0005-0000-0000-0000C7010000}"/>
    <cellStyle name="_AP_Weekly_Q206 DPFR Template_Malaysia_2006-02-23 (2)_12068_SG Q306 DPFR Computation (08sept06)" xfId="619" xr:uid="{00000000-0005-0000-0000-0000C8010000}"/>
    <cellStyle name="_AP_Weekly_Q206 DPFR Template_Malaysia_2006-02-23 (2)_12068_SG Q406 DPFR Computation (20nov06)" xfId="620" xr:uid="{00000000-0005-0000-0000-0000C9010000}"/>
    <cellStyle name="_AP_Weekly_Q206 DPFR Template_Malaysia_2006-02-23 (2)_12068_TH Q107 DPFR Computation_template" xfId="621" xr:uid="{00000000-0005-0000-0000-0000CA010000}"/>
    <cellStyle name="_AP_Weekly_Q206 DPFR Template_Malaysia_2006-02-23 (2)_12068_수정본 KR Q407 DPFR_draft v._071122( NMFT HD update)" xfId="622" xr:uid="{00000000-0005-0000-0000-0000CB010000}"/>
    <cellStyle name="_AP_Weekly_Q206 DPFR Template_Singapore (8 Mar 06)" xfId="623" xr:uid="{00000000-0005-0000-0000-0000CC010000}"/>
    <cellStyle name="_AP_Weekly_Q206 DPFR Template_Singapore (8 Mar 06)_computation  File - KR Q406 DPFR(24th Nov)" xfId="624" xr:uid="{00000000-0005-0000-0000-0000CD010000}"/>
    <cellStyle name="_AP_Weekly_Q206 DPFR Template_Singapore (8 Mar 06)_computation File - KR Q207 DPFR--(1st version draft 0522 update )" xfId="625" xr:uid="{00000000-0005-0000-0000-0000CE010000}"/>
    <cellStyle name="_AP_Weekly_Q206 DPFR Template_Singapore (8 Mar 06)_computation File - KR Q307 DPFR(final version)" xfId="626" xr:uid="{00000000-0005-0000-0000-0000CF010000}"/>
    <cellStyle name="_AP_Weekly_Q206 DPFR Template_Singapore (8 Mar 06)_computation File - KR Q307 DPFR(Leeway 0828)" xfId="627" xr:uid="{00000000-0005-0000-0000-0000D0010000}"/>
    <cellStyle name="_AP_Weekly_Q206 DPFR Template_Singapore (8 Mar 06)_computation File - KR Q307 DPFR(update07-18-07)" xfId="628" xr:uid="{00000000-0005-0000-0000-0000D1010000}"/>
    <cellStyle name="_AP_Weekly_Q206 DPFR Template_Singapore (8 Mar 06)_computation File - KR Q307 DPFR(update07-23-07)" xfId="629" xr:uid="{00000000-0005-0000-0000-0000D2010000}"/>
    <cellStyle name="_AP_Weekly_Q206 DPFR Template_Singapore (8 Mar 06)_computation Practice(10thMay) - KR Q207 DPFR-  " xfId="630" xr:uid="{00000000-0005-0000-0000-0000D3010000}"/>
    <cellStyle name="_AP_Weekly_Q206 DPFR Template_Singapore (8 Mar 06)_computationFile - KR Q107 DPFR" xfId="631" xr:uid="{00000000-0005-0000-0000-0000D4010000}"/>
    <cellStyle name="_AP_Weekly_Q206 DPFR Template_Singapore (8 Mar 06)_ID Q107 DPFR Computation (5Mar07)" xfId="632" xr:uid="{00000000-0005-0000-0000-0000D5010000}"/>
    <cellStyle name="_AP_Weekly_Q206 DPFR Template_Singapore (8 Mar 06)_ID Q207 DPFR Computation_template" xfId="633" xr:uid="{00000000-0005-0000-0000-0000D6010000}"/>
    <cellStyle name="_AP_Weekly_Q206 DPFR Template_Singapore (8 Mar 06)_IN Q207 DPFR Computation_template" xfId="634" xr:uid="{00000000-0005-0000-0000-0000D7010000}"/>
    <cellStyle name="_AP_Weekly_Q206 DPFR Template_Singapore (8 Mar 06)_IN Q406 DPFR Computation (13nov06)" xfId="635" xr:uid="{00000000-0005-0000-0000-0000D8010000}"/>
    <cellStyle name="_AP_Weekly_Q206 DPFR Template_Singapore (8 Mar 06)_IN Q406 DPFR Computation (24nov06)" xfId="636" xr:uid="{00000000-0005-0000-0000-0000D9010000}"/>
    <cellStyle name="_AP_Weekly_Q206 DPFR Template_Singapore (8 Mar 06)_IN Q406 DPFR-R Computation (01dec06)" xfId="637" xr:uid="{00000000-0005-0000-0000-0000DA010000}"/>
    <cellStyle name="_AP_Weekly_Q206 DPFR Template_Singapore (8 Mar 06)_Input File - AEC Q207 DPFR" xfId="638" xr:uid="{00000000-0005-0000-0000-0000DB010000}"/>
    <cellStyle name="_AP_Weekly_Q206 DPFR Template_Singapore (8 Mar 06)_Input File - ID Q107 DPFR_Ver3" xfId="639" xr:uid="{00000000-0005-0000-0000-0000DC010000}"/>
    <cellStyle name="_AP_Weekly_Q206 DPFR Template_Singapore (8 Mar 06)_Input File - ID Q207 DPFR_Final-5-3-2007" xfId="640" xr:uid="{00000000-0005-0000-0000-0000DD010000}"/>
    <cellStyle name="_AP_Weekly_Q206 DPFR Template_Singapore (8 Mar 06)_Input File - IN Q107 DPFR" xfId="641" xr:uid="{00000000-0005-0000-0000-0000DE010000}"/>
    <cellStyle name="_AP_Weekly_Q206 DPFR Template_Singapore (8 Mar 06)_Input File - KR Q107 DPFR" xfId="642" xr:uid="{00000000-0005-0000-0000-0000DF010000}"/>
    <cellStyle name="_AP_Weekly_Q206 DPFR Template_Singapore (8 Mar 06)_Input File - KR Q107 DPFR(1128-PBM)" xfId="643" xr:uid="{00000000-0005-0000-0000-0000E0010000}"/>
    <cellStyle name="_AP_Weekly_Q206 DPFR Template_Singapore (8 Mar 06)_Input File - KR Q107 DPFR(23th Nov) 001" xfId="644" xr:uid="{00000000-0005-0000-0000-0000E1010000}"/>
    <cellStyle name="_AP_Weekly_Q206 DPFR Template_Singapore (8 Mar 06)_Input File - KR Q207 DPFR" xfId="645" xr:uid="{00000000-0005-0000-0000-0000E2010000}"/>
    <cellStyle name="_AP_Weekly_Q206 DPFR Template_Singapore (8 Mar 06)_Input File - KR Q207 DPFR(0205-AP)" xfId="646" xr:uid="{00000000-0005-0000-0000-0000E3010000}"/>
    <cellStyle name="_AP_Weekly_Q206 DPFR Template_Singapore (8 Mar 06)_Input File - KR Q307 DPFR(update05-23-07)" xfId="647" xr:uid="{00000000-0005-0000-0000-0000E4010000}"/>
    <cellStyle name="_AP_Weekly_Q206 DPFR Template_Singapore (8 Mar 06)_Input File - KR Q406 DPFR(AP)_0807" xfId="648" xr:uid="{00000000-0005-0000-0000-0000E5010000}"/>
    <cellStyle name="_AP_Weekly_Q206 DPFR Template_Singapore (8 Mar 06)_Input File - SG Q107 DPFR" xfId="649" xr:uid="{00000000-0005-0000-0000-0000E6010000}"/>
    <cellStyle name="_AP_Weekly_Q206 DPFR Template_Singapore (8 Mar 06)_KR Q108 inputfile_DPFR_071203" xfId="650" xr:uid="{00000000-0005-0000-0000-0000E7010000}"/>
    <cellStyle name="_AP_Weekly_Q206 DPFR Template_Singapore (8 Mar 06)_KR Q306 DPFR (Aug24thLeeway)" xfId="651" xr:uid="{00000000-0005-0000-0000-0000E8010000}"/>
    <cellStyle name="_AP_Weekly_Q206 DPFR Template_Singapore (8 Mar 06)_KR Q306 DPFR 001fina-leewayl (2)" xfId="652" xr:uid="{00000000-0005-0000-0000-0000E9010000}"/>
    <cellStyle name="_AP_Weekly_Q206 DPFR Template_Singapore (8 Mar 06)_KR Q407 DPFR_final_071030" xfId="653" xr:uid="{00000000-0005-0000-0000-0000EA010000}"/>
    <cellStyle name="_AP_Weekly_Q206 DPFR Template_Singapore (8 Mar 06)_KR Q407 DPFR_final_071106" xfId="654" xr:uid="{00000000-0005-0000-0000-0000EB010000}"/>
    <cellStyle name="_AP_Weekly_Q206 DPFR Template_Singapore (8 Mar 06)_KR Q407 DPFR_template_070802(updated)" xfId="655" xr:uid="{00000000-0005-0000-0000-0000EC010000}"/>
    <cellStyle name="_AP_Weekly_Q206 DPFR Template_Singapore (8 Mar 06)_Leeway-computation File - KR Q207 DPFR--(0523 update )" xfId="656" xr:uid="{00000000-0005-0000-0000-0000ED010000}"/>
    <cellStyle name="_AP_Weekly_Q206 DPFR Template_Singapore (8 Mar 06)_NMFT HD계산 법" xfId="657" xr:uid="{00000000-0005-0000-0000-0000EE010000}"/>
    <cellStyle name="_AP_Weekly_Q206 DPFR Template_Singapore (8 Mar 06)_nMFT 계산 (DPFR HD)_exclude RM (3)" xfId="658" xr:uid="{00000000-0005-0000-0000-0000EF010000}"/>
    <cellStyle name="_AP_Weekly_Q206 DPFR Template_Singapore (8 Mar 06)_Q107 제외 7개사" xfId="659" xr:uid="{00000000-0005-0000-0000-0000F0010000}"/>
    <cellStyle name="_AP_Weekly_Q206 DPFR Template_Singapore (8 Mar 06)_Q207 DPFR-021(Korea)" xfId="660" xr:uid="{00000000-0005-0000-0000-0000F1010000}"/>
    <cellStyle name="_AP_Weekly_Q206 DPFR Template_Singapore (8 Mar 06)_Q407 plan detail for computation details" xfId="661" xr:uid="{00000000-0005-0000-0000-0000F2010000}"/>
    <cellStyle name="_AP_Weekly_Q206 DPFR Template_Singapore (8 Mar 06)_SG Q206 DPFR Computation (24may06)" xfId="662" xr:uid="{00000000-0005-0000-0000-0000F3010000}"/>
    <cellStyle name="_AP_Weekly_Q206 DPFR Template_Singapore (8 Mar 06)_SG Q406 DPFR Computation (20nov06)" xfId="663" xr:uid="{00000000-0005-0000-0000-0000F4010000}"/>
    <cellStyle name="_AP_Weekly_Q206 DPFR Template_Singapore (8 Mar 06)_TH Q107 DPFR Computation_template" xfId="664" xr:uid="{00000000-0005-0000-0000-0000F5010000}"/>
    <cellStyle name="_AP_Weekly_Q206 DPFR Template_Singapore (8 Mar 06)_수정본 KR Q407 DPFR_draft v._071122( NMFT HD update)" xfId="665" xr:uid="{00000000-0005-0000-0000-0000F6010000}"/>
    <cellStyle name="_AP_Weekly_SG Q106 DPFR Computation (13feb06)" xfId="666" xr:uid="{00000000-0005-0000-0000-0000F7010000}"/>
    <cellStyle name="_AP_Weekly_SG Q106 DPFR Computation (13feb06)_SG Q206 DPFR Computation (24may06)" xfId="667" xr:uid="{00000000-0005-0000-0000-0000F8010000}"/>
    <cellStyle name="_Ap1x_SGVN-2002_04-Tracy" xfId="668" xr:uid="{00000000-0005-0000-0000-0000F9010000}"/>
    <cellStyle name="_Ap1x_SGVN-2002_04-Tracy_computation  File - KR Q406 DPFR(24th Nov)" xfId="669" xr:uid="{00000000-0005-0000-0000-0000FA010000}"/>
    <cellStyle name="_Ap1x_SGVN-2002_04-Tracy_computation File - KR Q207 DPFR--(1st version draft 0522 update )" xfId="670" xr:uid="{00000000-0005-0000-0000-0000FB010000}"/>
    <cellStyle name="_Ap1x_SGVN-2002_04-Tracy_computation File - KR Q307 DPFR(final version)" xfId="671" xr:uid="{00000000-0005-0000-0000-0000FC010000}"/>
    <cellStyle name="_Ap1x_SGVN-2002_04-Tracy_computation File - KR Q307 DPFR(Leeway 0828)" xfId="672" xr:uid="{00000000-0005-0000-0000-0000FD010000}"/>
    <cellStyle name="_Ap1x_SGVN-2002_04-Tracy_computation File - KR Q307 DPFR(update07-18-07)" xfId="673" xr:uid="{00000000-0005-0000-0000-0000FE010000}"/>
    <cellStyle name="_Ap1x_SGVN-2002_04-Tracy_computation File - KR Q307 DPFR(update07-23-07)" xfId="674" xr:uid="{00000000-0005-0000-0000-0000FF010000}"/>
    <cellStyle name="_Ap1x_SGVN-2002_04-Tracy_computation Practice(10thMay) - KR Q207 DPFR-  " xfId="675" xr:uid="{00000000-0005-0000-0000-000000020000}"/>
    <cellStyle name="_Ap1x_SGVN-2002_04-Tracy_computationFile - KR Q107 DPFR" xfId="676" xr:uid="{00000000-0005-0000-0000-000001020000}"/>
    <cellStyle name="_Ap1x_SGVN-2002_04-Tracy_FY05 1H CS Quota Deployment Exercise" xfId="677" xr:uid="{00000000-0005-0000-0000-000002020000}"/>
    <cellStyle name="_Ap1x_SGVN-2002_04-Tracy_ID Q107 DPFR Computation (5Mar07)" xfId="678" xr:uid="{00000000-0005-0000-0000-000003020000}"/>
    <cellStyle name="_Ap1x_SGVN-2002_04-Tracy_ID Q207 DPFR Computation_template" xfId="679" xr:uid="{00000000-0005-0000-0000-000004020000}"/>
    <cellStyle name="_Ap1x_SGVN-2002_04-Tracy_IN Q106 DPFR Computation (2mar06)" xfId="680" xr:uid="{00000000-0005-0000-0000-000005020000}"/>
    <cellStyle name="_Ap1x_SGVN-2002_04-Tracy_IN Q206 DPFR Computation (6jun06)" xfId="681" xr:uid="{00000000-0005-0000-0000-000006020000}"/>
    <cellStyle name="_Ap1x_SGVN-2002_04-Tracy_IN Q207 DPFR Computation_template" xfId="682" xr:uid="{00000000-0005-0000-0000-000007020000}"/>
    <cellStyle name="_Ap1x_SGVN-2002_04-Tracy_IN Q406 DPFR Computation (13nov06)" xfId="683" xr:uid="{00000000-0005-0000-0000-000008020000}"/>
    <cellStyle name="_Ap1x_SGVN-2002_04-Tracy_IN Q406 DPFR Computation (24nov06)" xfId="684" xr:uid="{00000000-0005-0000-0000-000009020000}"/>
    <cellStyle name="_Ap1x_SGVN-2002_04-Tracy_IN Q406 DPFR-R Computation (01dec06)" xfId="685" xr:uid="{00000000-0005-0000-0000-00000A020000}"/>
    <cellStyle name="_Ap1x_SGVN-2002_04-Tracy_Input File - AEC Q207 DPFR" xfId="686" xr:uid="{00000000-0005-0000-0000-00000B020000}"/>
    <cellStyle name="_Ap1x_SGVN-2002_04-Tracy_Input File - ID Q107 DPFR_Ver3" xfId="687" xr:uid="{00000000-0005-0000-0000-00000C020000}"/>
    <cellStyle name="_Ap1x_SGVN-2002_04-Tracy_Input File - ID Q207 DPFR_Final-5-3-2007" xfId="688" xr:uid="{00000000-0005-0000-0000-00000D020000}"/>
    <cellStyle name="_Ap1x_SGVN-2002_04-Tracy_Input File - IN Q107 DPFR" xfId="689" xr:uid="{00000000-0005-0000-0000-00000E020000}"/>
    <cellStyle name="_Ap1x_SGVN-2002_04-Tracy_Input File - KR Q107 DPFR" xfId="690" xr:uid="{00000000-0005-0000-0000-00000F020000}"/>
    <cellStyle name="_Ap1x_SGVN-2002_04-Tracy_Input File - KR Q107 DPFR(1128-PBM)" xfId="691" xr:uid="{00000000-0005-0000-0000-000010020000}"/>
    <cellStyle name="_Ap1x_SGVN-2002_04-Tracy_Input File - KR Q107 DPFR(23th Nov) 001" xfId="692" xr:uid="{00000000-0005-0000-0000-000011020000}"/>
    <cellStyle name="_Ap1x_SGVN-2002_04-Tracy_Input File - KR Q207 DPFR" xfId="693" xr:uid="{00000000-0005-0000-0000-000012020000}"/>
    <cellStyle name="_Ap1x_SGVN-2002_04-Tracy_Input File - KR Q207 DPFR(0205-AP)" xfId="694" xr:uid="{00000000-0005-0000-0000-000013020000}"/>
    <cellStyle name="_Ap1x_SGVN-2002_04-Tracy_Input File - KR Q307 DPFR(update05-23-07)" xfId="695" xr:uid="{00000000-0005-0000-0000-000014020000}"/>
    <cellStyle name="_Ap1x_SGVN-2002_04-Tracy_Input File - KR Q406 DPFR(AP)_0807" xfId="696" xr:uid="{00000000-0005-0000-0000-000015020000}"/>
    <cellStyle name="_Ap1x_SGVN-2002_04-Tracy_Input File - SG Q107 DPFR" xfId="697" xr:uid="{00000000-0005-0000-0000-000016020000}"/>
    <cellStyle name="_Ap1x_SGVN-2002_04-Tracy_KR Q108 inputfile_DPFR_071203" xfId="698" xr:uid="{00000000-0005-0000-0000-000017020000}"/>
    <cellStyle name="_Ap1x_SGVN-2002_04-Tracy_KR Q306 DPFR (Aug24thLeeway)" xfId="699" xr:uid="{00000000-0005-0000-0000-000018020000}"/>
    <cellStyle name="_Ap1x_SGVN-2002_04-Tracy_KR Q306 DPFR 001fina-leewayl (2)" xfId="700" xr:uid="{00000000-0005-0000-0000-000019020000}"/>
    <cellStyle name="_Ap1x_SGVN-2002_04-Tracy_KR Q407 DPFR_final_071030" xfId="701" xr:uid="{00000000-0005-0000-0000-00001A020000}"/>
    <cellStyle name="_Ap1x_SGVN-2002_04-Tracy_KR Q407 DPFR_final_071106" xfId="702" xr:uid="{00000000-0005-0000-0000-00001B020000}"/>
    <cellStyle name="_Ap1x_SGVN-2002_04-Tracy_KR Q407 DPFR_template_070802(updated)" xfId="703" xr:uid="{00000000-0005-0000-0000-00001C020000}"/>
    <cellStyle name="_Ap1x_SGVN-2002_04-Tracy_Leeway-computation File - KR Q207 DPFR--(0523 update )" xfId="704" xr:uid="{00000000-0005-0000-0000-00001D020000}"/>
    <cellStyle name="_Ap1x_SGVN-2002_04-Tracy_NMFT HD계산 법" xfId="705" xr:uid="{00000000-0005-0000-0000-00001E020000}"/>
    <cellStyle name="_Ap1x_SGVN-2002_04-Tracy_nMFT 계산 (DPFR HD)_exclude RM (3)" xfId="706" xr:uid="{00000000-0005-0000-0000-00001F020000}"/>
    <cellStyle name="_Ap1x_SGVN-2002_04-Tracy_Q107 제외 7개사" xfId="707" xr:uid="{00000000-0005-0000-0000-000020020000}"/>
    <cellStyle name="_Ap1x_SGVN-2002_04-Tracy_Q206 DPFR Template_India(plan details)" xfId="708" xr:uid="{00000000-0005-0000-0000-000021020000}"/>
    <cellStyle name="_Ap1x_SGVN-2002_04-Tracy_Q206 DPFR Template_India(plan details)_computation  File - KR Q406 DPFR(24th Nov)" xfId="709" xr:uid="{00000000-0005-0000-0000-000022020000}"/>
    <cellStyle name="_Ap1x_SGVN-2002_04-Tracy_Q206 DPFR Template_India(plan details)_computation File - KR Q207 DPFR--(1st version draft 0522 update )" xfId="710" xr:uid="{00000000-0005-0000-0000-000023020000}"/>
    <cellStyle name="_Ap1x_SGVN-2002_04-Tracy_Q206 DPFR Template_India(plan details)_computation File - KR Q307 DPFR(final version)" xfId="711" xr:uid="{00000000-0005-0000-0000-000024020000}"/>
    <cellStyle name="_Ap1x_SGVN-2002_04-Tracy_Q206 DPFR Template_India(plan details)_computation File - KR Q307 DPFR(Leeway 0828)" xfId="712" xr:uid="{00000000-0005-0000-0000-000025020000}"/>
    <cellStyle name="_Ap1x_SGVN-2002_04-Tracy_Q206 DPFR Template_India(plan details)_computation File - KR Q307 DPFR(update07-18-07)" xfId="713" xr:uid="{00000000-0005-0000-0000-000026020000}"/>
    <cellStyle name="_Ap1x_SGVN-2002_04-Tracy_Q206 DPFR Template_India(plan details)_computation File - KR Q307 DPFR(update07-23-07)" xfId="714" xr:uid="{00000000-0005-0000-0000-000027020000}"/>
    <cellStyle name="_Ap1x_SGVN-2002_04-Tracy_Q206 DPFR Template_India(plan details)_computation Practice(10thMay) - KR Q207 DPFR-  " xfId="715" xr:uid="{00000000-0005-0000-0000-000028020000}"/>
    <cellStyle name="_Ap1x_SGVN-2002_04-Tracy_Q206 DPFR Template_India(plan details)_computationFile - KR Q107 DPFR" xfId="716" xr:uid="{00000000-0005-0000-0000-000029020000}"/>
    <cellStyle name="_Ap1x_SGVN-2002_04-Tracy_Q206 DPFR Template_India(plan details)_ID Q107 DPFR Computation (5Mar07)" xfId="717" xr:uid="{00000000-0005-0000-0000-00002A020000}"/>
    <cellStyle name="_Ap1x_SGVN-2002_04-Tracy_Q206 DPFR Template_India(plan details)_ID Q207 DPFR Computation_template" xfId="718" xr:uid="{00000000-0005-0000-0000-00002B020000}"/>
    <cellStyle name="_Ap1x_SGVN-2002_04-Tracy_Q206 DPFR Template_India(plan details)_IN Q207 DPFR Computation_template" xfId="719" xr:uid="{00000000-0005-0000-0000-00002C020000}"/>
    <cellStyle name="_Ap1x_SGVN-2002_04-Tracy_Q206 DPFR Template_India(plan details)_Input File - AEC Q207 DPFR" xfId="720" xr:uid="{00000000-0005-0000-0000-00002D020000}"/>
    <cellStyle name="_Ap1x_SGVN-2002_04-Tracy_Q206 DPFR Template_India(plan details)_Input File - ID Q107 DPFR_Ver3" xfId="721" xr:uid="{00000000-0005-0000-0000-00002E020000}"/>
    <cellStyle name="_Ap1x_SGVN-2002_04-Tracy_Q206 DPFR Template_India(plan details)_Input File - ID Q207 DPFR_Final-5-3-2007" xfId="722" xr:uid="{00000000-0005-0000-0000-00002F020000}"/>
    <cellStyle name="_Ap1x_SGVN-2002_04-Tracy_Q206 DPFR Template_India(plan details)_Input File - IN Q107 DPFR" xfId="723" xr:uid="{00000000-0005-0000-0000-000030020000}"/>
    <cellStyle name="_Ap1x_SGVN-2002_04-Tracy_Q206 DPFR Template_India(plan details)_Input File - KR Q107 DPFR" xfId="724" xr:uid="{00000000-0005-0000-0000-000031020000}"/>
    <cellStyle name="_Ap1x_SGVN-2002_04-Tracy_Q206 DPFR Template_India(plan details)_Input File - KR Q107 DPFR(1128-PBM)" xfId="725" xr:uid="{00000000-0005-0000-0000-000032020000}"/>
    <cellStyle name="_Ap1x_SGVN-2002_04-Tracy_Q206 DPFR Template_India(plan details)_Input File - KR Q107 DPFR(23th Nov) 001" xfId="726" xr:uid="{00000000-0005-0000-0000-000033020000}"/>
    <cellStyle name="_Ap1x_SGVN-2002_04-Tracy_Q206 DPFR Template_India(plan details)_Input File - KR Q207 DPFR" xfId="727" xr:uid="{00000000-0005-0000-0000-000034020000}"/>
    <cellStyle name="_Ap1x_SGVN-2002_04-Tracy_Q206 DPFR Template_India(plan details)_Input File - KR Q207 DPFR(0205-AP)" xfId="728" xr:uid="{00000000-0005-0000-0000-000035020000}"/>
    <cellStyle name="_Ap1x_SGVN-2002_04-Tracy_Q206 DPFR Template_India(plan details)_Input File - KR Q307 DPFR(update05-23-07)" xfId="729" xr:uid="{00000000-0005-0000-0000-000036020000}"/>
    <cellStyle name="_Ap1x_SGVN-2002_04-Tracy_Q206 DPFR Template_India(plan details)_Input File - KR Q406 DPFR(AP)_0807" xfId="730" xr:uid="{00000000-0005-0000-0000-000037020000}"/>
    <cellStyle name="_Ap1x_SGVN-2002_04-Tracy_Q206 DPFR Template_India(plan details)_Input File - SG Q107 DPFR" xfId="731" xr:uid="{00000000-0005-0000-0000-000038020000}"/>
    <cellStyle name="_Ap1x_SGVN-2002_04-Tracy_Q206 DPFR Template_India(plan details)_KR Q108 inputfile_DPFR_071203" xfId="732" xr:uid="{00000000-0005-0000-0000-000039020000}"/>
    <cellStyle name="_Ap1x_SGVN-2002_04-Tracy_Q206 DPFR Template_India(plan details)_KR Q306 DPFR (Aug24thLeeway)" xfId="733" xr:uid="{00000000-0005-0000-0000-00003A020000}"/>
    <cellStyle name="_Ap1x_SGVN-2002_04-Tracy_Q206 DPFR Template_India(plan details)_KR Q306 DPFR 001fina-leewayl (2)" xfId="734" xr:uid="{00000000-0005-0000-0000-00003B020000}"/>
    <cellStyle name="_Ap1x_SGVN-2002_04-Tracy_Q206 DPFR Template_India(plan details)_KR Q407 DPFR_final_071030" xfId="735" xr:uid="{00000000-0005-0000-0000-00003C020000}"/>
    <cellStyle name="_Ap1x_SGVN-2002_04-Tracy_Q206 DPFR Template_India(plan details)_KR Q407 DPFR_final_071106" xfId="736" xr:uid="{00000000-0005-0000-0000-00003D020000}"/>
    <cellStyle name="_Ap1x_SGVN-2002_04-Tracy_Q206 DPFR Template_India(plan details)_KR Q407 DPFR_template_070802(updated)" xfId="737" xr:uid="{00000000-0005-0000-0000-00003E020000}"/>
    <cellStyle name="_Ap1x_SGVN-2002_04-Tracy_Q206 DPFR Template_India(plan details)_Leeway-computation File - KR Q207 DPFR--(0523 update )" xfId="738" xr:uid="{00000000-0005-0000-0000-00003F020000}"/>
    <cellStyle name="_Ap1x_SGVN-2002_04-Tracy_Q206 DPFR Template_India(plan details)_NMFT HD계산 법" xfId="739" xr:uid="{00000000-0005-0000-0000-000040020000}"/>
    <cellStyle name="_Ap1x_SGVN-2002_04-Tracy_Q206 DPFR Template_India(plan details)_nMFT 계산 (DPFR HD)_exclude RM (3)" xfId="740" xr:uid="{00000000-0005-0000-0000-000041020000}"/>
    <cellStyle name="_Ap1x_SGVN-2002_04-Tracy_Q206 DPFR Template_India(plan details)_Q107 제외 7개사" xfId="741" xr:uid="{00000000-0005-0000-0000-000042020000}"/>
    <cellStyle name="_Ap1x_SGVN-2002_04-Tracy_Q206 DPFR Template_India(plan details)_Q207 DPFR-021(Korea)" xfId="742" xr:uid="{00000000-0005-0000-0000-000043020000}"/>
    <cellStyle name="_Ap1x_SGVN-2002_04-Tracy_Q206 DPFR Template_India(plan details)_Q407 plan detail for computation details" xfId="743" xr:uid="{00000000-0005-0000-0000-000044020000}"/>
    <cellStyle name="_Ap1x_SGVN-2002_04-Tracy_Q206 DPFR Template_India(plan details)_TH Q107 DPFR Computation_template" xfId="744" xr:uid="{00000000-0005-0000-0000-000045020000}"/>
    <cellStyle name="_Ap1x_SGVN-2002_04-Tracy_Q206 DPFR Template_India(plan details)_수정본 KR Q407 DPFR_draft v._071122( NMFT HD update)" xfId="745" xr:uid="{00000000-0005-0000-0000-000046020000}"/>
    <cellStyle name="_Ap1x_SGVN-2002_04-Tracy_Q206 DPFR Template_Malaysia_2006-02-23 (2)_12068" xfId="746" xr:uid="{00000000-0005-0000-0000-000047020000}"/>
    <cellStyle name="_Ap1x_SGVN-2002_04-Tracy_Q206 DPFR Template_Malaysia_2006-02-23 (2)_12068_computation  File - KR Q406 DPFR(24th Nov)" xfId="747" xr:uid="{00000000-0005-0000-0000-000048020000}"/>
    <cellStyle name="_Ap1x_SGVN-2002_04-Tracy_Q206 DPFR Template_Malaysia_2006-02-23 (2)_12068_computation File - KR Q207 DPFR--(1st version draft 0522 update )" xfId="748" xr:uid="{00000000-0005-0000-0000-000049020000}"/>
    <cellStyle name="_Ap1x_SGVN-2002_04-Tracy_Q206 DPFR Template_Malaysia_2006-02-23 (2)_12068_computation File - KR Q307 DPFR(final version)" xfId="749" xr:uid="{00000000-0005-0000-0000-00004A020000}"/>
    <cellStyle name="_Ap1x_SGVN-2002_04-Tracy_Q206 DPFR Template_Malaysia_2006-02-23 (2)_12068_computation File - KR Q307 DPFR(Leeway 0828)" xfId="750" xr:uid="{00000000-0005-0000-0000-00004B020000}"/>
    <cellStyle name="_Ap1x_SGVN-2002_04-Tracy_Q206 DPFR Template_Malaysia_2006-02-23 (2)_12068_computation File - KR Q307 DPFR(update07-18-07)" xfId="751" xr:uid="{00000000-0005-0000-0000-00004C020000}"/>
    <cellStyle name="_Ap1x_SGVN-2002_04-Tracy_Q206 DPFR Template_Malaysia_2006-02-23 (2)_12068_computation File - KR Q307 DPFR(update07-23-07)" xfId="752" xr:uid="{00000000-0005-0000-0000-00004D020000}"/>
    <cellStyle name="_Ap1x_SGVN-2002_04-Tracy_Q206 DPFR Template_Malaysia_2006-02-23 (2)_12068_computation Practice(10thMay) - KR Q207 DPFR-  " xfId="753" xr:uid="{00000000-0005-0000-0000-00004E020000}"/>
    <cellStyle name="_Ap1x_SGVN-2002_04-Tracy_Q206 DPFR Template_Malaysia_2006-02-23 (2)_12068_computationFile - KR Q107 DPFR" xfId="754" xr:uid="{00000000-0005-0000-0000-00004F020000}"/>
    <cellStyle name="_Ap1x_SGVN-2002_04-Tracy_Q206 DPFR Template_Malaysia_2006-02-23 (2)_12068_ID Q107 DPFR Computation (5Mar07)" xfId="755" xr:uid="{00000000-0005-0000-0000-000050020000}"/>
    <cellStyle name="_Ap1x_SGVN-2002_04-Tracy_Q206 DPFR Template_Malaysia_2006-02-23 (2)_12068_ID Q207 DPFR Computation_template" xfId="756" xr:uid="{00000000-0005-0000-0000-000051020000}"/>
    <cellStyle name="_Ap1x_SGVN-2002_04-Tracy_Q206 DPFR Template_Malaysia_2006-02-23 (2)_12068_IN Q207 DPFR Computation_template" xfId="757" xr:uid="{00000000-0005-0000-0000-000052020000}"/>
    <cellStyle name="_Ap1x_SGVN-2002_04-Tracy_Q206 DPFR Template_Malaysia_2006-02-23 (2)_12068_IN Q406 DPFR Computation (13nov06)" xfId="758" xr:uid="{00000000-0005-0000-0000-000053020000}"/>
    <cellStyle name="_Ap1x_SGVN-2002_04-Tracy_Q206 DPFR Template_Malaysia_2006-02-23 (2)_12068_IN Q406 DPFR Computation (24nov06)" xfId="759" xr:uid="{00000000-0005-0000-0000-000054020000}"/>
    <cellStyle name="_Ap1x_SGVN-2002_04-Tracy_Q206 DPFR Template_Malaysia_2006-02-23 (2)_12068_IN Q406 DPFR-R Computation (01dec06)" xfId="760" xr:uid="{00000000-0005-0000-0000-000055020000}"/>
    <cellStyle name="_Ap1x_SGVN-2002_04-Tracy_Q206 DPFR Template_Malaysia_2006-02-23 (2)_12068_Input File - AEC Q207 DPFR" xfId="761" xr:uid="{00000000-0005-0000-0000-000056020000}"/>
    <cellStyle name="_Ap1x_SGVN-2002_04-Tracy_Q206 DPFR Template_Malaysia_2006-02-23 (2)_12068_Input File - ID Q107 DPFR_Ver3" xfId="762" xr:uid="{00000000-0005-0000-0000-000057020000}"/>
    <cellStyle name="_Ap1x_SGVN-2002_04-Tracy_Q206 DPFR Template_Malaysia_2006-02-23 (2)_12068_Input File - ID Q207 DPFR_Final-5-3-2007" xfId="763" xr:uid="{00000000-0005-0000-0000-000058020000}"/>
    <cellStyle name="_Ap1x_SGVN-2002_04-Tracy_Q206 DPFR Template_Malaysia_2006-02-23 (2)_12068_Input File - IN Q107 DPFR" xfId="764" xr:uid="{00000000-0005-0000-0000-000059020000}"/>
    <cellStyle name="_Ap1x_SGVN-2002_04-Tracy_Q206 DPFR Template_Malaysia_2006-02-23 (2)_12068_Input File - KR Q107 DPFR" xfId="765" xr:uid="{00000000-0005-0000-0000-00005A020000}"/>
    <cellStyle name="_Ap1x_SGVN-2002_04-Tracy_Q206 DPFR Template_Malaysia_2006-02-23 (2)_12068_Input File - KR Q107 DPFR(1128-PBM)" xfId="766" xr:uid="{00000000-0005-0000-0000-00005B020000}"/>
    <cellStyle name="_Ap1x_SGVN-2002_04-Tracy_Q206 DPFR Template_Malaysia_2006-02-23 (2)_12068_Input File - KR Q107 DPFR(23th Nov) 001" xfId="767" xr:uid="{00000000-0005-0000-0000-00005C020000}"/>
    <cellStyle name="_Ap1x_SGVN-2002_04-Tracy_Q206 DPFR Template_Malaysia_2006-02-23 (2)_12068_Input File - KR Q207 DPFR" xfId="768" xr:uid="{00000000-0005-0000-0000-00005D020000}"/>
    <cellStyle name="_Ap1x_SGVN-2002_04-Tracy_Q206 DPFR Template_Malaysia_2006-02-23 (2)_12068_Input File - KR Q207 DPFR(0205-AP)" xfId="769" xr:uid="{00000000-0005-0000-0000-00005E020000}"/>
    <cellStyle name="_Ap1x_SGVN-2002_04-Tracy_Q206 DPFR Template_Malaysia_2006-02-23 (2)_12068_Input File - KR Q307 DPFR(update05-23-07)" xfId="770" xr:uid="{00000000-0005-0000-0000-00005F020000}"/>
    <cellStyle name="_Ap1x_SGVN-2002_04-Tracy_Q206 DPFR Template_Malaysia_2006-02-23 (2)_12068_Input File - KR Q406 DPFR(AP)_0807" xfId="771" xr:uid="{00000000-0005-0000-0000-000060020000}"/>
    <cellStyle name="_Ap1x_SGVN-2002_04-Tracy_Q206 DPFR Template_Malaysia_2006-02-23 (2)_12068_Input File - SG Q107 DPFR" xfId="772" xr:uid="{00000000-0005-0000-0000-000061020000}"/>
    <cellStyle name="_Ap1x_SGVN-2002_04-Tracy_Q206 DPFR Template_Malaysia_2006-02-23 (2)_12068_KR Q108 inputfile_DPFR_071203" xfId="773" xr:uid="{00000000-0005-0000-0000-000062020000}"/>
    <cellStyle name="_Ap1x_SGVN-2002_04-Tracy_Q206 DPFR Template_Malaysia_2006-02-23 (2)_12068_KR Q306 DPFR (Aug24thLeeway)" xfId="774" xr:uid="{00000000-0005-0000-0000-000063020000}"/>
    <cellStyle name="_Ap1x_SGVN-2002_04-Tracy_Q206 DPFR Template_Malaysia_2006-02-23 (2)_12068_KR Q306 DPFR 001fina-leewayl (2)" xfId="775" xr:uid="{00000000-0005-0000-0000-000064020000}"/>
    <cellStyle name="_Ap1x_SGVN-2002_04-Tracy_Q206 DPFR Template_Malaysia_2006-02-23 (2)_12068_KR Q407 DPFR_final_071030" xfId="776" xr:uid="{00000000-0005-0000-0000-000065020000}"/>
    <cellStyle name="_Ap1x_SGVN-2002_04-Tracy_Q206 DPFR Template_Malaysia_2006-02-23 (2)_12068_KR Q407 DPFR_final_071106" xfId="777" xr:uid="{00000000-0005-0000-0000-000066020000}"/>
    <cellStyle name="_Ap1x_SGVN-2002_04-Tracy_Q206 DPFR Template_Malaysia_2006-02-23 (2)_12068_KR Q407 DPFR_template_070802(updated)" xfId="778" xr:uid="{00000000-0005-0000-0000-000067020000}"/>
    <cellStyle name="_Ap1x_SGVN-2002_04-Tracy_Q206 DPFR Template_Malaysia_2006-02-23 (2)_12068_Leeway-computation File - KR Q207 DPFR--(0523 update )" xfId="779" xr:uid="{00000000-0005-0000-0000-000068020000}"/>
    <cellStyle name="_Ap1x_SGVN-2002_04-Tracy_Q206 DPFR Template_Malaysia_2006-02-23 (2)_12068_NMFT HD계산 법" xfId="780" xr:uid="{00000000-0005-0000-0000-000069020000}"/>
    <cellStyle name="_Ap1x_SGVN-2002_04-Tracy_Q206 DPFR Template_Malaysia_2006-02-23 (2)_12068_nMFT 계산 (DPFR HD)_exclude RM (3)" xfId="781" xr:uid="{00000000-0005-0000-0000-00006A020000}"/>
    <cellStyle name="_Ap1x_SGVN-2002_04-Tracy_Q206 DPFR Template_Malaysia_2006-02-23 (2)_12068_Q107 제외 7개사" xfId="782" xr:uid="{00000000-0005-0000-0000-00006B020000}"/>
    <cellStyle name="_Ap1x_SGVN-2002_04-Tracy_Q206 DPFR Template_Malaysia_2006-02-23 (2)_12068_Q207 DPFR-021(Korea)" xfId="783" xr:uid="{00000000-0005-0000-0000-00006C020000}"/>
    <cellStyle name="_Ap1x_SGVN-2002_04-Tracy_Q206 DPFR Template_Malaysia_2006-02-23 (2)_12068_Q407 plan detail for computation details" xfId="784" xr:uid="{00000000-0005-0000-0000-00006D020000}"/>
    <cellStyle name="_Ap1x_SGVN-2002_04-Tracy_Q206 DPFR Template_Malaysia_2006-02-23 (2)_12068_SG Q206 DPFR Computation (24may06)" xfId="785" xr:uid="{00000000-0005-0000-0000-00006E020000}"/>
    <cellStyle name="_Ap1x_SGVN-2002_04-Tracy_Q206 DPFR Template_Malaysia_2006-02-23 (2)_12068_SG Q306 DPFR Computation (08sept06)" xfId="786" xr:uid="{00000000-0005-0000-0000-00006F020000}"/>
    <cellStyle name="_Ap1x_SGVN-2002_04-Tracy_Q206 DPFR Template_Malaysia_2006-02-23 (2)_12068_SG Q406 DPFR Computation (20nov06)" xfId="787" xr:uid="{00000000-0005-0000-0000-000070020000}"/>
    <cellStyle name="_Ap1x_SGVN-2002_04-Tracy_Q206 DPFR Template_Malaysia_2006-02-23 (2)_12068_TH Q107 DPFR Computation_template" xfId="788" xr:uid="{00000000-0005-0000-0000-000071020000}"/>
    <cellStyle name="_Ap1x_SGVN-2002_04-Tracy_Q206 DPFR Template_Malaysia_2006-02-23 (2)_12068_수정본 KR Q407 DPFR_draft v._071122( NMFT HD update)" xfId="789" xr:uid="{00000000-0005-0000-0000-000072020000}"/>
    <cellStyle name="_Ap1x_SGVN-2002_04-Tracy_Q206 DPFR Template_Singapore (8 Mar 06)" xfId="790" xr:uid="{00000000-0005-0000-0000-000073020000}"/>
    <cellStyle name="_Ap1x_SGVN-2002_04-Tracy_Q206 DPFR Template_Singapore (8 Mar 06)_computation  File - KR Q406 DPFR(24th Nov)" xfId="791" xr:uid="{00000000-0005-0000-0000-000074020000}"/>
    <cellStyle name="_Ap1x_SGVN-2002_04-Tracy_Q206 DPFR Template_Singapore (8 Mar 06)_computation File - KR Q207 DPFR--(1st version draft 0522 update )" xfId="792" xr:uid="{00000000-0005-0000-0000-000075020000}"/>
    <cellStyle name="_Ap1x_SGVN-2002_04-Tracy_Q206 DPFR Template_Singapore (8 Mar 06)_computation File - KR Q307 DPFR(final version)" xfId="793" xr:uid="{00000000-0005-0000-0000-000076020000}"/>
    <cellStyle name="_Ap1x_SGVN-2002_04-Tracy_Q206 DPFR Template_Singapore (8 Mar 06)_computation File - KR Q307 DPFR(Leeway 0828)" xfId="794" xr:uid="{00000000-0005-0000-0000-000077020000}"/>
    <cellStyle name="_Ap1x_SGVN-2002_04-Tracy_Q206 DPFR Template_Singapore (8 Mar 06)_computation File - KR Q307 DPFR(update07-18-07)" xfId="795" xr:uid="{00000000-0005-0000-0000-000078020000}"/>
    <cellStyle name="_Ap1x_SGVN-2002_04-Tracy_Q206 DPFR Template_Singapore (8 Mar 06)_computation File - KR Q307 DPFR(update07-23-07)" xfId="796" xr:uid="{00000000-0005-0000-0000-000079020000}"/>
    <cellStyle name="_Ap1x_SGVN-2002_04-Tracy_Q206 DPFR Template_Singapore (8 Mar 06)_computation Practice(10thMay) - KR Q207 DPFR-  " xfId="797" xr:uid="{00000000-0005-0000-0000-00007A020000}"/>
    <cellStyle name="_Ap1x_SGVN-2002_04-Tracy_Q206 DPFR Template_Singapore (8 Mar 06)_computationFile - KR Q107 DPFR" xfId="798" xr:uid="{00000000-0005-0000-0000-00007B020000}"/>
    <cellStyle name="_Ap1x_SGVN-2002_04-Tracy_Q206 DPFR Template_Singapore (8 Mar 06)_ID Q107 DPFR Computation (5Mar07)" xfId="799" xr:uid="{00000000-0005-0000-0000-00007C020000}"/>
    <cellStyle name="_Ap1x_SGVN-2002_04-Tracy_Q206 DPFR Template_Singapore (8 Mar 06)_ID Q207 DPFR Computation_template" xfId="800" xr:uid="{00000000-0005-0000-0000-00007D020000}"/>
    <cellStyle name="_Ap1x_SGVN-2002_04-Tracy_Q206 DPFR Template_Singapore (8 Mar 06)_IN Q207 DPFR Computation_template" xfId="801" xr:uid="{00000000-0005-0000-0000-00007E020000}"/>
    <cellStyle name="_Ap1x_SGVN-2002_04-Tracy_Q206 DPFR Template_Singapore (8 Mar 06)_IN Q406 DPFR Computation (13nov06)" xfId="802" xr:uid="{00000000-0005-0000-0000-00007F020000}"/>
    <cellStyle name="_Ap1x_SGVN-2002_04-Tracy_Q206 DPFR Template_Singapore (8 Mar 06)_IN Q406 DPFR Computation (24nov06)" xfId="803" xr:uid="{00000000-0005-0000-0000-000080020000}"/>
    <cellStyle name="_Ap1x_SGVN-2002_04-Tracy_Q206 DPFR Template_Singapore (8 Mar 06)_IN Q406 DPFR-R Computation (01dec06)" xfId="804" xr:uid="{00000000-0005-0000-0000-000081020000}"/>
    <cellStyle name="_Ap1x_SGVN-2002_04-Tracy_Q206 DPFR Template_Singapore (8 Mar 06)_Input File - AEC Q207 DPFR" xfId="805" xr:uid="{00000000-0005-0000-0000-000082020000}"/>
    <cellStyle name="_Ap1x_SGVN-2002_04-Tracy_Q206 DPFR Template_Singapore (8 Mar 06)_Input File - ID Q107 DPFR_Ver3" xfId="806" xr:uid="{00000000-0005-0000-0000-000083020000}"/>
    <cellStyle name="_Ap1x_SGVN-2002_04-Tracy_Q206 DPFR Template_Singapore (8 Mar 06)_Input File - ID Q207 DPFR_Final-5-3-2007" xfId="807" xr:uid="{00000000-0005-0000-0000-000084020000}"/>
    <cellStyle name="_Ap1x_SGVN-2002_04-Tracy_Q206 DPFR Template_Singapore (8 Mar 06)_Input File - IN Q107 DPFR" xfId="808" xr:uid="{00000000-0005-0000-0000-000085020000}"/>
    <cellStyle name="_Ap1x_SGVN-2002_04-Tracy_Q206 DPFR Template_Singapore (8 Mar 06)_Input File - KR Q107 DPFR" xfId="809" xr:uid="{00000000-0005-0000-0000-000086020000}"/>
    <cellStyle name="_Ap1x_SGVN-2002_04-Tracy_Q206 DPFR Template_Singapore (8 Mar 06)_Input File - KR Q107 DPFR(1128-PBM)" xfId="810" xr:uid="{00000000-0005-0000-0000-000087020000}"/>
    <cellStyle name="_Ap1x_SGVN-2002_04-Tracy_Q206 DPFR Template_Singapore (8 Mar 06)_Input File - KR Q107 DPFR(23th Nov) 001" xfId="811" xr:uid="{00000000-0005-0000-0000-000088020000}"/>
    <cellStyle name="_Ap1x_SGVN-2002_04-Tracy_Q206 DPFR Template_Singapore (8 Mar 06)_Input File - KR Q207 DPFR" xfId="812" xr:uid="{00000000-0005-0000-0000-000089020000}"/>
    <cellStyle name="_Ap1x_SGVN-2002_04-Tracy_Q206 DPFR Template_Singapore (8 Mar 06)_Input File - KR Q207 DPFR(0205-AP)" xfId="813" xr:uid="{00000000-0005-0000-0000-00008A020000}"/>
    <cellStyle name="_Ap1x_SGVN-2002_04-Tracy_Q206 DPFR Template_Singapore (8 Mar 06)_Input File - KR Q307 DPFR(update05-23-07)" xfId="814" xr:uid="{00000000-0005-0000-0000-00008B020000}"/>
    <cellStyle name="_Ap1x_SGVN-2002_04-Tracy_Q206 DPFR Template_Singapore (8 Mar 06)_Input File - KR Q406 DPFR(AP)_0807" xfId="815" xr:uid="{00000000-0005-0000-0000-00008C020000}"/>
    <cellStyle name="_Ap1x_SGVN-2002_04-Tracy_Q206 DPFR Template_Singapore (8 Mar 06)_Input File - SG Q107 DPFR" xfId="816" xr:uid="{00000000-0005-0000-0000-00008D020000}"/>
    <cellStyle name="_Ap1x_SGVN-2002_04-Tracy_Q206 DPFR Template_Singapore (8 Mar 06)_KR Q108 inputfile_DPFR_071203" xfId="817" xr:uid="{00000000-0005-0000-0000-00008E020000}"/>
    <cellStyle name="_Ap1x_SGVN-2002_04-Tracy_Q206 DPFR Template_Singapore (8 Mar 06)_KR Q306 DPFR (Aug24thLeeway)" xfId="818" xr:uid="{00000000-0005-0000-0000-00008F020000}"/>
    <cellStyle name="_Ap1x_SGVN-2002_04-Tracy_Q206 DPFR Template_Singapore (8 Mar 06)_KR Q306 DPFR 001fina-leewayl (2)" xfId="819" xr:uid="{00000000-0005-0000-0000-000090020000}"/>
    <cellStyle name="_Ap1x_SGVN-2002_04-Tracy_Q206 DPFR Template_Singapore (8 Mar 06)_KR Q407 DPFR_final_071030" xfId="820" xr:uid="{00000000-0005-0000-0000-000091020000}"/>
    <cellStyle name="_Ap1x_SGVN-2002_04-Tracy_Q206 DPFR Template_Singapore (8 Mar 06)_KR Q407 DPFR_final_071106" xfId="821" xr:uid="{00000000-0005-0000-0000-000092020000}"/>
    <cellStyle name="_Ap1x_SGVN-2002_04-Tracy_Q206 DPFR Template_Singapore (8 Mar 06)_KR Q407 DPFR_template_070802(updated)" xfId="822" xr:uid="{00000000-0005-0000-0000-000093020000}"/>
    <cellStyle name="_Ap1x_SGVN-2002_04-Tracy_Q206 DPFR Template_Singapore (8 Mar 06)_Leeway-computation File - KR Q207 DPFR--(0523 update )" xfId="823" xr:uid="{00000000-0005-0000-0000-000094020000}"/>
    <cellStyle name="_Ap1x_SGVN-2002_04-Tracy_Q206 DPFR Template_Singapore (8 Mar 06)_NMFT HD계산 법" xfId="824" xr:uid="{00000000-0005-0000-0000-000095020000}"/>
    <cellStyle name="_Ap1x_SGVN-2002_04-Tracy_Q206 DPFR Template_Singapore (8 Mar 06)_nMFT 계산 (DPFR HD)_exclude RM (3)" xfId="825" xr:uid="{00000000-0005-0000-0000-000096020000}"/>
    <cellStyle name="_Ap1x_SGVN-2002_04-Tracy_Q206 DPFR Template_Singapore (8 Mar 06)_Q107 제외 7개사" xfId="826" xr:uid="{00000000-0005-0000-0000-000097020000}"/>
    <cellStyle name="_Ap1x_SGVN-2002_04-Tracy_Q206 DPFR Template_Singapore (8 Mar 06)_Q207 DPFR-021(Korea)" xfId="827" xr:uid="{00000000-0005-0000-0000-000098020000}"/>
    <cellStyle name="_Ap1x_SGVN-2002_04-Tracy_Q206 DPFR Template_Singapore (8 Mar 06)_Q407 plan detail for computation details" xfId="828" xr:uid="{00000000-0005-0000-0000-000099020000}"/>
    <cellStyle name="_Ap1x_SGVN-2002_04-Tracy_Q206 DPFR Template_Singapore (8 Mar 06)_SG Q206 DPFR Computation (24may06)" xfId="829" xr:uid="{00000000-0005-0000-0000-00009A020000}"/>
    <cellStyle name="_Ap1x_SGVN-2002_04-Tracy_Q206 DPFR Template_Singapore (8 Mar 06)_SG Q406 DPFR Computation (20nov06)" xfId="830" xr:uid="{00000000-0005-0000-0000-00009B020000}"/>
    <cellStyle name="_Ap1x_SGVN-2002_04-Tracy_Q206 DPFR Template_Singapore (8 Mar 06)_TH Q107 DPFR Computation_template" xfId="831" xr:uid="{00000000-0005-0000-0000-00009C020000}"/>
    <cellStyle name="_Ap1x_SGVN-2002_04-Tracy_Q206 DPFR Template_Singapore (8 Mar 06)_수정본 KR Q407 DPFR_draft v._071122( NMFT HD update)" xfId="832" xr:uid="{00000000-0005-0000-0000-00009D020000}"/>
    <cellStyle name="_Ap1x_SGVN-2002_04-Tracy_Q207 DPFR-021(Korea)" xfId="833" xr:uid="{00000000-0005-0000-0000-00009E020000}"/>
    <cellStyle name="_Ap1x_SGVN-2002_04-Tracy_Q407 plan detail for computation details" xfId="834" xr:uid="{00000000-0005-0000-0000-00009F020000}"/>
    <cellStyle name="_Ap1x_SGVN-2002_04-Tracy_SG Q106 DPFR Computation (13feb06)" xfId="835" xr:uid="{00000000-0005-0000-0000-0000A0020000}"/>
    <cellStyle name="_Ap1x_SGVN-2002_04-Tracy_SG Q106 DPFR Computation (13feb06)_SG Q206 DPFR Computation (24may06)" xfId="836" xr:uid="{00000000-0005-0000-0000-0000A1020000}"/>
    <cellStyle name="_Ap1x_SGVN-2002_04-Tracy_SG Q206 DPFR Computation" xfId="837" xr:uid="{00000000-0005-0000-0000-0000A2020000}"/>
    <cellStyle name="_Ap1x_SGVN-2002_04-Tracy_SG Q206 DPFR Computation (24may06)" xfId="838" xr:uid="{00000000-0005-0000-0000-0000A3020000}"/>
    <cellStyle name="_Ap1x_SGVN-2002_04-Tracy_SG Q306 DPFR Computation (08sept06)" xfId="839" xr:uid="{00000000-0005-0000-0000-0000A4020000}"/>
    <cellStyle name="_Ap1x_SGVN-2002_04-Tracy_SG Q406 DPFR Computation (20nov06)" xfId="840" xr:uid="{00000000-0005-0000-0000-0000A5020000}"/>
    <cellStyle name="_Ap1x_SGVN-2002_04-Tracy_Taiwan1" xfId="841" xr:uid="{00000000-0005-0000-0000-0000A6020000}"/>
    <cellStyle name="_Ap1x_SGVN-2002_04-Tracy_TH Q107 DPFR Computation_template" xfId="842" xr:uid="{00000000-0005-0000-0000-0000A7020000}"/>
    <cellStyle name="_Ap1x_SGVN-2002_04-Tracy_수정본 KR Q407 DPFR_draft v._071122( NMFT HD update)" xfId="843" xr:uid="{00000000-0005-0000-0000-0000A8020000}"/>
    <cellStyle name="_APJ_SPO_Perf_Report_151205" xfId="844" xr:uid="{00000000-0005-0000-0000-0000A9020000}"/>
    <cellStyle name="_APJ_SPO_Perf_Report_151205_computation  File - KR Q406 DPFR(24th Nov)" xfId="845" xr:uid="{00000000-0005-0000-0000-0000AA020000}"/>
    <cellStyle name="_APJ_SPO_Perf_Report_151205_computation File - KR Q207 DPFR--(1st version draft 0522 update )" xfId="846" xr:uid="{00000000-0005-0000-0000-0000AB020000}"/>
    <cellStyle name="_APJ_SPO_Perf_Report_151205_computation File - KR Q307 DPFR(final version)" xfId="847" xr:uid="{00000000-0005-0000-0000-0000AC020000}"/>
    <cellStyle name="_APJ_SPO_Perf_Report_151205_computation File - KR Q307 DPFR(Leeway 0828)" xfId="848" xr:uid="{00000000-0005-0000-0000-0000AD020000}"/>
    <cellStyle name="_APJ_SPO_Perf_Report_151205_computation File - KR Q307 DPFR(update07-18-07)" xfId="849" xr:uid="{00000000-0005-0000-0000-0000AE020000}"/>
    <cellStyle name="_APJ_SPO_Perf_Report_151205_computation File - KR Q307 DPFR(update07-23-07)" xfId="850" xr:uid="{00000000-0005-0000-0000-0000AF020000}"/>
    <cellStyle name="_APJ_SPO_Perf_Report_151205_computation Practice(10thMay) - KR Q207 DPFR-  " xfId="851" xr:uid="{00000000-0005-0000-0000-0000B0020000}"/>
    <cellStyle name="_APJ_SPO_Perf_Report_151205_computationFile - KR Q107 DPFR" xfId="852" xr:uid="{00000000-0005-0000-0000-0000B1020000}"/>
    <cellStyle name="_APJ_SPO_Perf_Report_151205_ID Q107 DPFR Computation (5Mar07)" xfId="853" xr:uid="{00000000-0005-0000-0000-0000B2020000}"/>
    <cellStyle name="_APJ_SPO_Perf_Report_151205_ID Q207 DPFR Computation_template" xfId="854" xr:uid="{00000000-0005-0000-0000-0000B3020000}"/>
    <cellStyle name="_APJ_SPO_Perf_Report_151205_IN Q106 DPFR Computation (2mar06)" xfId="855" xr:uid="{00000000-0005-0000-0000-0000B4020000}"/>
    <cellStyle name="_APJ_SPO_Perf_Report_151205_IN Q206 DPFR Computation (6jun06)" xfId="856" xr:uid="{00000000-0005-0000-0000-0000B5020000}"/>
    <cellStyle name="_APJ_SPO_Perf_Report_151205_IN Q207 DPFR Computation_template" xfId="857" xr:uid="{00000000-0005-0000-0000-0000B6020000}"/>
    <cellStyle name="_APJ_SPO_Perf_Report_151205_IN Q406 DPFR Computation (13nov06)" xfId="858" xr:uid="{00000000-0005-0000-0000-0000B7020000}"/>
    <cellStyle name="_APJ_SPO_Perf_Report_151205_IN Q406 DPFR Computation (24nov06)" xfId="859" xr:uid="{00000000-0005-0000-0000-0000B8020000}"/>
    <cellStyle name="_APJ_SPO_Perf_Report_151205_IN Q406 DPFR-R Computation (01dec06)" xfId="860" xr:uid="{00000000-0005-0000-0000-0000B9020000}"/>
    <cellStyle name="_APJ_SPO_Perf_Report_151205_Input File - AEC Q207 DPFR" xfId="861" xr:uid="{00000000-0005-0000-0000-0000BA020000}"/>
    <cellStyle name="_APJ_SPO_Perf_Report_151205_Input File - ID Q107 DPFR_Ver3" xfId="862" xr:uid="{00000000-0005-0000-0000-0000BB020000}"/>
    <cellStyle name="_APJ_SPO_Perf_Report_151205_Input File - ID Q207 DPFR_Final-5-3-2007" xfId="863" xr:uid="{00000000-0005-0000-0000-0000BC020000}"/>
    <cellStyle name="_APJ_SPO_Perf_Report_151205_Input File - IN Q107 DPFR" xfId="864" xr:uid="{00000000-0005-0000-0000-0000BD020000}"/>
    <cellStyle name="_APJ_SPO_Perf_Report_151205_Input File - KR Q107 DPFR" xfId="865" xr:uid="{00000000-0005-0000-0000-0000BE020000}"/>
    <cellStyle name="_APJ_SPO_Perf_Report_151205_Input File - KR Q107 DPFR(1128-PBM)" xfId="866" xr:uid="{00000000-0005-0000-0000-0000BF020000}"/>
    <cellStyle name="_APJ_SPO_Perf_Report_151205_Input File - KR Q107 DPFR(23th Nov) 001" xfId="867" xr:uid="{00000000-0005-0000-0000-0000C0020000}"/>
    <cellStyle name="_APJ_SPO_Perf_Report_151205_Input File - KR Q207 DPFR" xfId="868" xr:uid="{00000000-0005-0000-0000-0000C1020000}"/>
    <cellStyle name="_APJ_SPO_Perf_Report_151205_Input File - KR Q207 DPFR(0205-AP)" xfId="869" xr:uid="{00000000-0005-0000-0000-0000C2020000}"/>
    <cellStyle name="_APJ_SPO_Perf_Report_151205_Input File - KR Q307 DPFR(update05-23-07)" xfId="870" xr:uid="{00000000-0005-0000-0000-0000C3020000}"/>
    <cellStyle name="_APJ_SPO_Perf_Report_151205_Input File - KR Q406 DPFR(AP)_0807" xfId="871" xr:uid="{00000000-0005-0000-0000-0000C4020000}"/>
    <cellStyle name="_APJ_SPO_Perf_Report_151205_Input File - SG Q107 DPFR" xfId="872" xr:uid="{00000000-0005-0000-0000-0000C5020000}"/>
    <cellStyle name="_APJ_SPO_Perf_Report_151205_KR Q108 inputfile_DPFR_071203" xfId="873" xr:uid="{00000000-0005-0000-0000-0000C6020000}"/>
    <cellStyle name="_APJ_SPO_Perf_Report_151205_KR Q306 DPFR (Aug24thLeeway)" xfId="874" xr:uid="{00000000-0005-0000-0000-0000C7020000}"/>
    <cellStyle name="_APJ_SPO_Perf_Report_151205_KR Q306 DPFR 001fina-leewayl (2)" xfId="875" xr:uid="{00000000-0005-0000-0000-0000C8020000}"/>
    <cellStyle name="_APJ_SPO_Perf_Report_151205_KR Q407 DPFR_final_071030" xfId="876" xr:uid="{00000000-0005-0000-0000-0000C9020000}"/>
    <cellStyle name="_APJ_SPO_Perf_Report_151205_KR Q407 DPFR_final_071106" xfId="877" xr:uid="{00000000-0005-0000-0000-0000CA020000}"/>
    <cellStyle name="_APJ_SPO_Perf_Report_151205_KR Q407 DPFR_template_070802(updated)" xfId="878" xr:uid="{00000000-0005-0000-0000-0000CB020000}"/>
    <cellStyle name="_APJ_SPO_Perf_Report_151205_Leeway-computation File - KR Q207 DPFR--(0523 update )" xfId="879" xr:uid="{00000000-0005-0000-0000-0000CC020000}"/>
    <cellStyle name="_APJ_SPO_Perf_Report_151205_NMFT HD계산 법" xfId="880" xr:uid="{00000000-0005-0000-0000-0000CD020000}"/>
    <cellStyle name="_APJ_SPO_Perf_Report_151205_nMFT 계산 (DPFR HD)_exclude RM (3)" xfId="881" xr:uid="{00000000-0005-0000-0000-0000CE020000}"/>
    <cellStyle name="_APJ_SPO_Perf_Report_151205_Q107 제외 7개사" xfId="882" xr:uid="{00000000-0005-0000-0000-0000CF020000}"/>
    <cellStyle name="_APJ_SPO_Perf_Report_151205_Q206 DPFR Template_India(plan details)" xfId="883" xr:uid="{00000000-0005-0000-0000-0000D0020000}"/>
    <cellStyle name="_APJ_SPO_Perf_Report_151205_Q206 DPFR Template_India(plan details)_computation  File - KR Q406 DPFR(24th Nov)" xfId="884" xr:uid="{00000000-0005-0000-0000-0000D1020000}"/>
    <cellStyle name="_APJ_SPO_Perf_Report_151205_Q206 DPFR Template_India(plan details)_computation File - KR Q207 DPFR--(1st version draft 0522 update )" xfId="885" xr:uid="{00000000-0005-0000-0000-0000D2020000}"/>
    <cellStyle name="_APJ_SPO_Perf_Report_151205_Q206 DPFR Template_India(plan details)_computation File - KR Q307 DPFR(final version)" xfId="886" xr:uid="{00000000-0005-0000-0000-0000D3020000}"/>
    <cellStyle name="_APJ_SPO_Perf_Report_151205_Q206 DPFR Template_India(plan details)_computation File - KR Q307 DPFR(Leeway 0828)" xfId="887" xr:uid="{00000000-0005-0000-0000-0000D4020000}"/>
    <cellStyle name="_APJ_SPO_Perf_Report_151205_Q206 DPFR Template_India(plan details)_computation File - KR Q307 DPFR(update07-18-07)" xfId="888" xr:uid="{00000000-0005-0000-0000-0000D5020000}"/>
    <cellStyle name="_APJ_SPO_Perf_Report_151205_Q206 DPFR Template_India(plan details)_computation File - KR Q307 DPFR(update07-23-07)" xfId="889" xr:uid="{00000000-0005-0000-0000-0000D6020000}"/>
    <cellStyle name="_APJ_SPO_Perf_Report_151205_Q206 DPFR Template_India(plan details)_computation Practice(10thMay) - KR Q207 DPFR-  " xfId="890" xr:uid="{00000000-0005-0000-0000-0000D7020000}"/>
    <cellStyle name="_APJ_SPO_Perf_Report_151205_Q206 DPFR Template_India(plan details)_computationFile - KR Q107 DPFR" xfId="891" xr:uid="{00000000-0005-0000-0000-0000D8020000}"/>
    <cellStyle name="_APJ_SPO_Perf_Report_151205_Q206 DPFR Template_India(plan details)_ID Q107 DPFR Computation (5Mar07)" xfId="892" xr:uid="{00000000-0005-0000-0000-0000D9020000}"/>
    <cellStyle name="_APJ_SPO_Perf_Report_151205_Q206 DPFR Template_India(plan details)_ID Q207 DPFR Computation_template" xfId="893" xr:uid="{00000000-0005-0000-0000-0000DA020000}"/>
    <cellStyle name="_APJ_SPO_Perf_Report_151205_Q206 DPFR Template_India(plan details)_IN Q207 DPFR Computation_template" xfId="894" xr:uid="{00000000-0005-0000-0000-0000DB020000}"/>
    <cellStyle name="_APJ_SPO_Perf_Report_151205_Q206 DPFR Template_India(plan details)_Input File - AEC Q207 DPFR" xfId="895" xr:uid="{00000000-0005-0000-0000-0000DC020000}"/>
    <cellStyle name="_APJ_SPO_Perf_Report_151205_Q206 DPFR Template_India(plan details)_Input File - ID Q107 DPFR_Ver3" xfId="896" xr:uid="{00000000-0005-0000-0000-0000DD020000}"/>
    <cellStyle name="_APJ_SPO_Perf_Report_151205_Q206 DPFR Template_India(plan details)_Input File - ID Q207 DPFR_Final-5-3-2007" xfId="897" xr:uid="{00000000-0005-0000-0000-0000DE020000}"/>
    <cellStyle name="_APJ_SPO_Perf_Report_151205_Q206 DPFR Template_India(plan details)_Input File - IN Q107 DPFR" xfId="898" xr:uid="{00000000-0005-0000-0000-0000DF020000}"/>
    <cellStyle name="_APJ_SPO_Perf_Report_151205_Q206 DPFR Template_India(plan details)_Input File - KR Q107 DPFR" xfId="899" xr:uid="{00000000-0005-0000-0000-0000E0020000}"/>
    <cellStyle name="_APJ_SPO_Perf_Report_151205_Q206 DPFR Template_India(plan details)_Input File - KR Q107 DPFR(1128-PBM)" xfId="900" xr:uid="{00000000-0005-0000-0000-0000E1020000}"/>
    <cellStyle name="_APJ_SPO_Perf_Report_151205_Q206 DPFR Template_India(plan details)_Input File - KR Q107 DPFR(23th Nov) 001" xfId="901" xr:uid="{00000000-0005-0000-0000-0000E2020000}"/>
    <cellStyle name="_APJ_SPO_Perf_Report_151205_Q206 DPFR Template_India(plan details)_Input File - KR Q207 DPFR" xfId="902" xr:uid="{00000000-0005-0000-0000-0000E3020000}"/>
    <cellStyle name="_APJ_SPO_Perf_Report_151205_Q206 DPFR Template_India(plan details)_Input File - KR Q207 DPFR(0205-AP)" xfId="903" xr:uid="{00000000-0005-0000-0000-0000E4020000}"/>
    <cellStyle name="_APJ_SPO_Perf_Report_151205_Q206 DPFR Template_India(plan details)_Input File - KR Q307 DPFR(update05-23-07)" xfId="904" xr:uid="{00000000-0005-0000-0000-0000E5020000}"/>
    <cellStyle name="_APJ_SPO_Perf_Report_151205_Q206 DPFR Template_India(plan details)_Input File - KR Q406 DPFR(AP)_0807" xfId="905" xr:uid="{00000000-0005-0000-0000-0000E6020000}"/>
    <cellStyle name="_APJ_SPO_Perf_Report_151205_Q206 DPFR Template_India(plan details)_Input File - SG Q107 DPFR" xfId="906" xr:uid="{00000000-0005-0000-0000-0000E7020000}"/>
    <cellStyle name="_APJ_SPO_Perf_Report_151205_Q206 DPFR Template_India(plan details)_KR Q108 inputfile_DPFR_071203" xfId="907" xr:uid="{00000000-0005-0000-0000-0000E8020000}"/>
    <cellStyle name="_APJ_SPO_Perf_Report_151205_Q206 DPFR Template_India(plan details)_KR Q306 DPFR (Aug24thLeeway)" xfId="908" xr:uid="{00000000-0005-0000-0000-0000E9020000}"/>
    <cellStyle name="_APJ_SPO_Perf_Report_151205_Q206 DPFR Template_India(plan details)_KR Q306 DPFR 001fina-leewayl (2)" xfId="909" xr:uid="{00000000-0005-0000-0000-0000EA020000}"/>
    <cellStyle name="_APJ_SPO_Perf_Report_151205_Q206 DPFR Template_India(plan details)_KR Q407 DPFR_final_071030" xfId="910" xr:uid="{00000000-0005-0000-0000-0000EB020000}"/>
    <cellStyle name="_APJ_SPO_Perf_Report_151205_Q206 DPFR Template_India(plan details)_KR Q407 DPFR_final_071106" xfId="911" xr:uid="{00000000-0005-0000-0000-0000EC020000}"/>
    <cellStyle name="_APJ_SPO_Perf_Report_151205_Q206 DPFR Template_India(plan details)_KR Q407 DPFR_template_070802(updated)" xfId="912" xr:uid="{00000000-0005-0000-0000-0000ED020000}"/>
    <cellStyle name="_APJ_SPO_Perf_Report_151205_Q206 DPFR Template_India(plan details)_Leeway-computation File - KR Q207 DPFR--(0523 update )" xfId="913" xr:uid="{00000000-0005-0000-0000-0000EE020000}"/>
    <cellStyle name="_APJ_SPO_Perf_Report_151205_Q206 DPFR Template_India(plan details)_NMFT HD계산 법" xfId="914" xr:uid="{00000000-0005-0000-0000-0000EF020000}"/>
    <cellStyle name="_APJ_SPO_Perf_Report_151205_Q206 DPFR Template_India(plan details)_nMFT 계산 (DPFR HD)_exclude RM (3)" xfId="915" xr:uid="{00000000-0005-0000-0000-0000F0020000}"/>
    <cellStyle name="_APJ_SPO_Perf_Report_151205_Q206 DPFR Template_India(plan details)_Q107 제외 7개사" xfId="916" xr:uid="{00000000-0005-0000-0000-0000F1020000}"/>
    <cellStyle name="_APJ_SPO_Perf_Report_151205_Q206 DPFR Template_India(plan details)_Q207 DPFR-021(Korea)" xfId="917" xr:uid="{00000000-0005-0000-0000-0000F2020000}"/>
    <cellStyle name="_APJ_SPO_Perf_Report_151205_Q206 DPFR Template_India(plan details)_Q407 plan detail for computation details" xfId="918" xr:uid="{00000000-0005-0000-0000-0000F3020000}"/>
    <cellStyle name="_APJ_SPO_Perf_Report_151205_Q206 DPFR Template_India(plan details)_TH Q107 DPFR Computation_template" xfId="919" xr:uid="{00000000-0005-0000-0000-0000F4020000}"/>
    <cellStyle name="_APJ_SPO_Perf_Report_151205_Q206 DPFR Template_India(plan details)_수정본 KR Q407 DPFR_draft v._071122( NMFT HD update)" xfId="920" xr:uid="{00000000-0005-0000-0000-0000F5020000}"/>
    <cellStyle name="_APJ_SPO_Perf_Report_151205_Q206 DPFR Template_Malaysia_2006-02-23 (2)_12068" xfId="921" xr:uid="{00000000-0005-0000-0000-0000F6020000}"/>
    <cellStyle name="_APJ_SPO_Perf_Report_151205_Q206 DPFR Template_Malaysia_2006-02-23 (2)_12068_computation  File - KR Q406 DPFR(24th Nov)" xfId="922" xr:uid="{00000000-0005-0000-0000-0000F7020000}"/>
    <cellStyle name="_APJ_SPO_Perf_Report_151205_Q206 DPFR Template_Malaysia_2006-02-23 (2)_12068_computation File - KR Q207 DPFR--(1st version draft 0522 update )" xfId="923" xr:uid="{00000000-0005-0000-0000-0000F8020000}"/>
    <cellStyle name="_APJ_SPO_Perf_Report_151205_Q206 DPFR Template_Malaysia_2006-02-23 (2)_12068_computation File - KR Q307 DPFR(final version)" xfId="924" xr:uid="{00000000-0005-0000-0000-0000F9020000}"/>
    <cellStyle name="_APJ_SPO_Perf_Report_151205_Q206 DPFR Template_Malaysia_2006-02-23 (2)_12068_computation File - KR Q307 DPFR(Leeway 0828)" xfId="925" xr:uid="{00000000-0005-0000-0000-0000FA020000}"/>
    <cellStyle name="_APJ_SPO_Perf_Report_151205_Q206 DPFR Template_Malaysia_2006-02-23 (2)_12068_computation File - KR Q307 DPFR(update07-18-07)" xfId="926" xr:uid="{00000000-0005-0000-0000-0000FB020000}"/>
    <cellStyle name="_APJ_SPO_Perf_Report_151205_Q206 DPFR Template_Malaysia_2006-02-23 (2)_12068_computation File - KR Q307 DPFR(update07-23-07)" xfId="927" xr:uid="{00000000-0005-0000-0000-0000FC020000}"/>
    <cellStyle name="_APJ_SPO_Perf_Report_151205_Q206 DPFR Template_Malaysia_2006-02-23 (2)_12068_computation Practice(10thMay) - KR Q207 DPFR-  " xfId="928" xr:uid="{00000000-0005-0000-0000-0000FD020000}"/>
    <cellStyle name="_APJ_SPO_Perf_Report_151205_Q206 DPFR Template_Malaysia_2006-02-23 (2)_12068_computationFile - KR Q107 DPFR" xfId="929" xr:uid="{00000000-0005-0000-0000-0000FE020000}"/>
    <cellStyle name="_APJ_SPO_Perf_Report_151205_Q206 DPFR Template_Malaysia_2006-02-23 (2)_12068_ID Q107 DPFR Computation (5Mar07)" xfId="930" xr:uid="{00000000-0005-0000-0000-0000FF020000}"/>
    <cellStyle name="_APJ_SPO_Perf_Report_151205_Q206 DPFR Template_Malaysia_2006-02-23 (2)_12068_ID Q207 DPFR Computation_template" xfId="931" xr:uid="{00000000-0005-0000-0000-000000030000}"/>
    <cellStyle name="_APJ_SPO_Perf_Report_151205_Q206 DPFR Template_Malaysia_2006-02-23 (2)_12068_IN Q207 DPFR Computation_template" xfId="932" xr:uid="{00000000-0005-0000-0000-000001030000}"/>
    <cellStyle name="_APJ_SPO_Perf_Report_151205_Q206 DPFR Template_Malaysia_2006-02-23 (2)_12068_IN Q406 DPFR Computation (13nov06)" xfId="933" xr:uid="{00000000-0005-0000-0000-000002030000}"/>
    <cellStyle name="_APJ_SPO_Perf_Report_151205_Q206 DPFR Template_Malaysia_2006-02-23 (2)_12068_IN Q406 DPFR Computation (24nov06)" xfId="934" xr:uid="{00000000-0005-0000-0000-000003030000}"/>
    <cellStyle name="_APJ_SPO_Perf_Report_151205_Q206 DPFR Template_Malaysia_2006-02-23 (2)_12068_IN Q406 DPFR-R Computation (01dec06)" xfId="935" xr:uid="{00000000-0005-0000-0000-000004030000}"/>
    <cellStyle name="_APJ_SPO_Perf_Report_151205_Q206 DPFR Template_Malaysia_2006-02-23 (2)_12068_Input File - AEC Q207 DPFR" xfId="936" xr:uid="{00000000-0005-0000-0000-000005030000}"/>
    <cellStyle name="_APJ_SPO_Perf_Report_151205_Q206 DPFR Template_Malaysia_2006-02-23 (2)_12068_Input File - ID Q107 DPFR_Ver3" xfId="937" xr:uid="{00000000-0005-0000-0000-000006030000}"/>
    <cellStyle name="_APJ_SPO_Perf_Report_151205_Q206 DPFR Template_Malaysia_2006-02-23 (2)_12068_Input File - ID Q207 DPFR_Final-5-3-2007" xfId="938" xr:uid="{00000000-0005-0000-0000-000007030000}"/>
    <cellStyle name="_APJ_SPO_Perf_Report_151205_Q206 DPFR Template_Malaysia_2006-02-23 (2)_12068_Input File - IN Q107 DPFR" xfId="939" xr:uid="{00000000-0005-0000-0000-000008030000}"/>
    <cellStyle name="_APJ_SPO_Perf_Report_151205_Q206 DPFR Template_Malaysia_2006-02-23 (2)_12068_Input File - KR Q107 DPFR" xfId="940" xr:uid="{00000000-0005-0000-0000-000009030000}"/>
    <cellStyle name="_APJ_SPO_Perf_Report_151205_Q206 DPFR Template_Malaysia_2006-02-23 (2)_12068_Input File - KR Q107 DPFR(1128-PBM)" xfId="941" xr:uid="{00000000-0005-0000-0000-00000A030000}"/>
    <cellStyle name="_APJ_SPO_Perf_Report_151205_Q206 DPFR Template_Malaysia_2006-02-23 (2)_12068_Input File - KR Q107 DPFR(23th Nov) 001" xfId="942" xr:uid="{00000000-0005-0000-0000-00000B030000}"/>
    <cellStyle name="_APJ_SPO_Perf_Report_151205_Q206 DPFR Template_Malaysia_2006-02-23 (2)_12068_Input File - KR Q207 DPFR" xfId="943" xr:uid="{00000000-0005-0000-0000-00000C030000}"/>
    <cellStyle name="_APJ_SPO_Perf_Report_151205_Q206 DPFR Template_Malaysia_2006-02-23 (2)_12068_Input File - KR Q207 DPFR(0205-AP)" xfId="944" xr:uid="{00000000-0005-0000-0000-00000D030000}"/>
    <cellStyle name="_APJ_SPO_Perf_Report_151205_Q206 DPFR Template_Malaysia_2006-02-23 (2)_12068_Input File - KR Q307 DPFR(update05-23-07)" xfId="945" xr:uid="{00000000-0005-0000-0000-00000E030000}"/>
    <cellStyle name="_APJ_SPO_Perf_Report_151205_Q206 DPFR Template_Malaysia_2006-02-23 (2)_12068_Input File - KR Q406 DPFR(AP)_0807" xfId="946" xr:uid="{00000000-0005-0000-0000-00000F030000}"/>
    <cellStyle name="_APJ_SPO_Perf_Report_151205_Q206 DPFR Template_Malaysia_2006-02-23 (2)_12068_Input File - SG Q107 DPFR" xfId="947" xr:uid="{00000000-0005-0000-0000-000010030000}"/>
    <cellStyle name="_APJ_SPO_Perf_Report_151205_Q206 DPFR Template_Malaysia_2006-02-23 (2)_12068_KR Q108 inputfile_DPFR_071203" xfId="948" xr:uid="{00000000-0005-0000-0000-000011030000}"/>
    <cellStyle name="_APJ_SPO_Perf_Report_151205_Q206 DPFR Template_Malaysia_2006-02-23 (2)_12068_KR Q306 DPFR (Aug24thLeeway)" xfId="949" xr:uid="{00000000-0005-0000-0000-000012030000}"/>
    <cellStyle name="_APJ_SPO_Perf_Report_151205_Q206 DPFR Template_Malaysia_2006-02-23 (2)_12068_KR Q306 DPFR 001fina-leewayl (2)" xfId="950" xr:uid="{00000000-0005-0000-0000-000013030000}"/>
    <cellStyle name="_APJ_SPO_Perf_Report_151205_Q206 DPFR Template_Malaysia_2006-02-23 (2)_12068_KR Q407 DPFR_final_071030" xfId="951" xr:uid="{00000000-0005-0000-0000-000014030000}"/>
    <cellStyle name="_APJ_SPO_Perf_Report_151205_Q206 DPFR Template_Malaysia_2006-02-23 (2)_12068_KR Q407 DPFR_final_071106" xfId="952" xr:uid="{00000000-0005-0000-0000-000015030000}"/>
    <cellStyle name="_APJ_SPO_Perf_Report_151205_Q206 DPFR Template_Malaysia_2006-02-23 (2)_12068_KR Q407 DPFR_template_070802(updated)" xfId="953" xr:uid="{00000000-0005-0000-0000-000016030000}"/>
    <cellStyle name="_APJ_SPO_Perf_Report_151205_Q206 DPFR Template_Malaysia_2006-02-23 (2)_12068_Leeway-computation File - KR Q207 DPFR--(0523 update )" xfId="954" xr:uid="{00000000-0005-0000-0000-000017030000}"/>
    <cellStyle name="_APJ_SPO_Perf_Report_151205_Q206 DPFR Template_Malaysia_2006-02-23 (2)_12068_NMFT HD계산 법" xfId="955" xr:uid="{00000000-0005-0000-0000-000018030000}"/>
    <cellStyle name="_APJ_SPO_Perf_Report_151205_Q206 DPFR Template_Malaysia_2006-02-23 (2)_12068_nMFT 계산 (DPFR HD)_exclude RM (3)" xfId="956" xr:uid="{00000000-0005-0000-0000-000019030000}"/>
    <cellStyle name="_APJ_SPO_Perf_Report_151205_Q206 DPFR Template_Malaysia_2006-02-23 (2)_12068_Q107 제외 7개사" xfId="957" xr:uid="{00000000-0005-0000-0000-00001A030000}"/>
    <cellStyle name="_APJ_SPO_Perf_Report_151205_Q206 DPFR Template_Malaysia_2006-02-23 (2)_12068_Q207 DPFR-021(Korea)" xfId="958" xr:uid="{00000000-0005-0000-0000-00001B030000}"/>
    <cellStyle name="_APJ_SPO_Perf_Report_151205_Q206 DPFR Template_Malaysia_2006-02-23 (2)_12068_Q407 plan detail for computation details" xfId="959" xr:uid="{00000000-0005-0000-0000-00001C030000}"/>
    <cellStyle name="_APJ_SPO_Perf_Report_151205_Q206 DPFR Template_Malaysia_2006-02-23 (2)_12068_SG Q206 DPFR Computation (24may06)" xfId="960" xr:uid="{00000000-0005-0000-0000-00001D030000}"/>
    <cellStyle name="_APJ_SPO_Perf_Report_151205_Q206 DPFR Template_Malaysia_2006-02-23 (2)_12068_SG Q306 DPFR Computation (08sept06)" xfId="961" xr:uid="{00000000-0005-0000-0000-00001E030000}"/>
    <cellStyle name="_APJ_SPO_Perf_Report_151205_Q206 DPFR Template_Malaysia_2006-02-23 (2)_12068_SG Q406 DPFR Computation (20nov06)" xfId="962" xr:uid="{00000000-0005-0000-0000-00001F030000}"/>
    <cellStyle name="_APJ_SPO_Perf_Report_151205_Q206 DPFR Template_Malaysia_2006-02-23 (2)_12068_TH Q107 DPFR Computation_template" xfId="963" xr:uid="{00000000-0005-0000-0000-000020030000}"/>
    <cellStyle name="_APJ_SPO_Perf_Report_151205_Q206 DPFR Template_Malaysia_2006-02-23 (2)_12068_수정본 KR Q407 DPFR_draft v._071122( NMFT HD update)" xfId="964" xr:uid="{00000000-0005-0000-0000-000021030000}"/>
    <cellStyle name="_APJ_SPO_Perf_Report_151205_Q206 DPFR Template_Singapore (8 Mar 06)" xfId="965" xr:uid="{00000000-0005-0000-0000-000022030000}"/>
    <cellStyle name="_APJ_SPO_Perf_Report_151205_Q206 DPFR Template_Singapore (8 Mar 06)_computation  File - KR Q406 DPFR(24th Nov)" xfId="966" xr:uid="{00000000-0005-0000-0000-000023030000}"/>
    <cellStyle name="_APJ_SPO_Perf_Report_151205_Q206 DPFR Template_Singapore (8 Mar 06)_computation File - KR Q207 DPFR--(1st version draft 0522 update )" xfId="967" xr:uid="{00000000-0005-0000-0000-000024030000}"/>
    <cellStyle name="_APJ_SPO_Perf_Report_151205_Q206 DPFR Template_Singapore (8 Mar 06)_computation File - KR Q307 DPFR(final version)" xfId="968" xr:uid="{00000000-0005-0000-0000-000025030000}"/>
    <cellStyle name="_APJ_SPO_Perf_Report_151205_Q206 DPFR Template_Singapore (8 Mar 06)_computation File - KR Q307 DPFR(Leeway 0828)" xfId="969" xr:uid="{00000000-0005-0000-0000-000026030000}"/>
    <cellStyle name="_APJ_SPO_Perf_Report_151205_Q206 DPFR Template_Singapore (8 Mar 06)_computation File - KR Q307 DPFR(update07-18-07)" xfId="970" xr:uid="{00000000-0005-0000-0000-000027030000}"/>
    <cellStyle name="_APJ_SPO_Perf_Report_151205_Q206 DPFR Template_Singapore (8 Mar 06)_computation File - KR Q307 DPFR(update07-23-07)" xfId="971" xr:uid="{00000000-0005-0000-0000-000028030000}"/>
    <cellStyle name="_APJ_SPO_Perf_Report_151205_Q206 DPFR Template_Singapore (8 Mar 06)_computation Practice(10thMay) - KR Q207 DPFR-  " xfId="972" xr:uid="{00000000-0005-0000-0000-000029030000}"/>
    <cellStyle name="_APJ_SPO_Perf_Report_151205_Q206 DPFR Template_Singapore (8 Mar 06)_computationFile - KR Q107 DPFR" xfId="973" xr:uid="{00000000-0005-0000-0000-00002A030000}"/>
    <cellStyle name="_APJ_SPO_Perf_Report_151205_Q206 DPFR Template_Singapore (8 Mar 06)_ID Q107 DPFR Computation (5Mar07)" xfId="974" xr:uid="{00000000-0005-0000-0000-00002B030000}"/>
    <cellStyle name="_APJ_SPO_Perf_Report_151205_Q206 DPFR Template_Singapore (8 Mar 06)_ID Q207 DPFR Computation_template" xfId="975" xr:uid="{00000000-0005-0000-0000-00002C030000}"/>
    <cellStyle name="_APJ_SPO_Perf_Report_151205_Q206 DPFR Template_Singapore (8 Mar 06)_IN Q207 DPFR Computation_template" xfId="976" xr:uid="{00000000-0005-0000-0000-00002D030000}"/>
    <cellStyle name="_APJ_SPO_Perf_Report_151205_Q206 DPFR Template_Singapore (8 Mar 06)_IN Q406 DPFR Computation (13nov06)" xfId="977" xr:uid="{00000000-0005-0000-0000-00002E030000}"/>
    <cellStyle name="_APJ_SPO_Perf_Report_151205_Q206 DPFR Template_Singapore (8 Mar 06)_IN Q406 DPFR Computation (24nov06)" xfId="978" xr:uid="{00000000-0005-0000-0000-00002F030000}"/>
    <cellStyle name="_APJ_SPO_Perf_Report_151205_Q206 DPFR Template_Singapore (8 Mar 06)_IN Q406 DPFR-R Computation (01dec06)" xfId="979" xr:uid="{00000000-0005-0000-0000-000030030000}"/>
    <cellStyle name="_APJ_SPO_Perf_Report_151205_Q206 DPFR Template_Singapore (8 Mar 06)_Input File - AEC Q207 DPFR" xfId="980" xr:uid="{00000000-0005-0000-0000-000031030000}"/>
    <cellStyle name="_APJ_SPO_Perf_Report_151205_Q206 DPFR Template_Singapore (8 Mar 06)_Input File - ID Q107 DPFR_Ver3" xfId="981" xr:uid="{00000000-0005-0000-0000-000032030000}"/>
    <cellStyle name="_APJ_SPO_Perf_Report_151205_Q206 DPFR Template_Singapore (8 Mar 06)_Input File - ID Q207 DPFR_Final-5-3-2007" xfId="982" xr:uid="{00000000-0005-0000-0000-000033030000}"/>
    <cellStyle name="_APJ_SPO_Perf_Report_151205_Q206 DPFR Template_Singapore (8 Mar 06)_Input File - IN Q107 DPFR" xfId="983" xr:uid="{00000000-0005-0000-0000-000034030000}"/>
    <cellStyle name="_APJ_SPO_Perf_Report_151205_Q206 DPFR Template_Singapore (8 Mar 06)_Input File - KR Q107 DPFR" xfId="984" xr:uid="{00000000-0005-0000-0000-000035030000}"/>
    <cellStyle name="_APJ_SPO_Perf_Report_151205_Q206 DPFR Template_Singapore (8 Mar 06)_Input File - KR Q107 DPFR(1128-PBM)" xfId="985" xr:uid="{00000000-0005-0000-0000-000036030000}"/>
    <cellStyle name="_APJ_SPO_Perf_Report_151205_Q206 DPFR Template_Singapore (8 Mar 06)_Input File - KR Q107 DPFR(23th Nov) 001" xfId="986" xr:uid="{00000000-0005-0000-0000-000037030000}"/>
    <cellStyle name="_APJ_SPO_Perf_Report_151205_Q206 DPFR Template_Singapore (8 Mar 06)_Input File - KR Q207 DPFR" xfId="987" xr:uid="{00000000-0005-0000-0000-000038030000}"/>
    <cellStyle name="_APJ_SPO_Perf_Report_151205_Q206 DPFR Template_Singapore (8 Mar 06)_Input File - KR Q207 DPFR(0205-AP)" xfId="988" xr:uid="{00000000-0005-0000-0000-000039030000}"/>
    <cellStyle name="_APJ_SPO_Perf_Report_151205_Q206 DPFR Template_Singapore (8 Mar 06)_Input File - KR Q307 DPFR(update05-23-07)" xfId="989" xr:uid="{00000000-0005-0000-0000-00003A030000}"/>
    <cellStyle name="_APJ_SPO_Perf_Report_151205_Q206 DPFR Template_Singapore (8 Mar 06)_Input File - KR Q406 DPFR(AP)_0807" xfId="990" xr:uid="{00000000-0005-0000-0000-00003B030000}"/>
    <cellStyle name="_APJ_SPO_Perf_Report_151205_Q206 DPFR Template_Singapore (8 Mar 06)_Input File - SG Q107 DPFR" xfId="991" xr:uid="{00000000-0005-0000-0000-00003C030000}"/>
    <cellStyle name="_APJ_SPO_Perf_Report_151205_Q206 DPFR Template_Singapore (8 Mar 06)_KR Q108 inputfile_DPFR_071203" xfId="992" xr:uid="{00000000-0005-0000-0000-00003D030000}"/>
    <cellStyle name="_APJ_SPO_Perf_Report_151205_Q206 DPFR Template_Singapore (8 Mar 06)_KR Q306 DPFR (Aug24thLeeway)" xfId="993" xr:uid="{00000000-0005-0000-0000-00003E030000}"/>
    <cellStyle name="_APJ_SPO_Perf_Report_151205_Q206 DPFR Template_Singapore (8 Mar 06)_KR Q306 DPFR 001fina-leewayl (2)" xfId="994" xr:uid="{00000000-0005-0000-0000-00003F030000}"/>
    <cellStyle name="_APJ_SPO_Perf_Report_151205_Q206 DPFR Template_Singapore (8 Mar 06)_KR Q407 DPFR_final_071030" xfId="995" xr:uid="{00000000-0005-0000-0000-000040030000}"/>
    <cellStyle name="_APJ_SPO_Perf_Report_151205_Q206 DPFR Template_Singapore (8 Mar 06)_KR Q407 DPFR_final_071106" xfId="996" xr:uid="{00000000-0005-0000-0000-000041030000}"/>
    <cellStyle name="_APJ_SPO_Perf_Report_151205_Q206 DPFR Template_Singapore (8 Mar 06)_KR Q407 DPFR_template_070802(updated)" xfId="997" xr:uid="{00000000-0005-0000-0000-000042030000}"/>
    <cellStyle name="_APJ_SPO_Perf_Report_151205_Q206 DPFR Template_Singapore (8 Mar 06)_Leeway-computation File - KR Q207 DPFR--(0523 update )" xfId="998" xr:uid="{00000000-0005-0000-0000-000043030000}"/>
    <cellStyle name="_APJ_SPO_Perf_Report_151205_Q206 DPFR Template_Singapore (8 Mar 06)_NMFT HD계산 법" xfId="999" xr:uid="{00000000-0005-0000-0000-000044030000}"/>
    <cellStyle name="_APJ_SPO_Perf_Report_151205_Q206 DPFR Template_Singapore (8 Mar 06)_nMFT 계산 (DPFR HD)_exclude RM (3)" xfId="1000" xr:uid="{00000000-0005-0000-0000-000045030000}"/>
    <cellStyle name="_APJ_SPO_Perf_Report_151205_Q206 DPFR Template_Singapore (8 Mar 06)_Q107 제외 7개사" xfId="1001" xr:uid="{00000000-0005-0000-0000-000046030000}"/>
    <cellStyle name="_APJ_SPO_Perf_Report_151205_Q206 DPFR Template_Singapore (8 Mar 06)_Q207 DPFR-021(Korea)" xfId="1002" xr:uid="{00000000-0005-0000-0000-000047030000}"/>
    <cellStyle name="_APJ_SPO_Perf_Report_151205_Q206 DPFR Template_Singapore (8 Mar 06)_Q407 plan detail for computation details" xfId="1003" xr:uid="{00000000-0005-0000-0000-000048030000}"/>
    <cellStyle name="_APJ_SPO_Perf_Report_151205_Q206 DPFR Template_Singapore (8 Mar 06)_SG Q206 DPFR Computation (24may06)" xfId="1004" xr:uid="{00000000-0005-0000-0000-000049030000}"/>
    <cellStyle name="_APJ_SPO_Perf_Report_151205_Q206 DPFR Template_Singapore (8 Mar 06)_SG Q406 DPFR Computation (20nov06)" xfId="1005" xr:uid="{00000000-0005-0000-0000-00004A030000}"/>
    <cellStyle name="_APJ_SPO_Perf_Report_151205_Q206 DPFR Template_Singapore (8 Mar 06)_TH Q107 DPFR Computation_template" xfId="1006" xr:uid="{00000000-0005-0000-0000-00004B030000}"/>
    <cellStyle name="_APJ_SPO_Perf_Report_151205_Q206 DPFR Template_Singapore (8 Mar 06)_수정본 KR Q407 DPFR_draft v._071122( NMFT HD update)" xfId="1007" xr:uid="{00000000-0005-0000-0000-00004C030000}"/>
    <cellStyle name="_APJ_SPO_Perf_Report_151205_Q207 DPFR-021(Korea)" xfId="1008" xr:uid="{00000000-0005-0000-0000-00004D030000}"/>
    <cellStyle name="_APJ_SPO_Perf_Report_151205_Q407 plan detail for computation details" xfId="1009" xr:uid="{00000000-0005-0000-0000-00004E030000}"/>
    <cellStyle name="_APJ_SPO_Perf_Report_151205_SG Q106 DPFR Computation (13feb06)" xfId="1010" xr:uid="{00000000-0005-0000-0000-00004F030000}"/>
    <cellStyle name="_APJ_SPO_Perf_Report_151205_SG Q106 DPFR Computation (13feb06)_SG Q206 DPFR Computation (24may06)" xfId="1011" xr:uid="{00000000-0005-0000-0000-000050030000}"/>
    <cellStyle name="_APJ_SPO_Perf_Report_151205_SG Q206 DPFR Computation" xfId="1012" xr:uid="{00000000-0005-0000-0000-000051030000}"/>
    <cellStyle name="_APJ_SPO_Perf_Report_151205_SG Q206 DPFR Computation (24may06)" xfId="1013" xr:uid="{00000000-0005-0000-0000-000052030000}"/>
    <cellStyle name="_APJ_SPO_Perf_Report_151205_SG Q306 DPFR Computation (08sept06)" xfId="1014" xr:uid="{00000000-0005-0000-0000-000053030000}"/>
    <cellStyle name="_APJ_SPO_Perf_Report_151205_SG Q406 DPFR Computation (20nov06)" xfId="1015" xr:uid="{00000000-0005-0000-0000-000054030000}"/>
    <cellStyle name="_APJ_SPO_Perf_Report_151205_TH Q107 DPFR Computation_template" xfId="1016" xr:uid="{00000000-0005-0000-0000-000055030000}"/>
    <cellStyle name="_APJ_SPO_Perf_Report_151205_수정본 KR Q407 DPFR_draft v._071122( NMFT HD update)" xfId="1017" xr:uid="{00000000-0005-0000-0000-000056030000}"/>
    <cellStyle name="_Application List V0.1" xfId="1018" xr:uid="{00000000-0005-0000-0000-000057030000}"/>
    <cellStyle name="_Application List V0.2" xfId="1019" xr:uid="{00000000-0005-0000-0000-000058030000}"/>
    <cellStyle name="_Axus 기본 견적" xfId="4016" xr:uid="{00000000-0005-0000-0000-000059030000}"/>
    <cellStyle name="_Base 1H07" xfId="1020" xr:uid="{00000000-0005-0000-0000-00005A030000}"/>
    <cellStyle name="_BC SHC 1024" xfId="1021" xr:uid="{00000000-0005-0000-0000-00005B030000}"/>
    <cellStyle name="_BC SHC f" xfId="1022" xr:uid="{00000000-0005-0000-0000-00005C030000}"/>
    <cellStyle name="_BestStor ST 기본견적" xfId="4017" xr:uid="{00000000-0005-0000-0000-00005D030000}"/>
    <cellStyle name="_Book1" xfId="1023" xr:uid="{00000000-0005-0000-0000-00005E030000}"/>
    <cellStyle name="_Book1 2" xfId="1024" xr:uid="{00000000-0005-0000-0000-00005F030000}"/>
    <cellStyle name="_Book1 3" xfId="1025" xr:uid="{00000000-0005-0000-0000-000060030000}"/>
    <cellStyle name="_Book1 4" xfId="1026" xr:uid="{00000000-0005-0000-0000-000061030000}"/>
    <cellStyle name="_Book1 5" xfId="1027" xr:uid="{00000000-0005-0000-0000-000062030000}"/>
    <cellStyle name="_Book1 6" xfId="1028" xr:uid="{00000000-0005-0000-0000-000063030000}"/>
    <cellStyle name="_Book1 7" xfId="1029" xr:uid="{00000000-0005-0000-0000-000064030000}"/>
    <cellStyle name="_Book1_0808 FY08Q4 HP Low end server 가격표(WS)" xfId="1030" xr:uid="{00000000-0005-0000-0000-000065030000}"/>
    <cellStyle name="_Book1_0808 FY08Q4 HP Low end server 가격표(WS)_090603_현대산업개발_그룹웨어_dl380g5서버_견적서_(송부2)_iLO" xfId="1031" xr:uid="{00000000-0005-0000-0000-000066030000}"/>
    <cellStyle name="_Book1_0808 FY08Q4 HP Low end server 가격표(WS)_090630_노틸러스효성_DL380G6 DL360G6" xfId="1032" xr:uid="{00000000-0005-0000-0000-000067030000}"/>
    <cellStyle name="_Book1_0808 FY08Q4 HP Low end server 가격표(WS)_공지_2009_5월표준견적서_ilo추가" xfId="1033" xr:uid="{00000000-0005-0000-0000-000068030000}"/>
    <cellStyle name="_Book1_1" xfId="1034" xr:uid="{00000000-0005-0000-0000-000069030000}"/>
    <cellStyle name="_Book1_2008_5월 100시리즈 HP Low end server 가격표(WS)v1" xfId="1035" xr:uid="{00000000-0005-0000-0000-00006A030000}"/>
    <cellStyle name="_Book1_2008_5월 100시리즈 HP Low end server 가격표(WS)v1_090603_현대산업개발_그룹웨어_dl380g5서버_견적서_(송부2)_iLO" xfId="1036" xr:uid="{00000000-0005-0000-0000-00006B030000}"/>
    <cellStyle name="_Book1_2008_5월 100시리즈 HP Low end server 가격표(WS)v1_090630_노틸러스효성_DL380G6 DL360G6" xfId="1037" xr:uid="{00000000-0005-0000-0000-00006C030000}"/>
    <cellStyle name="_Book1_2008_5월 100시리즈 HP Low end server 가격표(WS)v1_공지_2009_5월표준견적서_ilo추가" xfId="1038" xr:uid="{00000000-0005-0000-0000-00006D030000}"/>
    <cellStyle name="_Book1_Book1" xfId="1039" xr:uid="{00000000-0005-0000-0000-00006E030000}"/>
    <cellStyle name="_Book1_Book1_090603_현대산업개발_그룹웨어_dl380g5서버_견적서_(송부2)_iLO" xfId="1040" xr:uid="{00000000-0005-0000-0000-00006F030000}"/>
    <cellStyle name="_Book1_Book1_090630_노틸러스효성_DL380G6 DL360G6" xfId="1041" xr:uid="{00000000-0005-0000-0000-000070030000}"/>
    <cellStyle name="_Book1_Book1_공지_2009_5월표준견적서_ilo추가" xfId="1042" xr:uid="{00000000-0005-0000-0000-000071030000}"/>
    <cellStyle name="_Book1_hp-0610" xfId="1043" xr:uid="{00000000-0005-0000-0000-000072030000}"/>
    <cellStyle name="_Book1_hp-0612" xfId="1044" xr:uid="{00000000-0005-0000-0000-000073030000}"/>
    <cellStyle name="_Book1_hp-0701" xfId="1045" xr:uid="{00000000-0005-0000-0000-000074030000}"/>
    <cellStyle name="_Book1_hp-0702" xfId="1046" xr:uid="{00000000-0005-0000-0000-000075030000}"/>
    <cellStyle name="_Book1_hp-0703" xfId="1047" xr:uid="{00000000-0005-0000-0000-000076030000}"/>
    <cellStyle name="_Book1_hp-0705" xfId="1048" xr:uid="{00000000-0005-0000-0000-000077030000}"/>
    <cellStyle name="_Book1_hp-0707" xfId="1049" xr:uid="{00000000-0005-0000-0000-000078030000}"/>
    <cellStyle name="_Book1_hp-0708" xfId="1050" xr:uid="{00000000-0005-0000-0000-000079030000}"/>
    <cellStyle name="_Book1_hp-0709" xfId="1051" xr:uid="{00000000-0005-0000-0000-00007A030000}"/>
    <cellStyle name="_Book1_hp-0711" xfId="1052" xr:uid="{00000000-0005-0000-0000-00007B030000}"/>
    <cellStyle name="_Book1_hp-0802" xfId="1053" xr:uid="{00000000-0005-0000-0000-00007C030000}"/>
    <cellStyle name="_Book1_hp-0803" xfId="1054" xr:uid="{00000000-0005-0000-0000-00007D030000}"/>
    <cellStyle name="_Book1_ISS 케어팩_07" xfId="1055" xr:uid="{00000000-0005-0000-0000-00007E030000}"/>
    <cellStyle name="_Book1_ISS_2007_1월 가격표" xfId="1056" xr:uid="{00000000-0005-0000-0000-00007F030000}"/>
    <cellStyle name="_Book1_ISS_FY08_10월가격표_final013xls" xfId="1057" xr:uid="{00000000-0005-0000-0000-000080030000}"/>
    <cellStyle name="_Book1_ISS_FY08_10월가격표_final013xls 2" xfId="1058" xr:uid="{00000000-0005-0000-0000-000081030000}"/>
    <cellStyle name="_Book1_ISS_FY08_10월가격표_final013xls 3" xfId="1059" xr:uid="{00000000-0005-0000-0000-000082030000}"/>
    <cellStyle name="_Book1_ISS_FY08_10월가격표_final013xls 4" xfId="1060" xr:uid="{00000000-0005-0000-0000-000083030000}"/>
    <cellStyle name="_Book1_ISS_FY08_10월가격표_final013xls 5" xfId="1061" xr:uid="{00000000-0005-0000-0000-000084030000}"/>
    <cellStyle name="_Book1_ISS_FY08_10월가격표_final013xls 6" xfId="1062" xr:uid="{00000000-0005-0000-0000-000085030000}"/>
    <cellStyle name="_Book1_ISS_FY08_10월가격표_final013xls 7" xfId="1063" xr:uid="{00000000-0005-0000-0000-000086030000}"/>
    <cellStyle name="_Book1_ISS_FY08_8월가격표" xfId="1064" xr:uid="{00000000-0005-0000-0000-000087030000}"/>
    <cellStyle name="_Book1_ISS_FY08_8월가격표_090603_현대산업개발_그룹웨어_dl380g5서버_견적서_(송부2)_iLO" xfId="1065" xr:uid="{00000000-0005-0000-0000-000088030000}"/>
    <cellStyle name="_Book1_ISS_FY08_8월가격표_090630_노틸러스효성_DL380G6 DL360G6" xfId="1066" xr:uid="{00000000-0005-0000-0000-000089030000}"/>
    <cellStyle name="_Book1_ISS_FY08_8월가격표_공지_2009_5월표준견적서_ilo추가" xfId="1067" xr:uid="{00000000-0005-0000-0000-00008A030000}"/>
    <cellStyle name="_Book1_견적서(큐씨에스 080211)" xfId="1068" xr:uid="{00000000-0005-0000-0000-00008B030000}"/>
    <cellStyle name="_Book1_화이트박스-09-0430(SZ일체형)" xfId="4018" xr:uid="{00000000-0005-0000-0000-00008C030000}"/>
    <cellStyle name="_Book129" xfId="1069" xr:uid="{00000000-0005-0000-0000-00008D030000}"/>
    <cellStyle name="_Book13" xfId="1070" xr:uid="{00000000-0005-0000-0000-00008E030000}"/>
    <cellStyle name="_Book13 2" xfId="1071" xr:uid="{00000000-0005-0000-0000-00008F030000}"/>
    <cellStyle name="_Book13 3" xfId="1072" xr:uid="{00000000-0005-0000-0000-000090030000}"/>
    <cellStyle name="_Book13 4" xfId="1073" xr:uid="{00000000-0005-0000-0000-000091030000}"/>
    <cellStyle name="_Book13 5" xfId="1074" xr:uid="{00000000-0005-0000-0000-000092030000}"/>
    <cellStyle name="_Book13 6" xfId="1075" xr:uid="{00000000-0005-0000-0000-000093030000}"/>
    <cellStyle name="_Book13 7" xfId="1076" xr:uid="{00000000-0005-0000-0000-000094030000}"/>
    <cellStyle name="_Book13_0808 FY08Q4 HP Low end server 가격표(WS)" xfId="1077" xr:uid="{00000000-0005-0000-0000-000095030000}"/>
    <cellStyle name="_Book13_0808 FY08Q4 HP Low end server 가격표(WS)_090603_현대산업개발_그룹웨어_dl380g5서버_견적서_(송부2)_iLO" xfId="1078" xr:uid="{00000000-0005-0000-0000-000096030000}"/>
    <cellStyle name="_Book13_0808 FY08Q4 HP Low end server 가격표(WS)_090630_노틸러스효성_DL380G6 DL360G6" xfId="1079" xr:uid="{00000000-0005-0000-0000-000097030000}"/>
    <cellStyle name="_Book13_0808 FY08Q4 HP Low end server 가격표(WS)_공지_2009_5월표준견적서_ilo추가" xfId="1080" xr:uid="{00000000-0005-0000-0000-000098030000}"/>
    <cellStyle name="_Book13_2008_5월 100시리즈 HP Low end server 가격표(WS)v1" xfId="1081" xr:uid="{00000000-0005-0000-0000-000099030000}"/>
    <cellStyle name="_Book13_2008_5월 100시리즈 HP Low end server 가격표(WS)v1_090603_현대산업개발_그룹웨어_dl380g5서버_견적서_(송부2)_iLO" xfId="1082" xr:uid="{00000000-0005-0000-0000-00009A030000}"/>
    <cellStyle name="_Book13_2008_5월 100시리즈 HP Low end server 가격표(WS)v1_090630_노틸러스효성_DL380G6 DL360G6" xfId="1083" xr:uid="{00000000-0005-0000-0000-00009B030000}"/>
    <cellStyle name="_Book13_2008_5월 100시리즈 HP Low end server 가격표(WS)v1_공지_2009_5월표준견적서_ilo추가" xfId="1084" xr:uid="{00000000-0005-0000-0000-00009C030000}"/>
    <cellStyle name="_Book13_Book1" xfId="1085" xr:uid="{00000000-0005-0000-0000-00009D030000}"/>
    <cellStyle name="_Book13_Book1_090603_현대산업개발_그룹웨어_dl380g5서버_견적서_(송부2)_iLO" xfId="1086" xr:uid="{00000000-0005-0000-0000-00009E030000}"/>
    <cellStyle name="_Book13_Book1_090630_노틸러스효성_DL380G6 DL360G6" xfId="1087" xr:uid="{00000000-0005-0000-0000-00009F030000}"/>
    <cellStyle name="_Book13_Book1_공지_2009_5월표준견적서_ilo추가" xfId="1088" xr:uid="{00000000-0005-0000-0000-0000A0030000}"/>
    <cellStyle name="_Book13_hp-0612" xfId="1089" xr:uid="{00000000-0005-0000-0000-0000A1030000}"/>
    <cellStyle name="_Book13_hp-0701" xfId="1090" xr:uid="{00000000-0005-0000-0000-0000A2030000}"/>
    <cellStyle name="_Book13_hp-0702" xfId="1091" xr:uid="{00000000-0005-0000-0000-0000A3030000}"/>
    <cellStyle name="_Book13_ISS 케어팩_07" xfId="1092" xr:uid="{00000000-0005-0000-0000-0000A4030000}"/>
    <cellStyle name="_Book13_ISS_FY08_10월가격표_final013xls" xfId="1093" xr:uid="{00000000-0005-0000-0000-0000A5030000}"/>
    <cellStyle name="_Book13_ISS_FY08_10월가격표_final013xls 2" xfId="1094" xr:uid="{00000000-0005-0000-0000-0000A6030000}"/>
    <cellStyle name="_Book13_ISS_FY08_10월가격표_final013xls 3" xfId="1095" xr:uid="{00000000-0005-0000-0000-0000A7030000}"/>
    <cellStyle name="_Book13_ISS_FY08_10월가격표_final013xls 4" xfId="1096" xr:uid="{00000000-0005-0000-0000-0000A8030000}"/>
    <cellStyle name="_Book13_ISS_FY08_10월가격표_final013xls 5" xfId="1097" xr:uid="{00000000-0005-0000-0000-0000A9030000}"/>
    <cellStyle name="_Book13_ISS_FY08_10월가격표_final013xls 6" xfId="1098" xr:uid="{00000000-0005-0000-0000-0000AA030000}"/>
    <cellStyle name="_Book13_ISS_FY08_10월가격표_final013xls 7" xfId="1099" xr:uid="{00000000-0005-0000-0000-0000AB030000}"/>
    <cellStyle name="_Book13_ISS_FY08_8월가격표" xfId="1100" xr:uid="{00000000-0005-0000-0000-0000AC030000}"/>
    <cellStyle name="_Book13_ISS_FY08_8월가격표_090603_현대산업개발_그룹웨어_dl380g5서버_견적서_(송부2)_iLO" xfId="1101" xr:uid="{00000000-0005-0000-0000-0000AD030000}"/>
    <cellStyle name="_Book13_ISS_FY08_8월가격표_090630_노틸러스효성_DL380G6 DL360G6" xfId="1102" xr:uid="{00000000-0005-0000-0000-0000AE030000}"/>
    <cellStyle name="_Book13_ISS_FY08_8월가격표_공지_2009_5월표준견적서_ilo추가" xfId="1103" xr:uid="{00000000-0005-0000-0000-0000AF030000}"/>
    <cellStyle name="_Book13_화이트박스-09-0430(SZ일체형)" xfId="4019" xr:uid="{00000000-0005-0000-0000-0000B0030000}"/>
    <cellStyle name="_Book34" xfId="1104" xr:uid="{00000000-0005-0000-0000-0000B1030000}"/>
    <cellStyle name="_Book45" xfId="131" xr:uid="{00000000-0005-0000-0000-0000B2030000}"/>
    <cellStyle name="_Book6" xfId="4020" xr:uid="{00000000-0005-0000-0000-0000B3030000}"/>
    <cellStyle name="_BUD BaseCase Temp" xfId="1105" xr:uid="{00000000-0005-0000-0000-0000B4030000}"/>
    <cellStyle name="_Bud 소요 인력 조사" xfId="1106" xr:uid="{00000000-0005-0000-0000-0000B5030000}"/>
    <cellStyle name="_Bud 소요 인력 조사_20050429 (새로온것)" xfId="1107" xr:uid="{00000000-0005-0000-0000-0000B6030000}"/>
    <cellStyle name="_CISCO4003-0205" xfId="29" xr:uid="{00000000-0005-0000-0000-0000B7030000}"/>
    <cellStyle name="_CJ_Web HDD Solution_07.12.10(최종)" xfId="4021" xr:uid="{00000000-0005-0000-0000-0000B8030000}"/>
    <cellStyle name="_Comm-Ent Quota and Booking Rules" xfId="1108" xr:uid="{00000000-0005-0000-0000-0000B9030000}"/>
    <cellStyle name="_Compaq ML530_20040218" xfId="1109" xr:uid="{00000000-0005-0000-0000-0000BA030000}"/>
    <cellStyle name="_COMPAQServer" xfId="132" xr:uid="{00000000-0005-0000-0000-0000BB030000}"/>
    <cellStyle name="_Contract_New" xfId="1110" xr:uid="{00000000-0005-0000-0000-0000BC030000}"/>
    <cellStyle name="_Costcase 작성용 Baseline 0825" xfId="1111" xr:uid="{00000000-0005-0000-0000-0000BD030000}"/>
    <cellStyle name="_CPQRC_Storage_Dec05" xfId="1112" xr:uid="{00000000-0005-0000-0000-0000BE030000}"/>
    <cellStyle name="_EAnnounce  CORE" xfId="4022" xr:uid="{00000000-0005-0000-0000-0000BF030000}"/>
    <cellStyle name="_Eclipse approval" xfId="1113" xr:uid="{00000000-0005-0000-0000-0000C0030000}"/>
    <cellStyle name="_Eclipse approval 2" xfId="1114" xr:uid="{00000000-0005-0000-0000-0000C1030000}"/>
    <cellStyle name="_Eclipse approval 3" xfId="1115" xr:uid="{00000000-0005-0000-0000-0000C2030000}"/>
    <cellStyle name="_Eclipse approval 4" xfId="1116" xr:uid="{00000000-0005-0000-0000-0000C3030000}"/>
    <cellStyle name="_Eclipse approval 5" xfId="1117" xr:uid="{00000000-0005-0000-0000-0000C4030000}"/>
    <cellStyle name="_Eclipse approval 6" xfId="1118" xr:uid="{00000000-0005-0000-0000-0000C5030000}"/>
    <cellStyle name="_Eclipse approval 7" xfId="1119" xr:uid="{00000000-0005-0000-0000-0000C6030000}"/>
    <cellStyle name="_Eclipse approval_0808 FY08Q4 HP Low end server 가격표(WS)" xfId="1120" xr:uid="{00000000-0005-0000-0000-0000C7030000}"/>
    <cellStyle name="_Eclipse approval_0808 FY08Q4 HP Low end server 가격표(WS)_090603_현대산업개발_그룹웨어_dl380g5서버_견적서_(송부2)_iLO" xfId="1121" xr:uid="{00000000-0005-0000-0000-0000C8030000}"/>
    <cellStyle name="_Eclipse approval_0808 FY08Q4 HP Low end server 가격표(WS)_090630_노틸러스효성_DL380G6 DL360G6" xfId="1122" xr:uid="{00000000-0005-0000-0000-0000C9030000}"/>
    <cellStyle name="_Eclipse approval_0808 FY08Q4 HP Low end server 가격표(WS)_공지_2009_5월표준견적서_ilo추가" xfId="1123" xr:uid="{00000000-0005-0000-0000-0000CA030000}"/>
    <cellStyle name="_Eclipse approval_2008_5월 100시리즈 HP Low end server 가격표(WS)v1" xfId="1124" xr:uid="{00000000-0005-0000-0000-0000CB030000}"/>
    <cellStyle name="_Eclipse approval_2008_5월 100시리즈 HP Low end server 가격표(WS)v1_090603_현대산업개발_그룹웨어_dl380g5서버_견적서_(송부2)_iLO" xfId="1125" xr:uid="{00000000-0005-0000-0000-0000CC030000}"/>
    <cellStyle name="_Eclipse approval_2008_5월 100시리즈 HP Low end server 가격표(WS)v1_090630_노틸러스효성_DL380G6 DL360G6" xfId="1126" xr:uid="{00000000-0005-0000-0000-0000CD030000}"/>
    <cellStyle name="_Eclipse approval_2008_5월 100시리즈 HP Low end server 가격표(WS)v1_공지_2009_5월표준견적서_ilo추가" xfId="1127" xr:uid="{00000000-0005-0000-0000-0000CE030000}"/>
    <cellStyle name="_Eclipse approval_Book1" xfId="1128" xr:uid="{00000000-0005-0000-0000-0000CF030000}"/>
    <cellStyle name="_Eclipse approval_Book1_090603_현대산업개발_그룹웨어_dl380g5서버_견적서_(송부2)_iLO" xfId="1129" xr:uid="{00000000-0005-0000-0000-0000D0030000}"/>
    <cellStyle name="_Eclipse approval_Book1_090630_노틸러스효성_DL380G6 DL360G6" xfId="1130" xr:uid="{00000000-0005-0000-0000-0000D1030000}"/>
    <cellStyle name="_Eclipse approval_Book1_공지_2009_5월표준견적서_ilo추가" xfId="1131" xr:uid="{00000000-0005-0000-0000-0000D2030000}"/>
    <cellStyle name="_Eclipse approval_hp-0612" xfId="1132" xr:uid="{00000000-0005-0000-0000-0000D3030000}"/>
    <cellStyle name="_Eclipse approval_hp-0701" xfId="1133" xr:uid="{00000000-0005-0000-0000-0000D4030000}"/>
    <cellStyle name="_Eclipse approval_hp-0702" xfId="1134" xr:uid="{00000000-0005-0000-0000-0000D5030000}"/>
    <cellStyle name="_Eclipse approval_ISS 케어팩_07" xfId="1135" xr:uid="{00000000-0005-0000-0000-0000D6030000}"/>
    <cellStyle name="_Eclipse approval_ISS_FY08_10월가격표_final013xls" xfId="1136" xr:uid="{00000000-0005-0000-0000-0000D7030000}"/>
    <cellStyle name="_Eclipse approval_ISS_FY08_10월가격표_final013xls 2" xfId="1137" xr:uid="{00000000-0005-0000-0000-0000D8030000}"/>
    <cellStyle name="_Eclipse approval_ISS_FY08_10월가격표_final013xls 3" xfId="1138" xr:uid="{00000000-0005-0000-0000-0000D9030000}"/>
    <cellStyle name="_Eclipse approval_ISS_FY08_10월가격표_final013xls 4" xfId="1139" xr:uid="{00000000-0005-0000-0000-0000DA030000}"/>
    <cellStyle name="_Eclipse approval_ISS_FY08_10월가격표_final013xls 5" xfId="1140" xr:uid="{00000000-0005-0000-0000-0000DB030000}"/>
    <cellStyle name="_Eclipse approval_ISS_FY08_10월가격표_final013xls 6" xfId="1141" xr:uid="{00000000-0005-0000-0000-0000DC030000}"/>
    <cellStyle name="_Eclipse approval_ISS_FY08_10월가격표_final013xls 7" xfId="1142" xr:uid="{00000000-0005-0000-0000-0000DD030000}"/>
    <cellStyle name="_Eclipse approval_ISS_FY08_8월가격표" xfId="1143" xr:uid="{00000000-0005-0000-0000-0000DE030000}"/>
    <cellStyle name="_Eclipse approval_ISS_FY08_8월가격표_090603_현대산업개발_그룹웨어_dl380g5서버_견적서_(송부2)_iLO" xfId="1144" xr:uid="{00000000-0005-0000-0000-0000DF030000}"/>
    <cellStyle name="_Eclipse approval_ISS_FY08_8월가격표_090630_노틸러스효성_DL380G6 DL360G6" xfId="1145" xr:uid="{00000000-0005-0000-0000-0000E0030000}"/>
    <cellStyle name="_Eclipse approval_ISS_FY08_8월가격표_공지_2009_5월표준견적서_ilo추가" xfId="1146" xr:uid="{00000000-0005-0000-0000-0000E1030000}"/>
    <cellStyle name="_Eclipse approval_화이트박스-09-0430(SZ일체형)" xfId="4023" xr:uid="{00000000-0005-0000-0000-0000E2030000}"/>
    <cellStyle name="_eclipse-1110" xfId="1147" xr:uid="{00000000-0005-0000-0000-0000E3030000}"/>
    <cellStyle name="_e-HRM 제안견적서(20050525)" xfId="1148" xr:uid="{00000000-0005-0000-0000-0000E4030000}"/>
    <cellStyle name="_EKI-건설_견적서20050428" xfId="1149" xr:uid="{00000000-0005-0000-0000-0000E5030000}"/>
    <cellStyle name="_EMC_AX100_2TB_경상대학" xfId="1150" xr:uid="{00000000-0005-0000-0000-0000E6030000}"/>
    <cellStyle name="_EMC-050520-CX300-2005521" xfId="1151" xr:uid="{00000000-0005-0000-0000-0000E7030000}"/>
    <cellStyle name="_EMC가격(삼테크)" xfId="4024" xr:uid="{00000000-0005-0000-0000-0000E8030000}"/>
    <cellStyle name="_ent FCST 07 1H" xfId="1152" xr:uid="{00000000-0005-0000-0000-0000E9030000}"/>
    <cellStyle name="_ent FCST 2H" xfId="1153" xr:uid="{00000000-0005-0000-0000-0000EA030000}"/>
    <cellStyle name="_FCST TTL" xfId="1154" xr:uid="{00000000-0005-0000-0000-0000EB030000}"/>
    <cellStyle name="_FNT_FORMAT" xfId="1155" xr:uid="{00000000-0005-0000-0000-0000EC030000}"/>
    <cellStyle name="_foxz" xfId="4369" xr:uid="{00000000-0005-0000-0000-0000ED030000}"/>
    <cellStyle name="_FP_설계내역샘플_(가중치직접산정방식)_New" xfId="1156" xr:uid="{00000000-0005-0000-0000-0000EE030000}"/>
    <cellStyle name="_FTE Data Gathering_신한카드 1106 (IBM assumed cost data)" xfId="1157" xr:uid="{00000000-0005-0000-0000-0000EF030000}"/>
    <cellStyle name="_FY05 1X Weekly Stock Report(as of Aug 28)" xfId="1158" xr:uid="{00000000-0005-0000-0000-0000F0030000}"/>
    <cellStyle name="_FY05 1X Weekly Stock Report(as of Dec.12)" xfId="1159" xr:uid="{00000000-0005-0000-0000-0000F1030000}"/>
    <cellStyle name="_FY05 1X Weekly Stock Report(as of Dec.19)" xfId="1160" xr:uid="{00000000-0005-0000-0000-0000F2030000}"/>
    <cellStyle name="_FY05 1X Weekly Stock Report(as of Feb 13)" xfId="1161" xr:uid="{00000000-0005-0000-0000-0000F3030000}"/>
    <cellStyle name="_FY05 1X Weekly Stock Report(as of Nov.30)" xfId="1162" xr:uid="{00000000-0005-0000-0000-0000F4030000}"/>
    <cellStyle name="_FY05 1X Weekly Stock Report(as of Sep 18)" xfId="1163" xr:uid="{00000000-0005-0000-0000-0000F5030000}"/>
    <cellStyle name="_FY05 2H BP Targets - ver5" xfId="1164" xr:uid="{00000000-0005-0000-0000-0000F6030000}"/>
    <cellStyle name="_FY05 2H PBP Targets - ver6" xfId="1165" xr:uid="{00000000-0005-0000-0000-0000F7030000}"/>
    <cellStyle name="_FY05 2H PBP Targets - ver7" xfId="1166" xr:uid="{00000000-0005-0000-0000-0000F8030000}"/>
    <cellStyle name="_fy051H quota_v3" xfId="1167" xr:uid="{00000000-0005-0000-0000-0000F9030000}"/>
    <cellStyle name="_FY05'2H ISS WOS(0812)1" xfId="1168" xr:uid="{00000000-0005-0000-0000-0000FA030000}"/>
    <cellStyle name="_FY05'2H ISS WOS(0821)1 (2)" xfId="1169" xr:uid="{00000000-0005-0000-0000-0000FB030000}"/>
    <cellStyle name="_FY06 1X Weekly Stock Report(as of Dec 18)" xfId="1170" xr:uid="{00000000-0005-0000-0000-0000FC030000}"/>
    <cellStyle name="_FY06 1X Weekly Stock Status Report(as of Apr 30) (2)" xfId="1171" xr:uid="{00000000-0005-0000-0000-0000FD030000}"/>
    <cellStyle name="_FY06 1X Weekly Stock Status Report(as of Feb.5)1" xfId="1172" xr:uid="{00000000-0005-0000-0000-0000FE030000}"/>
    <cellStyle name="_FY06 1X Weekly Stock Status Report(as of Jan 29)" xfId="1173" xr:uid="{00000000-0005-0000-0000-0000FF030000}"/>
    <cellStyle name="_FY07 1X Weekly Stock Status Report(as of Jan 28th)" xfId="1174" xr:uid="{00000000-0005-0000-0000-000000040000}"/>
    <cellStyle name="_GM fcst OCT06" xfId="1175" xr:uid="{00000000-0005-0000-0000-000001040000}"/>
    <cellStyle name="_GM fcst OCT06 2" xfId="1176" xr:uid="{00000000-0005-0000-0000-000002040000}"/>
    <cellStyle name="_GM fcst OCT06 3" xfId="1177" xr:uid="{00000000-0005-0000-0000-000003040000}"/>
    <cellStyle name="_GM fcst OCT06 4" xfId="1178" xr:uid="{00000000-0005-0000-0000-000004040000}"/>
    <cellStyle name="_GM fcst OCT06 5" xfId="1179" xr:uid="{00000000-0005-0000-0000-000005040000}"/>
    <cellStyle name="_GM fcst OCT06 6" xfId="1180" xr:uid="{00000000-0005-0000-0000-000006040000}"/>
    <cellStyle name="_GM fcst OCT06 7" xfId="1181" xr:uid="{00000000-0005-0000-0000-000007040000}"/>
    <cellStyle name="_GM fcst OCT06_0808 FY08Q4 HP Low end server 가격표(WS)" xfId="1182" xr:uid="{00000000-0005-0000-0000-000008040000}"/>
    <cellStyle name="_GM fcst OCT06_0808 FY08Q4 HP Low end server 가격표(WS)_090603_현대산업개발_그룹웨어_dl380g5서버_견적서_(송부2)_iLO" xfId="1183" xr:uid="{00000000-0005-0000-0000-000009040000}"/>
    <cellStyle name="_GM fcst OCT06_0808 FY08Q4 HP Low end server 가격표(WS)_090630_노틸러스효성_DL380G6 DL360G6" xfId="1184" xr:uid="{00000000-0005-0000-0000-00000A040000}"/>
    <cellStyle name="_GM fcst OCT06_0808 FY08Q4 HP Low end server 가격표(WS)_공지_2009_5월표준견적서_ilo추가" xfId="1185" xr:uid="{00000000-0005-0000-0000-00000B040000}"/>
    <cellStyle name="_GM fcst OCT06_2008_5월 100시리즈 HP Low end server 가격표(WS)v1" xfId="1186" xr:uid="{00000000-0005-0000-0000-00000C040000}"/>
    <cellStyle name="_GM fcst OCT06_2008_5월 100시리즈 HP Low end server 가격표(WS)v1_090603_현대산업개발_그룹웨어_dl380g5서버_견적서_(송부2)_iLO" xfId="1187" xr:uid="{00000000-0005-0000-0000-00000D040000}"/>
    <cellStyle name="_GM fcst OCT06_2008_5월 100시리즈 HP Low end server 가격표(WS)v1_090630_노틸러스효성_DL380G6 DL360G6" xfId="1188" xr:uid="{00000000-0005-0000-0000-00000E040000}"/>
    <cellStyle name="_GM fcst OCT06_2008_5월 100시리즈 HP Low end server 가격표(WS)v1_공지_2009_5월표준견적서_ilo추가" xfId="1189" xr:uid="{00000000-0005-0000-0000-00000F040000}"/>
    <cellStyle name="_GM fcst OCT06_Book1" xfId="1190" xr:uid="{00000000-0005-0000-0000-000010040000}"/>
    <cellStyle name="_GM fcst OCT06_Book1_090603_현대산업개발_그룹웨어_dl380g5서버_견적서_(송부2)_iLO" xfId="1191" xr:uid="{00000000-0005-0000-0000-000011040000}"/>
    <cellStyle name="_GM fcst OCT06_Book1_090630_노틸러스효성_DL380G6 DL360G6" xfId="1192" xr:uid="{00000000-0005-0000-0000-000012040000}"/>
    <cellStyle name="_GM fcst OCT06_Book1_공지_2009_5월표준견적서_ilo추가" xfId="1193" xr:uid="{00000000-0005-0000-0000-000013040000}"/>
    <cellStyle name="_GM fcst OCT06_hp-0612" xfId="1194" xr:uid="{00000000-0005-0000-0000-000014040000}"/>
    <cellStyle name="_GM fcst OCT06_hp-0701" xfId="1195" xr:uid="{00000000-0005-0000-0000-000015040000}"/>
    <cellStyle name="_GM fcst OCT06_hp-0702" xfId="1196" xr:uid="{00000000-0005-0000-0000-000016040000}"/>
    <cellStyle name="_GM fcst OCT06_ISS 케어팩_07" xfId="1197" xr:uid="{00000000-0005-0000-0000-000017040000}"/>
    <cellStyle name="_GM fcst OCT06_ISS_FY08_10월가격표_final013xls" xfId="1198" xr:uid="{00000000-0005-0000-0000-000018040000}"/>
    <cellStyle name="_GM fcst OCT06_ISS_FY08_10월가격표_final013xls 2" xfId="1199" xr:uid="{00000000-0005-0000-0000-000019040000}"/>
    <cellStyle name="_GM fcst OCT06_ISS_FY08_10월가격표_final013xls 3" xfId="1200" xr:uid="{00000000-0005-0000-0000-00001A040000}"/>
    <cellStyle name="_GM fcst OCT06_ISS_FY08_10월가격표_final013xls 4" xfId="1201" xr:uid="{00000000-0005-0000-0000-00001B040000}"/>
    <cellStyle name="_GM fcst OCT06_ISS_FY08_10월가격표_final013xls 5" xfId="1202" xr:uid="{00000000-0005-0000-0000-00001C040000}"/>
    <cellStyle name="_GM fcst OCT06_ISS_FY08_10월가격표_final013xls 6" xfId="1203" xr:uid="{00000000-0005-0000-0000-00001D040000}"/>
    <cellStyle name="_GM fcst OCT06_ISS_FY08_10월가격표_final013xls 7" xfId="1204" xr:uid="{00000000-0005-0000-0000-00001E040000}"/>
    <cellStyle name="_GM fcst OCT06_ISS_FY08_8월가격표" xfId="1205" xr:uid="{00000000-0005-0000-0000-00001F040000}"/>
    <cellStyle name="_GM fcst OCT06_ISS_FY08_8월가격표_090603_현대산업개발_그룹웨어_dl380g5서버_견적서_(송부2)_iLO" xfId="1206" xr:uid="{00000000-0005-0000-0000-000020040000}"/>
    <cellStyle name="_GM fcst OCT06_ISS_FY08_8월가격표_090630_노틸러스효성_DL380G6 DL360G6" xfId="1207" xr:uid="{00000000-0005-0000-0000-000021040000}"/>
    <cellStyle name="_GM fcst OCT06_ISS_FY08_8월가격표_공지_2009_5월표준견적서_ilo추가" xfId="1208" xr:uid="{00000000-0005-0000-0000-000022040000}"/>
    <cellStyle name="_GM fcst OCT06_화이트박스-09-0430(SZ일체형)" xfId="4025" xr:uid="{00000000-0005-0000-0000-000023040000}"/>
    <cellStyle name="_GS140CPU 가격" xfId="1209" xr:uid="{00000000-0005-0000-0000-000024040000}"/>
    <cellStyle name="_GT_Storage 외_07.2.21" xfId="4026" xr:uid="{00000000-0005-0000-0000-000025040000}"/>
    <cellStyle name="_GT_Storage 외_07.3.14" xfId="4027" xr:uid="{00000000-0005-0000-0000-000026040000}"/>
    <cellStyle name="_GT_TN6216D-FFG.06.4.25" xfId="4028" xr:uid="{00000000-0005-0000-0000-000027040000}"/>
    <cellStyle name="_GT_데이콤 07.5.8" xfId="4029" xr:uid="{00000000-0005-0000-0000-000028040000}"/>
    <cellStyle name="_Hart-LSR견적서및Spec자료" xfId="1210" xr:uid="{00000000-0005-0000-0000-000029040000}"/>
    <cellStyle name="_HDD" xfId="4224" xr:uid="{00000000-0005-0000-0000-00002A040000}"/>
    <cellStyle name="_Healthcare-SMB-0518" xfId="1211" xr:uid="{00000000-0005-0000-0000-00002B040000}"/>
    <cellStyle name="_HIT(5월21일,MSL5030L1,이재근,원가)" xfId="1212" xr:uid="{00000000-0005-0000-0000-00002C040000}"/>
    <cellStyle name="_HIT-050425-Single" xfId="1213" xr:uid="{00000000-0005-0000-0000-00002D040000}"/>
    <cellStyle name="_HIT-050511-RX" xfId="1214" xr:uid="{00000000-0005-0000-0000-00002E040000}"/>
    <cellStyle name="_hp ma funnel" xfId="1215" xr:uid="{00000000-0005-0000-0000-00002F040000}"/>
    <cellStyle name="_HP rx5670_한국도로공사_0310" xfId="1216" xr:uid="{00000000-0005-0000-0000-000030040000}"/>
    <cellStyle name="_hp-0409" xfId="1217" xr:uid="{00000000-0005-0000-0000-000031040000}"/>
    <cellStyle name="_hp-0410" xfId="1218" xr:uid="{00000000-0005-0000-0000-000032040000}"/>
    <cellStyle name="_hp-0411" xfId="1219" xr:uid="{00000000-0005-0000-0000-000033040000}"/>
    <cellStyle name="_hp-0412" xfId="1220" xr:uid="{00000000-0005-0000-0000-000034040000}"/>
    <cellStyle name="_hp-0501" xfId="1221" xr:uid="{00000000-0005-0000-0000-000035040000}"/>
    <cellStyle name="_hp-0503" xfId="1222" xr:uid="{00000000-0005-0000-0000-000036040000}"/>
    <cellStyle name="_hp-0504" xfId="1223" xr:uid="{00000000-0005-0000-0000-000037040000}"/>
    <cellStyle name="_hp-0505" xfId="1224" xr:uid="{00000000-0005-0000-0000-000038040000}"/>
    <cellStyle name="_hp-0507" xfId="1225" xr:uid="{00000000-0005-0000-0000-000039040000}"/>
    <cellStyle name="_hp-0508" xfId="1226" xr:uid="{00000000-0005-0000-0000-00003A040000}"/>
    <cellStyle name="_hp-0610" xfId="1227" xr:uid="{00000000-0005-0000-0000-00003B040000}"/>
    <cellStyle name="_hp-0702" xfId="1228" xr:uid="{00000000-0005-0000-0000-00003C040000}"/>
    <cellStyle name="_hp-0703" xfId="1229" xr:uid="{00000000-0005-0000-0000-00003D040000}"/>
    <cellStyle name="_hp-0705" xfId="1230" xr:uid="{00000000-0005-0000-0000-00003E040000}"/>
    <cellStyle name="_hp-0707" xfId="1231" xr:uid="{00000000-0005-0000-0000-00003F040000}"/>
    <cellStyle name="_hp-0708" xfId="1232" xr:uid="{00000000-0005-0000-0000-000040040000}"/>
    <cellStyle name="_hp-0709" xfId="1233" xr:uid="{00000000-0005-0000-0000-000041040000}"/>
    <cellStyle name="_hp-0711" xfId="1234" xr:uid="{00000000-0005-0000-0000-000042040000}"/>
    <cellStyle name="_hp-0802" xfId="1235" xr:uid="{00000000-0005-0000-0000-000043040000}"/>
    <cellStyle name="_hp-0803" xfId="1236" xr:uid="{00000000-0005-0000-0000-000044040000}"/>
    <cellStyle name="_hp통합2003년1월가격표" xfId="4030" xr:uid="{00000000-0005-0000-0000-000045040000}"/>
    <cellStyle name="_HW&amp;HW MA&amp; Circuit procurement_0825 v1" xfId="1237" xr:uid="{00000000-0005-0000-0000-000046040000}"/>
    <cellStyle name="_IBM Finance approved to Keith April 22 - jc050109" xfId="4031" xr:uid="{00000000-0005-0000-0000-000047040000}"/>
    <cellStyle name="_IBM Flex System Price Table" xfId="4032" xr:uid="{00000000-0005-0000-0000-000048040000}"/>
    <cellStyle name="_IBM Flex System Price Table - Revision" xfId="4033" xr:uid="{00000000-0005-0000-0000-000049040000}"/>
    <cellStyle name="_IBM LION Project 견적서(2005.08.26)" xfId="1238" xr:uid="{00000000-0005-0000-0000-00004A040000}"/>
    <cellStyle name="_IBM p520 외_조윤상 부장님_0201" xfId="1239" xr:uid="{00000000-0005-0000-0000-00004B040000}"/>
    <cellStyle name="_IBM p550 외_삼성SDS_그룹 EP_0329 (2안)" xfId="1240" xr:uid="{00000000-0005-0000-0000-00004C040000}"/>
    <cellStyle name="_IBM p570 외_LG CNS_증권예탁원_0315" xfId="1241" xr:uid="{00000000-0005-0000-0000-00004D040000}"/>
    <cellStyle name="_IBM p570_삼성 SDS_지하철_0307" xfId="1242" xr:uid="{00000000-0005-0000-0000-00004E040000}"/>
    <cellStyle name="_IBM x346 외_한국방송광고공사_0317" xfId="1243" xr:uid="{00000000-0005-0000-0000-00004F040000}"/>
    <cellStyle name="_IBM x365_HANWHA_0707" xfId="1244" xr:uid="{00000000-0005-0000-0000-000050040000}"/>
    <cellStyle name="_IBM_LG CNS_0701(복합)" xfId="1245" xr:uid="{00000000-0005-0000-0000-000051040000}"/>
    <cellStyle name="_inet_DL360RG5_07.3.14" xfId="4034" xr:uid="{00000000-0005-0000-0000-000052040000}"/>
    <cellStyle name="_inet_Storage_08.2.18" xfId="4035" xr:uid="{00000000-0005-0000-0000-000053040000}"/>
    <cellStyle name="_Intel" xfId="4036" xr:uid="{00000000-0005-0000-0000-000054040000}"/>
    <cellStyle name="_Inventory_Jan_14_07" xfId="1246" xr:uid="{00000000-0005-0000-0000-000055040000}"/>
    <cellStyle name="_inventory-Dec5_04" xfId="1247" xr:uid="{00000000-0005-0000-0000-000056040000}"/>
    <cellStyle name="_ISS 10월 가격표" xfId="4037" xr:uid="{00000000-0005-0000-0000-000057040000}"/>
    <cellStyle name="_ISS 10월 가격표(2)" xfId="1248" xr:uid="{00000000-0005-0000-0000-000058040000}"/>
    <cellStyle name="_ISS 12월 가격표" xfId="1249" xr:uid="{00000000-0005-0000-0000-000059040000}"/>
    <cellStyle name="_ISS 2005 12월 가격표" xfId="4038" xr:uid="{00000000-0005-0000-0000-00005A040000}"/>
    <cellStyle name="_ISS 2005_6월 가격표-배포" xfId="4039" xr:uid="{00000000-0005-0000-0000-00005B040000}"/>
    <cellStyle name="_ISS 2005_8월 가격표" xfId="4040" xr:uid="{00000000-0005-0000-0000-00005C040000}"/>
    <cellStyle name="_ISS 2월 가격표" xfId="1250" xr:uid="{00000000-0005-0000-0000-00005D040000}"/>
    <cellStyle name="_ISS 2월 가격표_총판용" xfId="4041" xr:uid="{00000000-0005-0000-0000-00005E040000}"/>
    <cellStyle name="_ISS 4월 가격표" xfId="1251" xr:uid="{00000000-0005-0000-0000-00005F040000}"/>
    <cellStyle name="_ISS 5월 가격표" xfId="1252" xr:uid="{00000000-0005-0000-0000-000060040000}"/>
    <cellStyle name="_ISS 가격표_200405" xfId="4042" xr:uid="{00000000-0005-0000-0000-000061040000}"/>
    <cellStyle name="_ISS 가격표_200408" xfId="4043" xr:uid="{00000000-0005-0000-0000-000062040000}"/>
    <cellStyle name="_ISS_2007_1월 가격표" xfId="1253" xr:uid="{00000000-0005-0000-0000-000063040000}"/>
    <cellStyle name="_IST_HW_020529_01_오일뱅크(570RACK)" xfId="1254" xr:uid="{00000000-0005-0000-0000-000064040000}"/>
    <cellStyle name="_KCC credit balance (20060623)" xfId="133" xr:uid="{00000000-0005-0000-0000-000065040000}"/>
    <cellStyle name="_KCC License &amp; Application 견적서(20070123)" xfId="134" xr:uid="{00000000-0005-0000-0000-000066040000}"/>
    <cellStyle name="_KCC License &amp; Application 견적서(20070123) 2" xfId="4225" xr:uid="{00000000-0005-0000-0000-000067040000}"/>
    <cellStyle name="_L4" xfId="1255" xr:uid="{00000000-0005-0000-0000-000068040000}"/>
    <cellStyle name="_LG데아콤-09-0306(X3850M2,X3650,DS3400)" xfId="4044" xr:uid="{00000000-0005-0000-0000-000069040000}"/>
    <cellStyle name="_LION BC V 1.3 network updated 0825_2005" xfId="1256" xr:uid="{00000000-0005-0000-0000-00006A040000}"/>
    <cellStyle name="_Lion 회선 List - HANARO회선료(050901)_CC작업용 Updated" xfId="1257" xr:uid="{00000000-0005-0000-0000-00006B040000}"/>
    <cellStyle name="_Log Book 0930" xfId="1258" xr:uid="{00000000-0005-0000-0000-00006C040000}"/>
    <cellStyle name="_Log Book 0930 2" xfId="1259" xr:uid="{00000000-0005-0000-0000-00006D040000}"/>
    <cellStyle name="_Log Book 0930 3" xfId="1260" xr:uid="{00000000-0005-0000-0000-00006E040000}"/>
    <cellStyle name="_Log Book 0930 4" xfId="1261" xr:uid="{00000000-0005-0000-0000-00006F040000}"/>
    <cellStyle name="_Log Book 0930 5" xfId="1262" xr:uid="{00000000-0005-0000-0000-000070040000}"/>
    <cellStyle name="_Log Book 0930 6" xfId="1263" xr:uid="{00000000-0005-0000-0000-000071040000}"/>
    <cellStyle name="_Log Book 0930 7" xfId="1264" xr:uid="{00000000-0005-0000-0000-000072040000}"/>
    <cellStyle name="_Log Book 0930_0808 FY08Q4 HP Low end server 가격표(WS)" xfId="1265" xr:uid="{00000000-0005-0000-0000-000073040000}"/>
    <cellStyle name="_Log Book 0930_0808 FY08Q4 HP Low end server 가격표(WS)_090603_현대산업개발_그룹웨어_dl380g5서버_견적서_(송부2)_iLO" xfId="1266" xr:uid="{00000000-0005-0000-0000-000074040000}"/>
    <cellStyle name="_Log Book 0930_0808 FY08Q4 HP Low end server 가격표(WS)_090630_노틸러스효성_DL380G6 DL360G6" xfId="1267" xr:uid="{00000000-0005-0000-0000-000075040000}"/>
    <cellStyle name="_Log Book 0930_0808 FY08Q4 HP Low end server 가격표(WS)_공지_2009_5월표준견적서_ilo추가" xfId="1268" xr:uid="{00000000-0005-0000-0000-000076040000}"/>
    <cellStyle name="_Log Book 0930_2008_5월 100시리즈 HP Low end server 가격표(WS)v1" xfId="1269" xr:uid="{00000000-0005-0000-0000-000077040000}"/>
    <cellStyle name="_Log Book 0930_2008_5월 100시리즈 HP Low end server 가격표(WS)v1_090603_현대산업개발_그룹웨어_dl380g5서버_견적서_(송부2)_iLO" xfId="1270" xr:uid="{00000000-0005-0000-0000-000078040000}"/>
    <cellStyle name="_Log Book 0930_2008_5월 100시리즈 HP Low end server 가격표(WS)v1_090630_노틸러스효성_DL380G6 DL360G6" xfId="1271" xr:uid="{00000000-0005-0000-0000-000079040000}"/>
    <cellStyle name="_Log Book 0930_2008_5월 100시리즈 HP Low end server 가격표(WS)v1_공지_2009_5월표준견적서_ilo추가" xfId="1272" xr:uid="{00000000-0005-0000-0000-00007A040000}"/>
    <cellStyle name="_Log Book 0930_Book1" xfId="1273" xr:uid="{00000000-0005-0000-0000-00007B040000}"/>
    <cellStyle name="_Log Book 0930_Book1_090603_현대산업개발_그룹웨어_dl380g5서버_견적서_(송부2)_iLO" xfId="1274" xr:uid="{00000000-0005-0000-0000-00007C040000}"/>
    <cellStyle name="_Log Book 0930_Book1_090630_노틸러스효성_DL380G6 DL360G6" xfId="1275" xr:uid="{00000000-0005-0000-0000-00007D040000}"/>
    <cellStyle name="_Log Book 0930_Book1_공지_2009_5월표준견적서_ilo추가" xfId="1276" xr:uid="{00000000-0005-0000-0000-00007E040000}"/>
    <cellStyle name="_Log Book 0930_hp-0612" xfId="1277" xr:uid="{00000000-0005-0000-0000-00007F040000}"/>
    <cellStyle name="_Log Book 0930_hp-0701" xfId="1278" xr:uid="{00000000-0005-0000-0000-000080040000}"/>
    <cellStyle name="_Log Book 0930_hp-0702" xfId="1279" xr:uid="{00000000-0005-0000-0000-000081040000}"/>
    <cellStyle name="_Log Book 0930_ISS 케어팩_07" xfId="1280" xr:uid="{00000000-0005-0000-0000-000082040000}"/>
    <cellStyle name="_Log Book 0930_ISS_FY08_10월가격표_final013xls" xfId="1281" xr:uid="{00000000-0005-0000-0000-000083040000}"/>
    <cellStyle name="_Log Book 0930_ISS_FY08_10월가격표_final013xls 2" xfId="1282" xr:uid="{00000000-0005-0000-0000-000084040000}"/>
    <cellStyle name="_Log Book 0930_ISS_FY08_10월가격표_final013xls 3" xfId="1283" xr:uid="{00000000-0005-0000-0000-000085040000}"/>
    <cellStyle name="_Log Book 0930_ISS_FY08_10월가격표_final013xls 4" xfId="1284" xr:uid="{00000000-0005-0000-0000-000086040000}"/>
    <cellStyle name="_Log Book 0930_ISS_FY08_10월가격표_final013xls 5" xfId="1285" xr:uid="{00000000-0005-0000-0000-000087040000}"/>
    <cellStyle name="_Log Book 0930_ISS_FY08_10월가격표_final013xls 6" xfId="1286" xr:uid="{00000000-0005-0000-0000-000088040000}"/>
    <cellStyle name="_Log Book 0930_ISS_FY08_10월가격표_final013xls 7" xfId="1287" xr:uid="{00000000-0005-0000-0000-000089040000}"/>
    <cellStyle name="_Log Book 0930_ISS_FY08_8월가격표" xfId="1288" xr:uid="{00000000-0005-0000-0000-00008A040000}"/>
    <cellStyle name="_Log Book 0930_ISS_FY08_8월가격표_090603_현대산업개발_그룹웨어_dl380g5서버_견적서_(송부2)_iLO" xfId="1289" xr:uid="{00000000-0005-0000-0000-00008B040000}"/>
    <cellStyle name="_Log Book 0930_ISS_FY08_8월가격표_090630_노틸러스효성_DL380G6 DL360G6" xfId="1290" xr:uid="{00000000-0005-0000-0000-00008C040000}"/>
    <cellStyle name="_Log Book 0930_ISS_FY08_8월가격표_공지_2009_5월표준견적서_ilo추가" xfId="1291" xr:uid="{00000000-0005-0000-0000-00008D040000}"/>
    <cellStyle name="_Log Book 0930_화이트박스-09-0430(SZ일체형)" xfId="4045" xr:uid="{00000000-0005-0000-0000-00008E040000}"/>
    <cellStyle name="_Log Book_050805" xfId="1292" xr:uid="{00000000-0005-0000-0000-00008F040000}"/>
    <cellStyle name="_Log Book_050805 2" xfId="1293" xr:uid="{00000000-0005-0000-0000-000090040000}"/>
    <cellStyle name="_Log Book_050805 3" xfId="1294" xr:uid="{00000000-0005-0000-0000-000091040000}"/>
    <cellStyle name="_Log Book_050805 4" xfId="1295" xr:uid="{00000000-0005-0000-0000-000092040000}"/>
    <cellStyle name="_Log Book_050805 5" xfId="1296" xr:uid="{00000000-0005-0000-0000-000093040000}"/>
    <cellStyle name="_Log Book_050805 6" xfId="1297" xr:uid="{00000000-0005-0000-0000-000094040000}"/>
    <cellStyle name="_Log Book_050805 7" xfId="1298" xr:uid="{00000000-0005-0000-0000-000095040000}"/>
    <cellStyle name="_Log Book_050805_0808 FY08Q4 HP Low end server 가격표(WS)" xfId="1299" xr:uid="{00000000-0005-0000-0000-000096040000}"/>
    <cellStyle name="_Log Book_050805_0808 FY08Q4 HP Low end server 가격표(WS)_090603_현대산업개발_그룹웨어_dl380g5서버_견적서_(송부2)_iLO" xfId="1300" xr:uid="{00000000-0005-0000-0000-000097040000}"/>
    <cellStyle name="_Log Book_050805_0808 FY08Q4 HP Low end server 가격표(WS)_090630_노틸러스효성_DL380G6 DL360G6" xfId="1301" xr:uid="{00000000-0005-0000-0000-000098040000}"/>
    <cellStyle name="_Log Book_050805_0808 FY08Q4 HP Low end server 가격표(WS)_공지_2009_5월표준견적서_ilo추가" xfId="1302" xr:uid="{00000000-0005-0000-0000-000099040000}"/>
    <cellStyle name="_Log Book_050805_2008_5월 100시리즈 HP Low end server 가격표(WS)v1" xfId="1303" xr:uid="{00000000-0005-0000-0000-00009A040000}"/>
    <cellStyle name="_Log Book_050805_2008_5월 100시리즈 HP Low end server 가격표(WS)v1_090603_현대산업개발_그룹웨어_dl380g5서버_견적서_(송부2)_iLO" xfId="1304" xr:uid="{00000000-0005-0000-0000-00009B040000}"/>
    <cellStyle name="_Log Book_050805_2008_5월 100시리즈 HP Low end server 가격표(WS)v1_090630_노틸러스효성_DL380G6 DL360G6" xfId="1305" xr:uid="{00000000-0005-0000-0000-00009C040000}"/>
    <cellStyle name="_Log Book_050805_2008_5월 100시리즈 HP Low end server 가격표(WS)v1_공지_2009_5월표준견적서_ilo추가" xfId="1306" xr:uid="{00000000-0005-0000-0000-00009D040000}"/>
    <cellStyle name="_Log Book_050805_Book1" xfId="1307" xr:uid="{00000000-0005-0000-0000-00009E040000}"/>
    <cellStyle name="_Log Book_050805_Book1_090603_현대산업개발_그룹웨어_dl380g5서버_견적서_(송부2)_iLO" xfId="1308" xr:uid="{00000000-0005-0000-0000-00009F040000}"/>
    <cellStyle name="_Log Book_050805_Book1_090630_노틸러스효성_DL380G6 DL360G6" xfId="1309" xr:uid="{00000000-0005-0000-0000-0000A0040000}"/>
    <cellStyle name="_Log Book_050805_Book1_공지_2009_5월표준견적서_ilo추가" xfId="1310" xr:uid="{00000000-0005-0000-0000-0000A1040000}"/>
    <cellStyle name="_Log Book_050805_hp-0612" xfId="1311" xr:uid="{00000000-0005-0000-0000-0000A2040000}"/>
    <cellStyle name="_Log Book_050805_hp-0701" xfId="1312" xr:uid="{00000000-0005-0000-0000-0000A3040000}"/>
    <cellStyle name="_Log Book_050805_hp-0702" xfId="1313" xr:uid="{00000000-0005-0000-0000-0000A4040000}"/>
    <cellStyle name="_Log Book_050805_ISS 케어팩_07" xfId="1314" xr:uid="{00000000-0005-0000-0000-0000A5040000}"/>
    <cellStyle name="_Log Book_050805_ISS_FY08_10월가격표_final013xls" xfId="1315" xr:uid="{00000000-0005-0000-0000-0000A6040000}"/>
    <cellStyle name="_Log Book_050805_ISS_FY08_10월가격표_final013xls 2" xfId="1316" xr:uid="{00000000-0005-0000-0000-0000A7040000}"/>
    <cellStyle name="_Log Book_050805_ISS_FY08_10월가격표_final013xls 3" xfId="1317" xr:uid="{00000000-0005-0000-0000-0000A8040000}"/>
    <cellStyle name="_Log Book_050805_ISS_FY08_10월가격표_final013xls 4" xfId="1318" xr:uid="{00000000-0005-0000-0000-0000A9040000}"/>
    <cellStyle name="_Log Book_050805_ISS_FY08_10월가격표_final013xls 5" xfId="1319" xr:uid="{00000000-0005-0000-0000-0000AA040000}"/>
    <cellStyle name="_Log Book_050805_ISS_FY08_10월가격표_final013xls 6" xfId="1320" xr:uid="{00000000-0005-0000-0000-0000AB040000}"/>
    <cellStyle name="_Log Book_050805_ISS_FY08_10월가격표_final013xls 7" xfId="1321" xr:uid="{00000000-0005-0000-0000-0000AC040000}"/>
    <cellStyle name="_Log Book_050805_ISS_FY08_8월가격표" xfId="1322" xr:uid="{00000000-0005-0000-0000-0000AD040000}"/>
    <cellStyle name="_Log Book_050805_ISS_FY08_8월가격표_090603_현대산업개발_그룹웨어_dl380g5서버_견적서_(송부2)_iLO" xfId="1323" xr:uid="{00000000-0005-0000-0000-0000AE040000}"/>
    <cellStyle name="_Log Book_050805_ISS_FY08_8월가격표_090630_노틸러스효성_DL380G6 DL360G6" xfId="1324" xr:uid="{00000000-0005-0000-0000-0000AF040000}"/>
    <cellStyle name="_Log Book_050805_ISS_FY08_8월가격표_공지_2009_5월표준견적서_ilo추가" xfId="1325" xr:uid="{00000000-0005-0000-0000-0000B0040000}"/>
    <cellStyle name="_Log Book_050805_화이트박스-09-0430(SZ일체형)" xfId="4046" xr:uid="{00000000-0005-0000-0000-0000B1040000}"/>
    <cellStyle name="_Log Book_050822" xfId="1326" xr:uid="{00000000-0005-0000-0000-0000B2040000}"/>
    <cellStyle name="_Log Book_050822 2" xfId="1327" xr:uid="{00000000-0005-0000-0000-0000B3040000}"/>
    <cellStyle name="_Log Book_050822 3" xfId="1328" xr:uid="{00000000-0005-0000-0000-0000B4040000}"/>
    <cellStyle name="_Log Book_050822 4" xfId="1329" xr:uid="{00000000-0005-0000-0000-0000B5040000}"/>
    <cellStyle name="_Log Book_050822 5" xfId="1330" xr:uid="{00000000-0005-0000-0000-0000B6040000}"/>
    <cellStyle name="_Log Book_050822 6" xfId="1331" xr:uid="{00000000-0005-0000-0000-0000B7040000}"/>
    <cellStyle name="_Log Book_050822 7" xfId="1332" xr:uid="{00000000-0005-0000-0000-0000B8040000}"/>
    <cellStyle name="_Log Book_050822_0808 FY08Q4 HP Low end server 가격표(WS)" xfId="1333" xr:uid="{00000000-0005-0000-0000-0000B9040000}"/>
    <cellStyle name="_Log Book_050822_0808 FY08Q4 HP Low end server 가격표(WS)_090603_현대산업개발_그룹웨어_dl380g5서버_견적서_(송부2)_iLO" xfId="1334" xr:uid="{00000000-0005-0000-0000-0000BA040000}"/>
    <cellStyle name="_Log Book_050822_0808 FY08Q4 HP Low end server 가격표(WS)_090630_노틸러스효성_DL380G6 DL360G6" xfId="1335" xr:uid="{00000000-0005-0000-0000-0000BB040000}"/>
    <cellStyle name="_Log Book_050822_0808 FY08Q4 HP Low end server 가격표(WS)_공지_2009_5월표준견적서_ilo추가" xfId="1336" xr:uid="{00000000-0005-0000-0000-0000BC040000}"/>
    <cellStyle name="_Log Book_050822_2008_5월 100시리즈 HP Low end server 가격표(WS)v1" xfId="1337" xr:uid="{00000000-0005-0000-0000-0000BD040000}"/>
    <cellStyle name="_Log Book_050822_2008_5월 100시리즈 HP Low end server 가격표(WS)v1_090603_현대산업개발_그룹웨어_dl380g5서버_견적서_(송부2)_iLO" xfId="1338" xr:uid="{00000000-0005-0000-0000-0000BE040000}"/>
    <cellStyle name="_Log Book_050822_2008_5월 100시리즈 HP Low end server 가격표(WS)v1_090630_노틸러스효성_DL380G6 DL360G6" xfId="1339" xr:uid="{00000000-0005-0000-0000-0000BF040000}"/>
    <cellStyle name="_Log Book_050822_2008_5월 100시리즈 HP Low end server 가격표(WS)v1_공지_2009_5월표준견적서_ilo추가" xfId="1340" xr:uid="{00000000-0005-0000-0000-0000C0040000}"/>
    <cellStyle name="_Log Book_050822_Book1" xfId="1341" xr:uid="{00000000-0005-0000-0000-0000C1040000}"/>
    <cellStyle name="_Log Book_050822_Book1_090603_현대산업개발_그룹웨어_dl380g5서버_견적서_(송부2)_iLO" xfId="1342" xr:uid="{00000000-0005-0000-0000-0000C2040000}"/>
    <cellStyle name="_Log Book_050822_Book1_090630_노틸러스효성_DL380G6 DL360G6" xfId="1343" xr:uid="{00000000-0005-0000-0000-0000C3040000}"/>
    <cellStyle name="_Log Book_050822_Book1_공지_2009_5월표준견적서_ilo추가" xfId="1344" xr:uid="{00000000-0005-0000-0000-0000C4040000}"/>
    <cellStyle name="_Log Book_050822_hp-0612" xfId="1345" xr:uid="{00000000-0005-0000-0000-0000C5040000}"/>
    <cellStyle name="_Log Book_050822_hp-0701" xfId="1346" xr:uid="{00000000-0005-0000-0000-0000C6040000}"/>
    <cellStyle name="_Log Book_050822_hp-0702" xfId="1347" xr:uid="{00000000-0005-0000-0000-0000C7040000}"/>
    <cellStyle name="_Log Book_050822_ISS 케어팩_07" xfId="1348" xr:uid="{00000000-0005-0000-0000-0000C8040000}"/>
    <cellStyle name="_Log Book_050822_ISS_FY08_10월가격표_final013xls" xfId="1349" xr:uid="{00000000-0005-0000-0000-0000C9040000}"/>
    <cellStyle name="_Log Book_050822_ISS_FY08_10월가격표_final013xls 2" xfId="1350" xr:uid="{00000000-0005-0000-0000-0000CA040000}"/>
    <cellStyle name="_Log Book_050822_ISS_FY08_10월가격표_final013xls 3" xfId="1351" xr:uid="{00000000-0005-0000-0000-0000CB040000}"/>
    <cellStyle name="_Log Book_050822_ISS_FY08_10월가격표_final013xls 4" xfId="1352" xr:uid="{00000000-0005-0000-0000-0000CC040000}"/>
    <cellStyle name="_Log Book_050822_ISS_FY08_10월가격표_final013xls 5" xfId="1353" xr:uid="{00000000-0005-0000-0000-0000CD040000}"/>
    <cellStyle name="_Log Book_050822_ISS_FY08_10월가격표_final013xls 6" xfId="1354" xr:uid="{00000000-0005-0000-0000-0000CE040000}"/>
    <cellStyle name="_Log Book_050822_ISS_FY08_10월가격표_final013xls 7" xfId="1355" xr:uid="{00000000-0005-0000-0000-0000CF040000}"/>
    <cellStyle name="_Log Book_050822_ISS_FY08_8월가격표" xfId="1356" xr:uid="{00000000-0005-0000-0000-0000D0040000}"/>
    <cellStyle name="_Log Book_050822_ISS_FY08_8월가격표_090603_현대산업개발_그룹웨어_dl380g5서버_견적서_(송부2)_iLO" xfId="1357" xr:uid="{00000000-0005-0000-0000-0000D1040000}"/>
    <cellStyle name="_Log Book_050822_ISS_FY08_8월가격표_090630_노틸러스효성_DL380G6 DL360G6" xfId="1358" xr:uid="{00000000-0005-0000-0000-0000D2040000}"/>
    <cellStyle name="_Log Book_050822_ISS_FY08_8월가격표_공지_2009_5월표준견적서_ilo추가" xfId="1359" xr:uid="{00000000-0005-0000-0000-0000D3040000}"/>
    <cellStyle name="_Log Book_050822_화이트박스-09-0430(SZ일체형)" xfId="4047" xr:uid="{00000000-0005-0000-0000-0000D4040000}"/>
    <cellStyle name="_Log Book_050905" xfId="1360" xr:uid="{00000000-0005-0000-0000-0000D5040000}"/>
    <cellStyle name="_Log Book_050905 2" xfId="1361" xr:uid="{00000000-0005-0000-0000-0000D6040000}"/>
    <cellStyle name="_Log Book_050905 3" xfId="1362" xr:uid="{00000000-0005-0000-0000-0000D7040000}"/>
    <cellStyle name="_Log Book_050905 4" xfId="1363" xr:uid="{00000000-0005-0000-0000-0000D8040000}"/>
    <cellStyle name="_Log Book_050905 5" xfId="1364" xr:uid="{00000000-0005-0000-0000-0000D9040000}"/>
    <cellStyle name="_Log Book_050905 6" xfId="1365" xr:uid="{00000000-0005-0000-0000-0000DA040000}"/>
    <cellStyle name="_Log Book_050905 7" xfId="1366" xr:uid="{00000000-0005-0000-0000-0000DB040000}"/>
    <cellStyle name="_Log Book_050905_0808 FY08Q4 HP Low end server 가격표(WS)" xfId="1367" xr:uid="{00000000-0005-0000-0000-0000DC040000}"/>
    <cellStyle name="_Log Book_050905_0808 FY08Q4 HP Low end server 가격표(WS)_090603_현대산업개발_그룹웨어_dl380g5서버_견적서_(송부2)_iLO" xfId="1368" xr:uid="{00000000-0005-0000-0000-0000DD040000}"/>
    <cellStyle name="_Log Book_050905_0808 FY08Q4 HP Low end server 가격표(WS)_090630_노틸러스효성_DL380G6 DL360G6" xfId="1369" xr:uid="{00000000-0005-0000-0000-0000DE040000}"/>
    <cellStyle name="_Log Book_050905_0808 FY08Q4 HP Low end server 가격표(WS)_공지_2009_5월표준견적서_ilo추가" xfId="1370" xr:uid="{00000000-0005-0000-0000-0000DF040000}"/>
    <cellStyle name="_Log Book_050905_2008_5월 100시리즈 HP Low end server 가격표(WS)v1" xfId="1371" xr:uid="{00000000-0005-0000-0000-0000E0040000}"/>
    <cellStyle name="_Log Book_050905_2008_5월 100시리즈 HP Low end server 가격표(WS)v1_090603_현대산업개발_그룹웨어_dl380g5서버_견적서_(송부2)_iLO" xfId="1372" xr:uid="{00000000-0005-0000-0000-0000E1040000}"/>
    <cellStyle name="_Log Book_050905_2008_5월 100시리즈 HP Low end server 가격표(WS)v1_090630_노틸러스효성_DL380G6 DL360G6" xfId="1373" xr:uid="{00000000-0005-0000-0000-0000E2040000}"/>
    <cellStyle name="_Log Book_050905_2008_5월 100시리즈 HP Low end server 가격표(WS)v1_공지_2009_5월표준견적서_ilo추가" xfId="1374" xr:uid="{00000000-0005-0000-0000-0000E3040000}"/>
    <cellStyle name="_Log Book_050905_Book1" xfId="1375" xr:uid="{00000000-0005-0000-0000-0000E4040000}"/>
    <cellStyle name="_Log Book_050905_Book1_090603_현대산업개발_그룹웨어_dl380g5서버_견적서_(송부2)_iLO" xfId="1376" xr:uid="{00000000-0005-0000-0000-0000E5040000}"/>
    <cellStyle name="_Log Book_050905_Book1_090630_노틸러스효성_DL380G6 DL360G6" xfId="1377" xr:uid="{00000000-0005-0000-0000-0000E6040000}"/>
    <cellStyle name="_Log Book_050905_Book1_공지_2009_5월표준견적서_ilo추가" xfId="1378" xr:uid="{00000000-0005-0000-0000-0000E7040000}"/>
    <cellStyle name="_Log Book_050905_hp-0612" xfId="1379" xr:uid="{00000000-0005-0000-0000-0000E8040000}"/>
    <cellStyle name="_Log Book_050905_hp-0701" xfId="1380" xr:uid="{00000000-0005-0000-0000-0000E9040000}"/>
    <cellStyle name="_Log Book_050905_hp-0702" xfId="1381" xr:uid="{00000000-0005-0000-0000-0000EA040000}"/>
    <cellStyle name="_Log Book_050905_ISS 케어팩_07" xfId="1382" xr:uid="{00000000-0005-0000-0000-0000EB040000}"/>
    <cellStyle name="_Log Book_050905_ISS_FY08_10월가격표_final013xls" xfId="1383" xr:uid="{00000000-0005-0000-0000-0000EC040000}"/>
    <cellStyle name="_Log Book_050905_ISS_FY08_10월가격표_final013xls 2" xfId="1384" xr:uid="{00000000-0005-0000-0000-0000ED040000}"/>
    <cellStyle name="_Log Book_050905_ISS_FY08_10월가격표_final013xls 3" xfId="1385" xr:uid="{00000000-0005-0000-0000-0000EE040000}"/>
    <cellStyle name="_Log Book_050905_ISS_FY08_10월가격표_final013xls 4" xfId="1386" xr:uid="{00000000-0005-0000-0000-0000EF040000}"/>
    <cellStyle name="_Log Book_050905_ISS_FY08_10월가격표_final013xls 5" xfId="1387" xr:uid="{00000000-0005-0000-0000-0000F0040000}"/>
    <cellStyle name="_Log Book_050905_ISS_FY08_10월가격표_final013xls 6" xfId="1388" xr:uid="{00000000-0005-0000-0000-0000F1040000}"/>
    <cellStyle name="_Log Book_050905_ISS_FY08_10월가격표_final013xls 7" xfId="1389" xr:uid="{00000000-0005-0000-0000-0000F2040000}"/>
    <cellStyle name="_Log Book_050905_ISS_FY08_8월가격표" xfId="1390" xr:uid="{00000000-0005-0000-0000-0000F3040000}"/>
    <cellStyle name="_Log Book_050905_ISS_FY08_8월가격표_090603_현대산업개발_그룹웨어_dl380g5서버_견적서_(송부2)_iLO" xfId="1391" xr:uid="{00000000-0005-0000-0000-0000F4040000}"/>
    <cellStyle name="_Log Book_050905_ISS_FY08_8월가격표_090630_노틸러스효성_DL380G6 DL360G6" xfId="1392" xr:uid="{00000000-0005-0000-0000-0000F5040000}"/>
    <cellStyle name="_Log Book_050905_ISS_FY08_8월가격표_공지_2009_5월표준견적서_ilo추가" xfId="1393" xr:uid="{00000000-0005-0000-0000-0000F6040000}"/>
    <cellStyle name="_Log Book_050905_화이트박스-09-0430(SZ일체형)" xfId="4048" xr:uid="{00000000-0005-0000-0000-0000F7040000}"/>
    <cellStyle name="_Log Book_050906" xfId="1394" xr:uid="{00000000-0005-0000-0000-0000F8040000}"/>
    <cellStyle name="_Log Book_050906 2" xfId="1395" xr:uid="{00000000-0005-0000-0000-0000F9040000}"/>
    <cellStyle name="_Log Book_050906 3" xfId="1396" xr:uid="{00000000-0005-0000-0000-0000FA040000}"/>
    <cellStyle name="_Log Book_050906 4" xfId="1397" xr:uid="{00000000-0005-0000-0000-0000FB040000}"/>
    <cellStyle name="_Log Book_050906 5" xfId="1398" xr:uid="{00000000-0005-0000-0000-0000FC040000}"/>
    <cellStyle name="_Log Book_050906 6" xfId="1399" xr:uid="{00000000-0005-0000-0000-0000FD040000}"/>
    <cellStyle name="_Log Book_050906 7" xfId="1400" xr:uid="{00000000-0005-0000-0000-0000FE040000}"/>
    <cellStyle name="_Log Book_050906_0808 FY08Q4 HP Low end server 가격표(WS)" xfId="1401" xr:uid="{00000000-0005-0000-0000-0000FF040000}"/>
    <cellStyle name="_Log Book_050906_0808 FY08Q4 HP Low end server 가격표(WS)_090603_현대산업개발_그룹웨어_dl380g5서버_견적서_(송부2)_iLO" xfId="1402" xr:uid="{00000000-0005-0000-0000-000000050000}"/>
    <cellStyle name="_Log Book_050906_0808 FY08Q4 HP Low end server 가격표(WS)_090630_노틸러스효성_DL380G6 DL360G6" xfId="1403" xr:uid="{00000000-0005-0000-0000-000001050000}"/>
    <cellStyle name="_Log Book_050906_0808 FY08Q4 HP Low end server 가격표(WS)_공지_2009_5월표준견적서_ilo추가" xfId="1404" xr:uid="{00000000-0005-0000-0000-000002050000}"/>
    <cellStyle name="_Log Book_050906_2008_5월 100시리즈 HP Low end server 가격표(WS)v1" xfId="1405" xr:uid="{00000000-0005-0000-0000-000003050000}"/>
    <cellStyle name="_Log Book_050906_2008_5월 100시리즈 HP Low end server 가격표(WS)v1_090603_현대산업개발_그룹웨어_dl380g5서버_견적서_(송부2)_iLO" xfId="1406" xr:uid="{00000000-0005-0000-0000-000004050000}"/>
    <cellStyle name="_Log Book_050906_2008_5월 100시리즈 HP Low end server 가격표(WS)v1_090630_노틸러스효성_DL380G6 DL360G6" xfId="1407" xr:uid="{00000000-0005-0000-0000-000005050000}"/>
    <cellStyle name="_Log Book_050906_2008_5월 100시리즈 HP Low end server 가격표(WS)v1_공지_2009_5월표준견적서_ilo추가" xfId="1408" xr:uid="{00000000-0005-0000-0000-000006050000}"/>
    <cellStyle name="_Log Book_050906_Book1" xfId="1409" xr:uid="{00000000-0005-0000-0000-000007050000}"/>
    <cellStyle name="_Log Book_050906_Book1_090603_현대산업개발_그룹웨어_dl380g5서버_견적서_(송부2)_iLO" xfId="1410" xr:uid="{00000000-0005-0000-0000-000008050000}"/>
    <cellStyle name="_Log Book_050906_Book1_090630_노틸러스효성_DL380G6 DL360G6" xfId="1411" xr:uid="{00000000-0005-0000-0000-000009050000}"/>
    <cellStyle name="_Log Book_050906_Book1_공지_2009_5월표준견적서_ilo추가" xfId="1412" xr:uid="{00000000-0005-0000-0000-00000A050000}"/>
    <cellStyle name="_Log Book_050906_hp-0612" xfId="1413" xr:uid="{00000000-0005-0000-0000-00000B050000}"/>
    <cellStyle name="_Log Book_050906_hp-0701" xfId="1414" xr:uid="{00000000-0005-0000-0000-00000C050000}"/>
    <cellStyle name="_Log Book_050906_hp-0702" xfId="1415" xr:uid="{00000000-0005-0000-0000-00000D050000}"/>
    <cellStyle name="_Log Book_050906_ISS 케어팩_07" xfId="1416" xr:uid="{00000000-0005-0000-0000-00000E050000}"/>
    <cellStyle name="_Log Book_050906_ISS_FY08_10월가격표_final013xls" xfId="1417" xr:uid="{00000000-0005-0000-0000-00000F050000}"/>
    <cellStyle name="_Log Book_050906_ISS_FY08_10월가격표_final013xls 2" xfId="1418" xr:uid="{00000000-0005-0000-0000-000010050000}"/>
    <cellStyle name="_Log Book_050906_ISS_FY08_10월가격표_final013xls 3" xfId="1419" xr:uid="{00000000-0005-0000-0000-000011050000}"/>
    <cellStyle name="_Log Book_050906_ISS_FY08_10월가격표_final013xls 4" xfId="1420" xr:uid="{00000000-0005-0000-0000-000012050000}"/>
    <cellStyle name="_Log Book_050906_ISS_FY08_10월가격표_final013xls 5" xfId="1421" xr:uid="{00000000-0005-0000-0000-000013050000}"/>
    <cellStyle name="_Log Book_050906_ISS_FY08_10월가격표_final013xls 6" xfId="1422" xr:uid="{00000000-0005-0000-0000-000014050000}"/>
    <cellStyle name="_Log Book_050906_ISS_FY08_10월가격표_final013xls 7" xfId="1423" xr:uid="{00000000-0005-0000-0000-000015050000}"/>
    <cellStyle name="_Log Book_050906_ISS_FY08_8월가격표" xfId="1424" xr:uid="{00000000-0005-0000-0000-000016050000}"/>
    <cellStyle name="_Log Book_050906_ISS_FY08_8월가격표_090603_현대산업개발_그룹웨어_dl380g5서버_견적서_(송부2)_iLO" xfId="1425" xr:uid="{00000000-0005-0000-0000-000017050000}"/>
    <cellStyle name="_Log Book_050906_ISS_FY08_8월가격표_090630_노틸러스효성_DL380G6 DL360G6" xfId="1426" xr:uid="{00000000-0005-0000-0000-000018050000}"/>
    <cellStyle name="_Log Book_050906_ISS_FY08_8월가격표_공지_2009_5월표준견적서_ilo추가" xfId="1427" xr:uid="{00000000-0005-0000-0000-000019050000}"/>
    <cellStyle name="_Log Book_050906_화이트박스-09-0430(SZ일체형)" xfId="4049" xr:uid="{00000000-0005-0000-0000-00001A050000}"/>
    <cellStyle name="_Log Book_050930" xfId="1428" xr:uid="{00000000-0005-0000-0000-00001B050000}"/>
    <cellStyle name="_Log Book_050930 2" xfId="1429" xr:uid="{00000000-0005-0000-0000-00001C050000}"/>
    <cellStyle name="_Log Book_050930 3" xfId="1430" xr:uid="{00000000-0005-0000-0000-00001D050000}"/>
    <cellStyle name="_Log Book_050930 4" xfId="1431" xr:uid="{00000000-0005-0000-0000-00001E050000}"/>
    <cellStyle name="_Log Book_050930 5" xfId="1432" xr:uid="{00000000-0005-0000-0000-00001F050000}"/>
    <cellStyle name="_Log Book_050930 6" xfId="1433" xr:uid="{00000000-0005-0000-0000-000020050000}"/>
    <cellStyle name="_Log Book_050930 7" xfId="1434" xr:uid="{00000000-0005-0000-0000-000021050000}"/>
    <cellStyle name="_Log Book_050930_0808 FY08Q4 HP Low end server 가격표(WS)" xfId="1435" xr:uid="{00000000-0005-0000-0000-000022050000}"/>
    <cellStyle name="_Log Book_050930_0808 FY08Q4 HP Low end server 가격표(WS)_090603_현대산업개발_그룹웨어_dl380g5서버_견적서_(송부2)_iLO" xfId="1436" xr:uid="{00000000-0005-0000-0000-000023050000}"/>
    <cellStyle name="_Log Book_050930_0808 FY08Q4 HP Low end server 가격표(WS)_090630_노틸러스효성_DL380G6 DL360G6" xfId="1437" xr:uid="{00000000-0005-0000-0000-000024050000}"/>
    <cellStyle name="_Log Book_050930_0808 FY08Q4 HP Low end server 가격표(WS)_공지_2009_5월표준견적서_ilo추가" xfId="1438" xr:uid="{00000000-0005-0000-0000-000025050000}"/>
    <cellStyle name="_Log Book_050930_2008_5월 100시리즈 HP Low end server 가격표(WS)v1" xfId="1439" xr:uid="{00000000-0005-0000-0000-000026050000}"/>
    <cellStyle name="_Log Book_050930_2008_5월 100시리즈 HP Low end server 가격표(WS)v1_090603_현대산업개발_그룹웨어_dl380g5서버_견적서_(송부2)_iLO" xfId="1440" xr:uid="{00000000-0005-0000-0000-000027050000}"/>
    <cellStyle name="_Log Book_050930_2008_5월 100시리즈 HP Low end server 가격표(WS)v1_090630_노틸러스효성_DL380G6 DL360G6" xfId="1441" xr:uid="{00000000-0005-0000-0000-000028050000}"/>
    <cellStyle name="_Log Book_050930_2008_5월 100시리즈 HP Low end server 가격표(WS)v1_공지_2009_5월표준견적서_ilo추가" xfId="1442" xr:uid="{00000000-0005-0000-0000-000029050000}"/>
    <cellStyle name="_Log Book_050930_Book1" xfId="1443" xr:uid="{00000000-0005-0000-0000-00002A050000}"/>
    <cellStyle name="_Log Book_050930_Book1_090603_현대산업개발_그룹웨어_dl380g5서버_견적서_(송부2)_iLO" xfId="1444" xr:uid="{00000000-0005-0000-0000-00002B050000}"/>
    <cellStyle name="_Log Book_050930_Book1_090630_노틸러스효성_DL380G6 DL360G6" xfId="1445" xr:uid="{00000000-0005-0000-0000-00002C050000}"/>
    <cellStyle name="_Log Book_050930_Book1_공지_2009_5월표준견적서_ilo추가" xfId="1446" xr:uid="{00000000-0005-0000-0000-00002D050000}"/>
    <cellStyle name="_Log Book_050930_hp-0612" xfId="1447" xr:uid="{00000000-0005-0000-0000-00002E050000}"/>
    <cellStyle name="_Log Book_050930_hp-0701" xfId="1448" xr:uid="{00000000-0005-0000-0000-00002F050000}"/>
    <cellStyle name="_Log Book_050930_hp-0702" xfId="1449" xr:uid="{00000000-0005-0000-0000-000030050000}"/>
    <cellStyle name="_Log Book_050930_ISS 케어팩_07" xfId="1450" xr:uid="{00000000-0005-0000-0000-000031050000}"/>
    <cellStyle name="_Log Book_050930_ISS_FY08_10월가격표_final013xls" xfId="1451" xr:uid="{00000000-0005-0000-0000-000032050000}"/>
    <cellStyle name="_Log Book_050930_ISS_FY08_10월가격표_final013xls 2" xfId="1452" xr:uid="{00000000-0005-0000-0000-000033050000}"/>
    <cellStyle name="_Log Book_050930_ISS_FY08_10월가격표_final013xls 3" xfId="1453" xr:uid="{00000000-0005-0000-0000-000034050000}"/>
    <cellStyle name="_Log Book_050930_ISS_FY08_10월가격표_final013xls 4" xfId="1454" xr:uid="{00000000-0005-0000-0000-000035050000}"/>
    <cellStyle name="_Log Book_050930_ISS_FY08_10월가격표_final013xls 5" xfId="1455" xr:uid="{00000000-0005-0000-0000-000036050000}"/>
    <cellStyle name="_Log Book_050930_ISS_FY08_10월가격표_final013xls 6" xfId="1456" xr:uid="{00000000-0005-0000-0000-000037050000}"/>
    <cellStyle name="_Log Book_050930_ISS_FY08_10월가격표_final013xls 7" xfId="1457" xr:uid="{00000000-0005-0000-0000-000038050000}"/>
    <cellStyle name="_Log Book_050930_ISS_FY08_8월가격표" xfId="1458" xr:uid="{00000000-0005-0000-0000-000039050000}"/>
    <cellStyle name="_Log Book_050930_ISS_FY08_8월가격표_090603_현대산업개발_그룹웨어_dl380g5서버_견적서_(송부2)_iLO" xfId="1459" xr:uid="{00000000-0005-0000-0000-00003A050000}"/>
    <cellStyle name="_Log Book_050930_ISS_FY08_8월가격표_090630_노틸러스효성_DL380G6 DL360G6" xfId="1460" xr:uid="{00000000-0005-0000-0000-00003B050000}"/>
    <cellStyle name="_Log Book_050930_ISS_FY08_8월가격표_공지_2009_5월표준견적서_ilo추가" xfId="1461" xr:uid="{00000000-0005-0000-0000-00003C050000}"/>
    <cellStyle name="_Log Book_050930_화이트박스-09-0430(SZ일체형)" xfId="4050" xr:uid="{00000000-0005-0000-0000-00003D050000}"/>
    <cellStyle name="_Log Book_051107" xfId="1462" xr:uid="{00000000-0005-0000-0000-00003E050000}"/>
    <cellStyle name="_Log Book_051107 2" xfId="1463" xr:uid="{00000000-0005-0000-0000-00003F050000}"/>
    <cellStyle name="_Log Book_051107 3" xfId="1464" xr:uid="{00000000-0005-0000-0000-000040050000}"/>
    <cellStyle name="_Log Book_051107 4" xfId="1465" xr:uid="{00000000-0005-0000-0000-000041050000}"/>
    <cellStyle name="_Log Book_051107 5" xfId="1466" xr:uid="{00000000-0005-0000-0000-000042050000}"/>
    <cellStyle name="_Log Book_051107 6" xfId="1467" xr:uid="{00000000-0005-0000-0000-000043050000}"/>
    <cellStyle name="_Log Book_051107 7" xfId="1468" xr:uid="{00000000-0005-0000-0000-000044050000}"/>
    <cellStyle name="_Log Book_051107_0808 FY08Q4 HP Low end server 가격표(WS)" xfId="1469" xr:uid="{00000000-0005-0000-0000-000045050000}"/>
    <cellStyle name="_Log Book_051107_0808 FY08Q4 HP Low end server 가격표(WS)_090603_현대산업개발_그룹웨어_dl380g5서버_견적서_(송부2)_iLO" xfId="1470" xr:uid="{00000000-0005-0000-0000-000046050000}"/>
    <cellStyle name="_Log Book_051107_0808 FY08Q4 HP Low end server 가격표(WS)_090630_노틸러스효성_DL380G6 DL360G6" xfId="1471" xr:uid="{00000000-0005-0000-0000-000047050000}"/>
    <cellStyle name="_Log Book_051107_0808 FY08Q4 HP Low end server 가격표(WS)_공지_2009_5월표준견적서_ilo추가" xfId="1472" xr:uid="{00000000-0005-0000-0000-000048050000}"/>
    <cellStyle name="_Log Book_051107_2008_5월 100시리즈 HP Low end server 가격표(WS)v1" xfId="1473" xr:uid="{00000000-0005-0000-0000-000049050000}"/>
    <cellStyle name="_Log Book_051107_2008_5월 100시리즈 HP Low end server 가격표(WS)v1_090603_현대산업개발_그룹웨어_dl380g5서버_견적서_(송부2)_iLO" xfId="1474" xr:uid="{00000000-0005-0000-0000-00004A050000}"/>
    <cellStyle name="_Log Book_051107_2008_5월 100시리즈 HP Low end server 가격표(WS)v1_090630_노틸러스효성_DL380G6 DL360G6" xfId="1475" xr:uid="{00000000-0005-0000-0000-00004B050000}"/>
    <cellStyle name="_Log Book_051107_2008_5월 100시리즈 HP Low end server 가격표(WS)v1_공지_2009_5월표준견적서_ilo추가" xfId="1476" xr:uid="{00000000-0005-0000-0000-00004C050000}"/>
    <cellStyle name="_Log Book_051107_Book1" xfId="1477" xr:uid="{00000000-0005-0000-0000-00004D050000}"/>
    <cellStyle name="_Log Book_051107_Book1_090603_현대산업개발_그룹웨어_dl380g5서버_견적서_(송부2)_iLO" xfId="1478" xr:uid="{00000000-0005-0000-0000-00004E050000}"/>
    <cellStyle name="_Log Book_051107_Book1_090630_노틸러스효성_DL380G6 DL360G6" xfId="1479" xr:uid="{00000000-0005-0000-0000-00004F050000}"/>
    <cellStyle name="_Log Book_051107_Book1_공지_2009_5월표준견적서_ilo추가" xfId="1480" xr:uid="{00000000-0005-0000-0000-000050050000}"/>
    <cellStyle name="_Log Book_051107_hp-0612" xfId="1481" xr:uid="{00000000-0005-0000-0000-000051050000}"/>
    <cellStyle name="_Log Book_051107_hp-0701" xfId="1482" xr:uid="{00000000-0005-0000-0000-000052050000}"/>
    <cellStyle name="_Log Book_051107_hp-0702" xfId="1483" xr:uid="{00000000-0005-0000-0000-000053050000}"/>
    <cellStyle name="_Log Book_051107_ISS 케어팩_07" xfId="1484" xr:uid="{00000000-0005-0000-0000-000054050000}"/>
    <cellStyle name="_Log Book_051107_ISS_FY08_10월가격표_final013xls" xfId="1485" xr:uid="{00000000-0005-0000-0000-000055050000}"/>
    <cellStyle name="_Log Book_051107_ISS_FY08_10월가격표_final013xls 2" xfId="1486" xr:uid="{00000000-0005-0000-0000-000056050000}"/>
    <cellStyle name="_Log Book_051107_ISS_FY08_10월가격표_final013xls 3" xfId="1487" xr:uid="{00000000-0005-0000-0000-000057050000}"/>
    <cellStyle name="_Log Book_051107_ISS_FY08_10월가격표_final013xls 4" xfId="1488" xr:uid="{00000000-0005-0000-0000-000058050000}"/>
    <cellStyle name="_Log Book_051107_ISS_FY08_10월가격표_final013xls 5" xfId="1489" xr:uid="{00000000-0005-0000-0000-000059050000}"/>
    <cellStyle name="_Log Book_051107_ISS_FY08_10월가격표_final013xls 6" xfId="1490" xr:uid="{00000000-0005-0000-0000-00005A050000}"/>
    <cellStyle name="_Log Book_051107_ISS_FY08_10월가격표_final013xls 7" xfId="1491" xr:uid="{00000000-0005-0000-0000-00005B050000}"/>
    <cellStyle name="_Log Book_051107_ISS_FY08_8월가격표" xfId="1492" xr:uid="{00000000-0005-0000-0000-00005C050000}"/>
    <cellStyle name="_Log Book_051107_ISS_FY08_8월가격표_090603_현대산업개발_그룹웨어_dl380g5서버_견적서_(송부2)_iLO" xfId="1493" xr:uid="{00000000-0005-0000-0000-00005D050000}"/>
    <cellStyle name="_Log Book_051107_ISS_FY08_8월가격표_090630_노틸러스효성_DL380G6 DL360G6" xfId="1494" xr:uid="{00000000-0005-0000-0000-00005E050000}"/>
    <cellStyle name="_Log Book_051107_ISS_FY08_8월가격표_공지_2009_5월표준견적서_ilo추가" xfId="1495" xr:uid="{00000000-0005-0000-0000-00005F050000}"/>
    <cellStyle name="_Log Book_051107_화이트박스-09-0430(SZ일체형)" xfId="4051" xr:uid="{00000000-0005-0000-0000-000060050000}"/>
    <cellStyle name="_Log Book_060301" xfId="1496" xr:uid="{00000000-0005-0000-0000-000061050000}"/>
    <cellStyle name="_Log Book_060301 2" xfId="1497" xr:uid="{00000000-0005-0000-0000-000062050000}"/>
    <cellStyle name="_Log Book_060301 3" xfId="1498" xr:uid="{00000000-0005-0000-0000-000063050000}"/>
    <cellStyle name="_Log Book_060301 4" xfId="1499" xr:uid="{00000000-0005-0000-0000-000064050000}"/>
    <cellStyle name="_Log Book_060301 5" xfId="1500" xr:uid="{00000000-0005-0000-0000-000065050000}"/>
    <cellStyle name="_Log Book_060301 6" xfId="1501" xr:uid="{00000000-0005-0000-0000-000066050000}"/>
    <cellStyle name="_Log Book_060301 7" xfId="1502" xr:uid="{00000000-0005-0000-0000-000067050000}"/>
    <cellStyle name="_Log Book_060301_0808 FY08Q4 HP Low end server 가격표(WS)" xfId="1503" xr:uid="{00000000-0005-0000-0000-000068050000}"/>
    <cellStyle name="_Log Book_060301_0808 FY08Q4 HP Low end server 가격표(WS)_090603_현대산업개발_그룹웨어_dl380g5서버_견적서_(송부2)_iLO" xfId="1504" xr:uid="{00000000-0005-0000-0000-000069050000}"/>
    <cellStyle name="_Log Book_060301_0808 FY08Q4 HP Low end server 가격표(WS)_090630_노틸러스효성_DL380G6 DL360G6" xfId="1505" xr:uid="{00000000-0005-0000-0000-00006A050000}"/>
    <cellStyle name="_Log Book_060301_0808 FY08Q4 HP Low end server 가격표(WS)_공지_2009_5월표준견적서_ilo추가" xfId="1506" xr:uid="{00000000-0005-0000-0000-00006B050000}"/>
    <cellStyle name="_Log Book_060301_2008_5월 100시리즈 HP Low end server 가격표(WS)v1" xfId="1507" xr:uid="{00000000-0005-0000-0000-00006C050000}"/>
    <cellStyle name="_Log Book_060301_2008_5월 100시리즈 HP Low end server 가격표(WS)v1_090603_현대산업개발_그룹웨어_dl380g5서버_견적서_(송부2)_iLO" xfId="1508" xr:uid="{00000000-0005-0000-0000-00006D050000}"/>
    <cellStyle name="_Log Book_060301_2008_5월 100시리즈 HP Low end server 가격표(WS)v1_090630_노틸러스효성_DL380G6 DL360G6" xfId="1509" xr:uid="{00000000-0005-0000-0000-00006E050000}"/>
    <cellStyle name="_Log Book_060301_2008_5월 100시리즈 HP Low end server 가격표(WS)v1_공지_2009_5월표준견적서_ilo추가" xfId="1510" xr:uid="{00000000-0005-0000-0000-00006F050000}"/>
    <cellStyle name="_Log Book_060301_Book1" xfId="1511" xr:uid="{00000000-0005-0000-0000-000070050000}"/>
    <cellStyle name="_Log Book_060301_Book1_090603_현대산업개발_그룹웨어_dl380g5서버_견적서_(송부2)_iLO" xfId="1512" xr:uid="{00000000-0005-0000-0000-000071050000}"/>
    <cellStyle name="_Log Book_060301_Book1_090630_노틸러스효성_DL380G6 DL360G6" xfId="1513" xr:uid="{00000000-0005-0000-0000-000072050000}"/>
    <cellStyle name="_Log Book_060301_Book1_공지_2009_5월표준견적서_ilo추가" xfId="1514" xr:uid="{00000000-0005-0000-0000-000073050000}"/>
    <cellStyle name="_Log Book_060301_hp-0612" xfId="1515" xr:uid="{00000000-0005-0000-0000-000074050000}"/>
    <cellStyle name="_Log Book_060301_hp-0701" xfId="1516" xr:uid="{00000000-0005-0000-0000-000075050000}"/>
    <cellStyle name="_Log Book_060301_hp-0702" xfId="1517" xr:uid="{00000000-0005-0000-0000-000076050000}"/>
    <cellStyle name="_Log Book_060301_ISS 케어팩_07" xfId="1518" xr:uid="{00000000-0005-0000-0000-000077050000}"/>
    <cellStyle name="_Log Book_060301_ISS_FY08_10월가격표_final013xls" xfId="1519" xr:uid="{00000000-0005-0000-0000-000078050000}"/>
    <cellStyle name="_Log Book_060301_ISS_FY08_10월가격표_final013xls 2" xfId="1520" xr:uid="{00000000-0005-0000-0000-000079050000}"/>
    <cellStyle name="_Log Book_060301_ISS_FY08_10월가격표_final013xls 3" xfId="1521" xr:uid="{00000000-0005-0000-0000-00007A050000}"/>
    <cellStyle name="_Log Book_060301_ISS_FY08_10월가격표_final013xls 4" xfId="1522" xr:uid="{00000000-0005-0000-0000-00007B050000}"/>
    <cellStyle name="_Log Book_060301_ISS_FY08_10월가격표_final013xls 5" xfId="1523" xr:uid="{00000000-0005-0000-0000-00007C050000}"/>
    <cellStyle name="_Log Book_060301_ISS_FY08_10월가격표_final013xls 6" xfId="1524" xr:uid="{00000000-0005-0000-0000-00007D050000}"/>
    <cellStyle name="_Log Book_060301_ISS_FY08_10월가격표_final013xls 7" xfId="1525" xr:uid="{00000000-0005-0000-0000-00007E050000}"/>
    <cellStyle name="_Log Book_060301_ISS_FY08_8월가격표" xfId="1526" xr:uid="{00000000-0005-0000-0000-00007F050000}"/>
    <cellStyle name="_Log Book_060301_ISS_FY08_8월가격표_090603_현대산업개발_그룹웨어_dl380g5서버_견적서_(송부2)_iLO" xfId="1527" xr:uid="{00000000-0005-0000-0000-000080050000}"/>
    <cellStyle name="_Log Book_060301_ISS_FY08_8월가격표_090630_노틸러스효성_DL380G6 DL360G6" xfId="1528" xr:uid="{00000000-0005-0000-0000-000081050000}"/>
    <cellStyle name="_Log Book_060301_ISS_FY08_8월가격표_공지_2009_5월표준견적서_ilo추가" xfId="1529" xr:uid="{00000000-0005-0000-0000-000082050000}"/>
    <cellStyle name="_Log Book_060301_화이트박스-09-0430(SZ일체형)" xfId="4052" xr:uid="{00000000-0005-0000-0000-000083050000}"/>
    <cellStyle name="_Log Book_060601" xfId="1530" xr:uid="{00000000-0005-0000-0000-000084050000}"/>
    <cellStyle name="_Log Book_060601 2" xfId="1531" xr:uid="{00000000-0005-0000-0000-000085050000}"/>
    <cellStyle name="_Log Book_060601 3" xfId="1532" xr:uid="{00000000-0005-0000-0000-000086050000}"/>
    <cellStyle name="_Log Book_060601 4" xfId="1533" xr:uid="{00000000-0005-0000-0000-000087050000}"/>
    <cellStyle name="_Log Book_060601 5" xfId="1534" xr:uid="{00000000-0005-0000-0000-000088050000}"/>
    <cellStyle name="_Log Book_060601 6" xfId="1535" xr:uid="{00000000-0005-0000-0000-000089050000}"/>
    <cellStyle name="_Log Book_060601 7" xfId="1536" xr:uid="{00000000-0005-0000-0000-00008A050000}"/>
    <cellStyle name="_Log Book_060601_0808 FY08Q4 HP Low end server 가격표(WS)" xfId="1537" xr:uid="{00000000-0005-0000-0000-00008B050000}"/>
    <cellStyle name="_Log Book_060601_0808 FY08Q4 HP Low end server 가격표(WS)_090603_현대산업개발_그룹웨어_dl380g5서버_견적서_(송부2)_iLO" xfId="1538" xr:uid="{00000000-0005-0000-0000-00008C050000}"/>
    <cellStyle name="_Log Book_060601_0808 FY08Q4 HP Low end server 가격표(WS)_090630_노틸러스효성_DL380G6 DL360G6" xfId="1539" xr:uid="{00000000-0005-0000-0000-00008D050000}"/>
    <cellStyle name="_Log Book_060601_0808 FY08Q4 HP Low end server 가격표(WS)_공지_2009_5월표준견적서_ilo추가" xfId="1540" xr:uid="{00000000-0005-0000-0000-00008E050000}"/>
    <cellStyle name="_Log Book_060601_2008_5월 100시리즈 HP Low end server 가격표(WS)v1" xfId="1541" xr:uid="{00000000-0005-0000-0000-00008F050000}"/>
    <cellStyle name="_Log Book_060601_2008_5월 100시리즈 HP Low end server 가격표(WS)v1_090603_현대산업개발_그룹웨어_dl380g5서버_견적서_(송부2)_iLO" xfId="1542" xr:uid="{00000000-0005-0000-0000-000090050000}"/>
    <cellStyle name="_Log Book_060601_2008_5월 100시리즈 HP Low end server 가격표(WS)v1_090630_노틸러스효성_DL380G6 DL360G6" xfId="1543" xr:uid="{00000000-0005-0000-0000-000091050000}"/>
    <cellStyle name="_Log Book_060601_2008_5월 100시리즈 HP Low end server 가격표(WS)v1_공지_2009_5월표준견적서_ilo추가" xfId="1544" xr:uid="{00000000-0005-0000-0000-000092050000}"/>
    <cellStyle name="_Log Book_060601_Book1" xfId="1545" xr:uid="{00000000-0005-0000-0000-000093050000}"/>
    <cellStyle name="_Log Book_060601_Book1_090603_현대산업개발_그룹웨어_dl380g5서버_견적서_(송부2)_iLO" xfId="1546" xr:uid="{00000000-0005-0000-0000-000094050000}"/>
    <cellStyle name="_Log Book_060601_Book1_090630_노틸러스효성_DL380G6 DL360G6" xfId="1547" xr:uid="{00000000-0005-0000-0000-000095050000}"/>
    <cellStyle name="_Log Book_060601_Book1_공지_2009_5월표준견적서_ilo추가" xfId="1548" xr:uid="{00000000-0005-0000-0000-000096050000}"/>
    <cellStyle name="_Log Book_060601_hp-0612" xfId="1549" xr:uid="{00000000-0005-0000-0000-000097050000}"/>
    <cellStyle name="_Log Book_060601_hp-0701" xfId="1550" xr:uid="{00000000-0005-0000-0000-000098050000}"/>
    <cellStyle name="_Log Book_060601_hp-0702" xfId="1551" xr:uid="{00000000-0005-0000-0000-000099050000}"/>
    <cellStyle name="_Log Book_060601_ISS 케어팩_07" xfId="1552" xr:uid="{00000000-0005-0000-0000-00009A050000}"/>
    <cellStyle name="_Log Book_060601_ISS_FY08_10월가격표_final013xls" xfId="1553" xr:uid="{00000000-0005-0000-0000-00009B050000}"/>
    <cellStyle name="_Log Book_060601_ISS_FY08_10월가격표_final013xls 2" xfId="1554" xr:uid="{00000000-0005-0000-0000-00009C050000}"/>
    <cellStyle name="_Log Book_060601_ISS_FY08_10월가격표_final013xls 3" xfId="1555" xr:uid="{00000000-0005-0000-0000-00009D050000}"/>
    <cellStyle name="_Log Book_060601_ISS_FY08_10월가격표_final013xls 4" xfId="1556" xr:uid="{00000000-0005-0000-0000-00009E050000}"/>
    <cellStyle name="_Log Book_060601_ISS_FY08_10월가격표_final013xls 5" xfId="1557" xr:uid="{00000000-0005-0000-0000-00009F050000}"/>
    <cellStyle name="_Log Book_060601_ISS_FY08_10월가격표_final013xls 6" xfId="1558" xr:uid="{00000000-0005-0000-0000-0000A0050000}"/>
    <cellStyle name="_Log Book_060601_ISS_FY08_10월가격표_final013xls 7" xfId="1559" xr:uid="{00000000-0005-0000-0000-0000A1050000}"/>
    <cellStyle name="_Log Book_060601_ISS_FY08_8월가격표" xfId="1560" xr:uid="{00000000-0005-0000-0000-0000A2050000}"/>
    <cellStyle name="_Log Book_060601_ISS_FY08_8월가격표_090603_현대산업개발_그룹웨어_dl380g5서버_견적서_(송부2)_iLO" xfId="1561" xr:uid="{00000000-0005-0000-0000-0000A3050000}"/>
    <cellStyle name="_Log Book_060601_ISS_FY08_8월가격표_090630_노틸러스효성_DL380G6 DL360G6" xfId="1562" xr:uid="{00000000-0005-0000-0000-0000A4050000}"/>
    <cellStyle name="_Log Book_060601_ISS_FY08_8월가격표_공지_2009_5월표준견적서_ilo추가" xfId="1563" xr:uid="{00000000-0005-0000-0000-0000A5050000}"/>
    <cellStyle name="_Log Book_060601_화이트박스-09-0430(SZ일체형)" xfId="4053" xr:uid="{00000000-0005-0000-0000-0000A6050000}"/>
    <cellStyle name="_LvieLink License 유지보수" xfId="135" xr:uid="{00000000-0005-0000-0000-0000A7050000}"/>
    <cellStyle name="_manual Adjustments" xfId="1564" xr:uid="{00000000-0005-0000-0000-0000A8050000}"/>
    <cellStyle name="_manual Adjustments_computation  File - KR Q406 DPFR(24th Nov)" xfId="1565" xr:uid="{00000000-0005-0000-0000-0000A9050000}"/>
    <cellStyle name="_manual Adjustments_computation File - KR Q207 DPFR--(1st version draft 0522 update )" xfId="1566" xr:uid="{00000000-0005-0000-0000-0000AA050000}"/>
    <cellStyle name="_manual Adjustments_computation File - KR Q307 DPFR(final version)" xfId="1567" xr:uid="{00000000-0005-0000-0000-0000AB050000}"/>
    <cellStyle name="_manual Adjustments_computation File - KR Q307 DPFR(Leeway 0828)" xfId="1568" xr:uid="{00000000-0005-0000-0000-0000AC050000}"/>
    <cellStyle name="_manual Adjustments_computation File - KR Q307 DPFR(update07-18-07)" xfId="1569" xr:uid="{00000000-0005-0000-0000-0000AD050000}"/>
    <cellStyle name="_manual Adjustments_computation File - KR Q307 DPFR(update07-23-07)" xfId="1570" xr:uid="{00000000-0005-0000-0000-0000AE050000}"/>
    <cellStyle name="_manual Adjustments_computation Practice(10thMay) - KR Q207 DPFR-  " xfId="1571" xr:uid="{00000000-0005-0000-0000-0000AF050000}"/>
    <cellStyle name="_manual Adjustments_computationFile - KR Q107 DPFR" xfId="1572" xr:uid="{00000000-0005-0000-0000-0000B0050000}"/>
    <cellStyle name="_manual Adjustments_ID Q107 DPFR Computation (5Mar07)" xfId="1573" xr:uid="{00000000-0005-0000-0000-0000B1050000}"/>
    <cellStyle name="_manual Adjustments_ID Q207 DPFR Computation_template" xfId="1574" xr:uid="{00000000-0005-0000-0000-0000B2050000}"/>
    <cellStyle name="_manual Adjustments_IN Q106 DPFR Computation (2mar06)" xfId="1575" xr:uid="{00000000-0005-0000-0000-0000B3050000}"/>
    <cellStyle name="_manual Adjustments_IN Q206 DPFR Computation (6jun06)" xfId="1576" xr:uid="{00000000-0005-0000-0000-0000B4050000}"/>
    <cellStyle name="_manual Adjustments_IN Q207 DPFR Computation_template" xfId="1577" xr:uid="{00000000-0005-0000-0000-0000B5050000}"/>
    <cellStyle name="_manual Adjustments_IN Q406 DPFR Computation (13nov06)" xfId="1578" xr:uid="{00000000-0005-0000-0000-0000B6050000}"/>
    <cellStyle name="_manual Adjustments_IN Q406 DPFR Computation (24nov06)" xfId="1579" xr:uid="{00000000-0005-0000-0000-0000B7050000}"/>
    <cellStyle name="_manual Adjustments_IN Q406 DPFR-R Computation (01dec06)" xfId="1580" xr:uid="{00000000-0005-0000-0000-0000B8050000}"/>
    <cellStyle name="_manual Adjustments_Input File - AEC Q207 DPFR" xfId="1581" xr:uid="{00000000-0005-0000-0000-0000B9050000}"/>
    <cellStyle name="_manual Adjustments_Input File - ID Q107 DPFR_Ver3" xfId="1582" xr:uid="{00000000-0005-0000-0000-0000BA050000}"/>
    <cellStyle name="_manual Adjustments_Input File - ID Q207 DPFR_Final-5-3-2007" xfId="1583" xr:uid="{00000000-0005-0000-0000-0000BB050000}"/>
    <cellStyle name="_manual Adjustments_Input File - IN Q107 DPFR" xfId="1584" xr:uid="{00000000-0005-0000-0000-0000BC050000}"/>
    <cellStyle name="_manual Adjustments_Input File - KR Q107 DPFR" xfId="1585" xr:uid="{00000000-0005-0000-0000-0000BD050000}"/>
    <cellStyle name="_manual Adjustments_Input File - KR Q107 DPFR(1128-PBM)" xfId="1586" xr:uid="{00000000-0005-0000-0000-0000BE050000}"/>
    <cellStyle name="_manual Adjustments_Input File - KR Q107 DPFR(23th Nov) 001" xfId="1587" xr:uid="{00000000-0005-0000-0000-0000BF050000}"/>
    <cellStyle name="_manual Adjustments_Input File - KR Q207 DPFR" xfId="1588" xr:uid="{00000000-0005-0000-0000-0000C0050000}"/>
    <cellStyle name="_manual Adjustments_Input File - KR Q207 DPFR(0205-AP)" xfId="1589" xr:uid="{00000000-0005-0000-0000-0000C1050000}"/>
    <cellStyle name="_manual Adjustments_Input File - KR Q307 DPFR(update05-23-07)" xfId="1590" xr:uid="{00000000-0005-0000-0000-0000C2050000}"/>
    <cellStyle name="_manual Adjustments_Input File - KR Q406 DPFR(AP)_0807" xfId="1591" xr:uid="{00000000-0005-0000-0000-0000C3050000}"/>
    <cellStyle name="_manual Adjustments_Input File - SG Q107 DPFR" xfId="1592" xr:uid="{00000000-0005-0000-0000-0000C4050000}"/>
    <cellStyle name="_manual Adjustments_KR Q108 inputfile_DPFR_071203" xfId="1593" xr:uid="{00000000-0005-0000-0000-0000C5050000}"/>
    <cellStyle name="_manual Adjustments_KR Q306 DPFR (Aug24thLeeway)" xfId="1594" xr:uid="{00000000-0005-0000-0000-0000C6050000}"/>
    <cellStyle name="_manual Adjustments_KR Q306 DPFR 001fina-leewayl (2)" xfId="1595" xr:uid="{00000000-0005-0000-0000-0000C7050000}"/>
    <cellStyle name="_manual Adjustments_KR Q407 DPFR_final_071030" xfId="1596" xr:uid="{00000000-0005-0000-0000-0000C8050000}"/>
    <cellStyle name="_manual Adjustments_KR Q407 DPFR_final_071106" xfId="1597" xr:uid="{00000000-0005-0000-0000-0000C9050000}"/>
    <cellStyle name="_manual Adjustments_KR Q407 DPFR_template_070802(updated)" xfId="1598" xr:uid="{00000000-0005-0000-0000-0000CA050000}"/>
    <cellStyle name="_manual Adjustments_Leeway-computation File - KR Q207 DPFR--(0523 update )" xfId="1599" xr:uid="{00000000-0005-0000-0000-0000CB050000}"/>
    <cellStyle name="_manual Adjustments_NMFT HD계산 법" xfId="1600" xr:uid="{00000000-0005-0000-0000-0000CC050000}"/>
    <cellStyle name="_manual Adjustments_nMFT 계산 (DPFR HD)_exclude RM (3)" xfId="1601" xr:uid="{00000000-0005-0000-0000-0000CD050000}"/>
    <cellStyle name="_manual Adjustments_Q107 제외 7개사" xfId="1602" xr:uid="{00000000-0005-0000-0000-0000CE050000}"/>
    <cellStyle name="_manual Adjustments_Q206 DPFR Template_India(plan details)" xfId="1603" xr:uid="{00000000-0005-0000-0000-0000CF050000}"/>
    <cellStyle name="_manual Adjustments_Q206 DPFR Template_India(plan details)_computation  File - KR Q406 DPFR(24th Nov)" xfId="1604" xr:uid="{00000000-0005-0000-0000-0000D0050000}"/>
    <cellStyle name="_manual Adjustments_Q206 DPFR Template_India(plan details)_computation File - KR Q207 DPFR--(1st version draft 0522 update )" xfId="1605" xr:uid="{00000000-0005-0000-0000-0000D1050000}"/>
    <cellStyle name="_manual Adjustments_Q206 DPFR Template_India(plan details)_computation File - KR Q307 DPFR(final version)" xfId="1606" xr:uid="{00000000-0005-0000-0000-0000D2050000}"/>
    <cellStyle name="_manual Adjustments_Q206 DPFR Template_India(plan details)_computation File - KR Q307 DPFR(Leeway 0828)" xfId="1607" xr:uid="{00000000-0005-0000-0000-0000D3050000}"/>
    <cellStyle name="_manual Adjustments_Q206 DPFR Template_India(plan details)_computation File - KR Q307 DPFR(update07-18-07)" xfId="1608" xr:uid="{00000000-0005-0000-0000-0000D4050000}"/>
    <cellStyle name="_manual Adjustments_Q206 DPFR Template_India(plan details)_computation File - KR Q307 DPFR(update07-23-07)" xfId="1609" xr:uid="{00000000-0005-0000-0000-0000D5050000}"/>
    <cellStyle name="_manual Adjustments_Q206 DPFR Template_India(plan details)_computation Practice(10thMay) - KR Q207 DPFR-  " xfId="1610" xr:uid="{00000000-0005-0000-0000-0000D6050000}"/>
    <cellStyle name="_manual Adjustments_Q206 DPFR Template_India(plan details)_computationFile - KR Q107 DPFR" xfId="1611" xr:uid="{00000000-0005-0000-0000-0000D7050000}"/>
    <cellStyle name="_manual Adjustments_Q206 DPFR Template_India(plan details)_ID Q107 DPFR Computation (5Mar07)" xfId="1612" xr:uid="{00000000-0005-0000-0000-0000D8050000}"/>
    <cellStyle name="_manual Adjustments_Q206 DPFR Template_India(plan details)_ID Q207 DPFR Computation_template" xfId="1613" xr:uid="{00000000-0005-0000-0000-0000D9050000}"/>
    <cellStyle name="_manual Adjustments_Q206 DPFR Template_India(plan details)_IN Q207 DPFR Computation_template" xfId="1614" xr:uid="{00000000-0005-0000-0000-0000DA050000}"/>
    <cellStyle name="_manual Adjustments_Q206 DPFR Template_India(plan details)_Input File - AEC Q207 DPFR" xfId="1615" xr:uid="{00000000-0005-0000-0000-0000DB050000}"/>
    <cellStyle name="_manual Adjustments_Q206 DPFR Template_India(plan details)_Input File - ID Q107 DPFR_Ver3" xfId="1616" xr:uid="{00000000-0005-0000-0000-0000DC050000}"/>
    <cellStyle name="_manual Adjustments_Q206 DPFR Template_India(plan details)_Input File - ID Q207 DPFR_Final-5-3-2007" xfId="1617" xr:uid="{00000000-0005-0000-0000-0000DD050000}"/>
    <cellStyle name="_manual Adjustments_Q206 DPFR Template_India(plan details)_Input File - IN Q107 DPFR" xfId="1618" xr:uid="{00000000-0005-0000-0000-0000DE050000}"/>
    <cellStyle name="_manual Adjustments_Q206 DPFR Template_India(plan details)_Input File - KR Q107 DPFR" xfId="1619" xr:uid="{00000000-0005-0000-0000-0000DF050000}"/>
    <cellStyle name="_manual Adjustments_Q206 DPFR Template_India(plan details)_Input File - KR Q107 DPFR(1128-PBM)" xfId="1620" xr:uid="{00000000-0005-0000-0000-0000E0050000}"/>
    <cellStyle name="_manual Adjustments_Q206 DPFR Template_India(plan details)_Input File - KR Q107 DPFR(23th Nov) 001" xfId="1621" xr:uid="{00000000-0005-0000-0000-0000E1050000}"/>
    <cellStyle name="_manual Adjustments_Q206 DPFR Template_India(plan details)_Input File - KR Q207 DPFR" xfId="1622" xr:uid="{00000000-0005-0000-0000-0000E2050000}"/>
    <cellStyle name="_manual Adjustments_Q206 DPFR Template_India(plan details)_Input File - KR Q207 DPFR(0205-AP)" xfId="1623" xr:uid="{00000000-0005-0000-0000-0000E3050000}"/>
    <cellStyle name="_manual Adjustments_Q206 DPFR Template_India(plan details)_Input File - KR Q307 DPFR(update05-23-07)" xfId="1624" xr:uid="{00000000-0005-0000-0000-0000E4050000}"/>
    <cellStyle name="_manual Adjustments_Q206 DPFR Template_India(plan details)_Input File - KR Q406 DPFR(AP)_0807" xfId="1625" xr:uid="{00000000-0005-0000-0000-0000E5050000}"/>
    <cellStyle name="_manual Adjustments_Q206 DPFR Template_India(plan details)_Input File - SG Q107 DPFR" xfId="1626" xr:uid="{00000000-0005-0000-0000-0000E6050000}"/>
    <cellStyle name="_manual Adjustments_Q206 DPFR Template_India(plan details)_KR Q108 inputfile_DPFR_071203" xfId="1627" xr:uid="{00000000-0005-0000-0000-0000E7050000}"/>
    <cellStyle name="_manual Adjustments_Q206 DPFR Template_India(plan details)_KR Q306 DPFR (Aug24thLeeway)" xfId="1628" xr:uid="{00000000-0005-0000-0000-0000E8050000}"/>
    <cellStyle name="_manual Adjustments_Q206 DPFR Template_India(plan details)_KR Q306 DPFR 001fina-leewayl (2)" xfId="1629" xr:uid="{00000000-0005-0000-0000-0000E9050000}"/>
    <cellStyle name="_manual Adjustments_Q206 DPFR Template_India(plan details)_KR Q407 DPFR_final_071030" xfId="1630" xr:uid="{00000000-0005-0000-0000-0000EA050000}"/>
    <cellStyle name="_manual Adjustments_Q206 DPFR Template_India(plan details)_KR Q407 DPFR_final_071106" xfId="1631" xr:uid="{00000000-0005-0000-0000-0000EB050000}"/>
    <cellStyle name="_manual Adjustments_Q206 DPFR Template_India(plan details)_KR Q407 DPFR_template_070802(updated)" xfId="1632" xr:uid="{00000000-0005-0000-0000-0000EC050000}"/>
    <cellStyle name="_manual Adjustments_Q206 DPFR Template_India(plan details)_Leeway-computation File - KR Q207 DPFR--(0523 update )" xfId="1633" xr:uid="{00000000-0005-0000-0000-0000ED050000}"/>
    <cellStyle name="_manual Adjustments_Q206 DPFR Template_India(plan details)_NMFT HD계산 법" xfId="1634" xr:uid="{00000000-0005-0000-0000-0000EE050000}"/>
    <cellStyle name="_manual Adjustments_Q206 DPFR Template_India(plan details)_nMFT 계산 (DPFR HD)_exclude RM (3)" xfId="1635" xr:uid="{00000000-0005-0000-0000-0000EF050000}"/>
    <cellStyle name="_manual Adjustments_Q206 DPFR Template_India(plan details)_Q107 제외 7개사" xfId="1636" xr:uid="{00000000-0005-0000-0000-0000F0050000}"/>
    <cellStyle name="_manual Adjustments_Q206 DPFR Template_India(plan details)_Q207 DPFR-021(Korea)" xfId="1637" xr:uid="{00000000-0005-0000-0000-0000F1050000}"/>
    <cellStyle name="_manual Adjustments_Q206 DPFR Template_India(plan details)_Q407 plan detail for computation details" xfId="1638" xr:uid="{00000000-0005-0000-0000-0000F2050000}"/>
    <cellStyle name="_manual Adjustments_Q206 DPFR Template_India(plan details)_TH Q107 DPFR Computation_template" xfId="1639" xr:uid="{00000000-0005-0000-0000-0000F3050000}"/>
    <cellStyle name="_manual Adjustments_Q206 DPFR Template_India(plan details)_수정본 KR Q407 DPFR_draft v._071122( NMFT HD update)" xfId="1640" xr:uid="{00000000-0005-0000-0000-0000F4050000}"/>
    <cellStyle name="_manual Adjustments_Q206 DPFR Template_Malaysia_2006-02-23 (2)_12068" xfId="1641" xr:uid="{00000000-0005-0000-0000-0000F5050000}"/>
    <cellStyle name="_manual Adjustments_Q206 DPFR Template_Malaysia_2006-02-23 (2)_12068_computation  File - KR Q406 DPFR(24th Nov)" xfId="1642" xr:uid="{00000000-0005-0000-0000-0000F6050000}"/>
    <cellStyle name="_manual Adjustments_Q206 DPFR Template_Malaysia_2006-02-23 (2)_12068_computation File - KR Q207 DPFR--(1st version draft 0522 update )" xfId="1643" xr:uid="{00000000-0005-0000-0000-0000F7050000}"/>
    <cellStyle name="_manual Adjustments_Q206 DPFR Template_Malaysia_2006-02-23 (2)_12068_computation File - KR Q307 DPFR(final version)" xfId="1644" xr:uid="{00000000-0005-0000-0000-0000F8050000}"/>
    <cellStyle name="_manual Adjustments_Q206 DPFR Template_Malaysia_2006-02-23 (2)_12068_computation File - KR Q307 DPFR(Leeway 0828)" xfId="1645" xr:uid="{00000000-0005-0000-0000-0000F9050000}"/>
    <cellStyle name="_manual Adjustments_Q206 DPFR Template_Malaysia_2006-02-23 (2)_12068_computation File - KR Q307 DPFR(update07-18-07)" xfId="1646" xr:uid="{00000000-0005-0000-0000-0000FA050000}"/>
    <cellStyle name="_manual Adjustments_Q206 DPFR Template_Malaysia_2006-02-23 (2)_12068_computation File - KR Q307 DPFR(update07-23-07)" xfId="1647" xr:uid="{00000000-0005-0000-0000-0000FB050000}"/>
    <cellStyle name="_manual Adjustments_Q206 DPFR Template_Malaysia_2006-02-23 (2)_12068_computation Practice(10thMay) - KR Q207 DPFR-  " xfId="1648" xr:uid="{00000000-0005-0000-0000-0000FC050000}"/>
    <cellStyle name="_manual Adjustments_Q206 DPFR Template_Malaysia_2006-02-23 (2)_12068_computationFile - KR Q107 DPFR" xfId="1649" xr:uid="{00000000-0005-0000-0000-0000FD050000}"/>
    <cellStyle name="_manual Adjustments_Q206 DPFR Template_Malaysia_2006-02-23 (2)_12068_ID Q107 DPFR Computation (5Mar07)" xfId="1650" xr:uid="{00000000-0005-0000-0000-0000FE050000}"/>
    <cellStyle name="_manual Adjustments_Q206 DPFR Template_Malaysia_2006-02-23 (2)_12068_ID Q207 DPFR Computation_template" xfId="1651" xr:uid="{00000000-0005-0000-0000-0000FF050000}"/>
    <cellStyle name="_manual Adjustments_Q206 DPFR Template_Malaysia_2006-02-23 (2)_12068_IN Q207 DPFR Computation_template" xfId="1652" xr:uid="{00000000-0005-0000-0000-000000060000}"/>
    <cellStyle name="_manual Adjustments_Q206 DPFR Template_Malaysia_2006-02-23 (2)_12068_IN Q406 DPFR Computation (13nov06)" xfId="1653" xr:uid="{00000000-0005-0000-0000-000001060000}"/>
    <cellStyle name="_manual Adjustments_Q206 DPFR Template_Malaysia_2006-02-23 (2)_12068_IN Q406 DPFR Computation (24nov06)" xfId="1654" xr:uid="{00000000-0005-0000-0000-000002060000}"/>
    <cellStyle name="_manual Adjustments_Q206 DPFR Template_Malaysia_2006-02-23 (2)_12068_IN Q406 DPFR-R Computation (01dec06)" xfId="1655" xr:uid="{00000000-0005-0000-0000-000003060000}"/>
    <cellStyle name="_manual Adjustments_Q206 DPFR Template_Malaysia_2006-02-23 (2)_12068_Input File - AEC Q207 DPFR" xfId="1656" xr:uid="{00000000-0005-0000-0000-000004060000}"/>
    <cellStyle name="_manual Adjustments_Q206 DPFR Template_Malaysia_2006-02-23 (2)_12068_Input File - ID Q107 DPFR_Ver3" xfId="1657" xr:uid="{00000000-0005-0000-0000-000005060000}"/>
    <cellStyle name="_manual Adjustments_Q206 DPFR Template_Malaysia_2006-02-23 (2)_12068_Input File - ID Q207 DPFR_Final-5-3-2007" xfId="1658" xr:uid="{00000000-0005-0000-0000-000006060000}"/>
    <cellStyle name="_manual Adjustments_Q206 DPFR Template_Malaysia_2006-02-23 (2)_12068_Input File - IN Q107 DPFR" xfId="1659" xr:uid="{00000000-0005-0000-0000-000007060000}"/>
    <cellStyle name="_manual Adjustments_Q206 DPFR Template_Malaysia_2006-02-23 (2)_12068_Input File - KR Q107 DPFR" xfId="1660" xr:uid="{00000000-0005-0000-0000-000008060000}"/>
    <cellStyle name="_manual Adjustments_Q206 DPFR Template_Malaysia_2006-02-23 (2)_12068_Input File - KR Q107 DPFR(1128-PBM)" xfId="1661" xr:uid="{00000000-0005-0000-0000-000009060000}"/>
    <cellStyle name="_manual Adjustments_Q206 DPFR Template_Malaysia_2006-02-23 (2)_12068_Input File - KR Q107 DPFR(23th Nov) 001" xfId="1662" xr:uid="{00000000-0005-0000-0000-00000A060000}"/>
    <cellStyle name="_manual Adjustments_Q206 DPFR Template_Malaysia_2006-02-23 (2)_12068_Input File - KR Q207 DPFR" xfId="1663" xr:uid="{00000000-0005-0000-0000-00000B060000}"/>
    <cellStyle name="_manual Adjustments_Q206 DPFR Template_Malaysia_2006-02-23 (2)_12068_Input File - KR Q207 DPFR(0205-AP)" xfId="1664" xr:uid="{00000000-0005-0000-0000-00000C060000}"/>
    <cellStyle name="_manual Adjustments_Q206 DPFR Template_Malaysia_2006-02-23 (2)_12068_Input File - KR Q307 DPFR(update05-23-07)" xfId="1665" xr:uid="{00000000-0005-0000-0000-00000D060000}"/>
    <cellStyle name="_manual Adjustments_Q206 DPFR Template_Malaysia_2006-02-23 (2)_12068_Input File - KR Q406 DPFR(AP)_0807" xfId="1666" xr:uid="{00000000-0005-0000-0000-00000E060000}"/>
    <cellStyle name="_manual Adjustments_Q206 DPFR Template_Malaysia_2006-02-23 (2)_12068_Input File - SG Q107 DPFR" xfId="1667" xr:uid="{00000000-0005-0000-0000-00000F060000}"/>
    <cellStyle name="_manual Adjustments_Q206 DPFR Template_Malaysia_2006-02-23 (2)_12068_KR Q108 inputfile_DPFR_071203" xfId="1668" xr:uid="{00000000-0005-0000-0000-000010060000}"/>
    <cellStyle name="_manual Adjustments_Q206 DPFR Template_Malaysia_2006-02-23 (2)_12068_KR Q306 DPFR (Aug24thLeeway)" xfId="1669" xr:uid="{00000000-0005-0000-0000-000011060000}"/>
    <cellStyle name="_manual Adjustments_Q206 DPFR Template_Malaysia_2006-02-23 (2)_12068_KR Q306 DPFR 001fina-leewayl (2)" xfId="1670" xr:uid="{00000000-0005-0000-0000-000012060000}"/>
    <cellStyle name="_manual Adjustments_Q206 DPFR Template_Malaysia_2006-02-23 (2)_12068_KR Q407 DPFR_final_071030" xfId="1671" xr:uid="{00000000-0005-0000-0000-000013060000}"/>
    <cellStyle name="_manual Adjustments_Q206 DPFR Template_Malaysia_2006-02-23 (2)_12068_KR Q407 DPFR_final_071106" xfId="1672" xr:uid="{00000000-0005-0000-0000-000014060000}"/>
    <cellStyle name="_manual Adjustments_Q206 DPFR Template_Malaysia_2006-02-23 (2)_12068_KR Q407 DPFR_template_070802(updated)" xfId="1673" xr:uid="{00000000-0005-0000-0000-000015060000}"/>
    <cellStyle name="_manual Adjustments_Q206 DPFR Template_Malaysia_2006-02-23 (2)_12068_Leeway-computation File - KR Q207 DPFR--(0523 update )" xfId="1674" xr:uid="{00000000-0005-0000-0000-000016060000}"/>
    <cellStyle name="_manual Adjustments_Q206 DPFR Template_Malaysia_2006-02-23 (2)_12068_NMFT HD계산 법" xfId="1675" xr:uid="{00000000-0005-0000-0000-000017060000}"/>
    <cellStyle name="_manual Adjustments_Q206 DPFR Template_Malaysia_2006-02-23 (2)_12068_nMFT 계산 (DPFR HD)_exclude RM (3)" xfId="1676" xr:uid="{00000000-0005-0000-0000-000018060000}"/>
    <cellStyle name="_manual Adjustments_Q206 DPFR Template_Malaysia_2006-02-23 (2)_12068_Q107 제외 7개사" xfId="1677" xr:uid="{00000000-0005-0000-0000-000019060000}"/>
    <cellStyle name="_manual Adjustments_Q206 DPFR Template_Malaysia_2006-02-23 (2)_12068_Q207 DPFR-021(Korea)" xfId="1678" xr:uid="{00000000-0005-0000-0000-00001A060000}"/>
    <cellStyle name="_manual Adjustments_Q206 DPFR Template_Malaysia_2006-02-23 (2)_12068_Q407 plan detail for computation details" xfId="1679" xr:uid="{00000000-0005-0000-0000-00001B060000}"/>
    <cellStyle name="_manual Adjustments_Q206 DPFR Template_Malaysia_2006-02-23 (2)_12068_SG Q206 DPFR Computation (24may06)" xfId="1680" xr:uid="{00000000-0005-0000-0000-00001C060000}"/>
    <cellStyle name="_manual Adjustments_Q206 DPFR Template_Malaysia_2006-02-23 (2)_12068_SG Q306 DPFR Computation (08sept06)" xfId="1681" xr:uid="{00000000-0005-0000-0000-00001D060000}"/>
    <cellStyle name="_manual Adjustments_Q206 DPFR Template_Malaysia_2006-02-23 (2)_12068_SG Q406 DPFR Computation (20nov06)" xfId="1682" xr:uid="{00000000-0005-0000-0000-00001E060000}"/>
    <cellStyle name="_manual Adjustments_Q206 DPFR Template_Malaysia_2006-02-23 (2)_12068_TH Q107 DPFR Computation_template" xfId="1683" xr:uid="{00000000-0005-0000-0000-00001F060000}"/>
    <cellStyle name="_manual Adjustments_Q206 DPFR Template_Malaysia_2006-02-23 (2)_12068_수정본 KR Q407 DPFR_draft v._071122( NMFT HD update)" xfId="1684" xr:uid="{00000000-0005-0000-0000-000020060000}"/>
    <cellStyle name="_manual Adjustments_Q206 DPFR Template_Singapore (8 Mar 06)" xfId="1685" xr:uid="{00000000-0005-0000-0000-000021060000}"/>
    <cellStyle name="_manual Adjustments_Q206 DPFR Template_Singapore (8 Mar 06)_computation  File - KR Q406 DPFR(24th Nov)" xfId="1686" xr:uid="{00000000-0005-0000-0000-000022060000}"/>
    <cellStyle name="_manual Adjustments_Q206 DPFR Template_Singapore (8 Mar 06)_computation File - KR Q207 DPFR--(1st version draft 0522 update )" xfId="1687" xr:uid="{00000000-0005-0000-0000-000023060000}"/>
    <cellStyle name="_manual Adjustments_Q206 DPFR Template_Singapore (8 Mar 06)_computation File - KR Q307 DPFR(final version)" xfId="1688" xr:uid="{00000000-0005-0000-0000-000024060000}"/>
    <cellStyle name="_manual Adjustments_Q206 DPFR Template_Singapore (8 Mar 06)_computation File - KR Q307 DPFR(Leeway 0828)" xfId="1689" xr:uid="{00000000-0005-0000-0000-000025060000}"/>
    <cellStyle name="_manual Adjustments_Q206 DPFR Template_Singapore (8 Mar 06)_computation File - KR Q307 DPFR(update07-18-07)" xfId="1690" xr:uid="{00000000-0005-0000-0000-000026060000}"/>
    <cellStyle name="_manual Adjustments_Q206 DPFR Template_Singapore (8 Mar 06)_computation File - KR Q307 DPFR(update07-23-07)" xfId="1691" xr:uid="{00000000-0005-0000-0000-000027060000}"/>
    <cellStyle name="_manual Adjustments_Q206 DPFR Template_Singapore (8 Mar 06)_computation Practice(10thMay) - KR Q207 DPFR-  " xfId="1692" xr:uid="{00000000-0005-0000-0000-000028060000}"/>
    <cellStyle name="_manual Adjustments_Q206 DPFR Template_Singapore (8 Mar 06)_computationFile - KR Q107 DPFR" xfId="1693" xr:uid="{00000000-0005-0000-0000-000029060000}"/>
    <cellStyle name="_manual Adjustments_Q206 DPFR Template_Singapore (8 Mar 06)_ID Q107 DPFR Computation (5Mar07)" xfId="1694" xr:uid="{00000000-0005-0000-0000-00002A060000}"/>
    <cellStyle name="_manual Adjustments_Q206 DPFR Template_Singapore (8 Mar 06)_ID Q207 DPFR Computation_template" xfId="1695" xr:uid="{00000000-0005-0000-0000-00002B060000}"/>
    <cellStyle name="_manual Adjustments_Q206 DPFR Template_Singapore (8 Mar 06)_IN Q207 DPFR Computation_template" xfId="1696" xr:uid="{00000000-0005-0000-0000-00002C060000}"/>
    <cellStyle name="_manual Adjustments_Q206 DPFR Template_Singapore (8 Mar 06)_IN Q406 DPFR Computation (13nov06)" xfId="1697" xr:uid="{00000000-0005-0000-0000-00002D060000}"/>
    <cellStyle name="_manual Adjustments_Q206 DPFR Template_Singapore (8 Mar 06)_IN Q406 DPFR Computation (24nov06)" xfId="1698" xr:uid="{00000000-0005-0000-0000-00002E060000}"/>
    <cellStyle name="_manual Adjustments_Q206 DPFR Template_Singapore (8 Mar 06)_IN Q406 DPFR-R Computation (01dec06)" xfId="1699" xr:uid="{00000000-0005-0000-0000-00002F060000}"/>
    <cellStyle name="_manual Adjustments_Q206 DPFR Template_Singapore (8 Mar 06)_Input File - AEC Q207 DPFR" xfId="1700" xr:uid="{00000000-0005-0000-0000-000030060000}"/>
    <cellStyle name="_manual Adjustments_Q206 DPFR Template_Singapore (8 Mar 06)_Input File - ID Q107 DPFR_Ver3" xfId="1701" xr:uid="{00000000-0005-0000-0000-000031060000}"/>
    <cellStyle name="_manual Adjustments_Q206 DPFR Template_Singapore (8 Mar 06)_Input File - ID Q207 DPFR_Final-5-3-2007" xfId="1702" xr:uid="{00000000-0005-0000-0000-000032060000}"/>
    <cellStyle name="_manual Adjustments_Q206 DPFR Template_Singapore (8 Mar 06)_Input File - IN Q107 DPFR" xfId="1703" xr:uid="{00000000-0005-0000-0000-000033060000}"/>
    <cellStyle name="_manual Adjustments_Q206 DPFR Template_Singapore (8 Mar 06)_Input File - KR Q107 DPFR" xfId="1704" xr:uid="{00000000-0005-0000-0000-000034060000}"/>
    <cellStyle name="_manual Adjustments_Q206 DPFR Template_Singapore (8 Mar 06)_Input File - KR Q107 DPFR(1128-PBM)" xfId="1705" xr:uid="{00000000-0005-0000-0000-000035060000}"/>
    <cellStyle name="_manual Adjustments_Q206 DPFR Template_Singapore (8 Mar 06)_Input File - KR Q107 DPFR(23th Nov) 001" xfId="1706" xr:uid="{00000000-0005-0000-0000-000036060000}"/>
    <cellStyle name="_manual Adjustments_Q206 DPFR Template_Singapore (8 Mar 06)_Input File - KR Q207 DPFR" xfId="1707" xr:uid="{00000000-0005-0000-0000-000037060000}"/>
    <cellStyle name="_manual Adjustments_Q206 DPFR Template_Singapore (8 Mar 06)_Input File - KR Q207 DPFR(0205-AP)" xfId="1708" xr:uid="{00000000-0005-0000-0000-000038060000}"/>
    <cellStyle name="_manual Adjustments_Q206 DPFR Template_Singapore (8 Mar 06)_Input File - KR Q307 DPFR(update05-23-07)" xfId="1709" xr:uid="{00000000-0005-0000-0000-000039060000}"/>
    <cellStyle name="_manual Adjustments_Q206 DPFR Template_Singapore (8 Mar 06)_Input File - KR Q406 DPFR(AP)_0807" xfId="1710" xr:uid="{00000000-0005-0000-0000-00003A060000}"/>
    <cellStyle name="_manual Adjustments_Q206 DPFR Template_Singapore (8 Mar 06)_Input File - SG Q107 DPFR" xfId="1711" xr:uid="{00000000-0005-0000-0000-00003B060000}"/>
    <cellStyle name="_manual Adjustments_Q206 DPFR Template_Singapore (8 Mar 06)_KR Q108 inputfile_DPFR_071203" xfId="1712" xr:uid="{00000000-0005-0000-0000-00003C060000}"/>
    <cellStyle name="_manual Adjustments_Q206 DPFR Template_Singapore (8 Mar 06)_KR Q306 DPFR (Aug24thLeeway)" xfId="1713" xr:uid="{00000000-0005-0000-0000-00003D060000}"/>
    <cellStyle name="_manual Adjustments_Q206 DPFR Template_Singapore (8 Mar 06)_KR Q306 DPFR 001fina-leewayl (2)" xfId="1714" xr:uid="{00000000-0005-0000-0000-00003E060000}"/>
    <cellStyle name="_manual Adjustments_Q206 DPFR Template_Singapore (8 Mar 06)_KR Q407 DPFR_final_071030" xfId="1715" xr:uid="{00000000-0005-0000-0000-00003F060000}"/>
    <cellStyle name="_manual Adjustments_Q206 DPFR Template_Singapore (8 Mar 06)_KR Q407 DPFR_final_071106" xfId="1716" xr:uid="{00000000-0005-0000-0000-000040060000}"/>
    <cellStyle name="_manual Adjustments_Q206 DPFR Template_Singapore (8 Mar 06)_KR Q407 DPFR_template_070802(updated)" xfId="1717" xr:uid="{00000000-0005-0000-0000-000041060000}"/>
    <cellStyle name="_manual Adjustments_Q206 DPFR Template_Singapore (8 Mar 06)_Leeway-computation File - KR Q207 DPFR--(0523 update )" xfId="1718" xr:uid="{00000000-0005-0000-0000-000042060000}"/>
    <cellStyle name="_manual Adjustments_Q206 DPFR Template_Singapore (8 Mar 06)_NMFT HD계산 법" xfId="1719" xr:uid="{00000000-0005-0000-0000-000043060000}"/>
    <cellStyle name="_manual Adjustments_Q206 DPFR Template_Singapore (8 Mar 06)_nMFT 계산 (DPFR HD)_exclude RM (3)" xfId="1720" xr:uid="{00000000-0005-0000-0000-000044060000}"/>
    <cellStyle name="_manual Adjustments_Q206 DPFR Template_Singapore (8 Mar 06)_Q107 제외 7개사" xfId="1721" xr:uid="{00000000-0005-0000-0000-000045060000}"/>
    <cellStyle name="_manual Adjustments_Q206 DPFR Template_Singapore (8 Mar 06)_Q207 DPFR-021(Korea)" xfId="1722" xr:uid="{00000000-0005-0000-0000-000046060000}"/>
    <cellStyle name="_manual Adjustments_Q206 DPFR Template_Singapore (8 Mar 06)_Q407 plan detail for computation details" xfId="1723" xr:uid="{00000000-0005-0000-0000-000047060000}"/>
    <cellStyle name="_manual Adjustments_Q206 DPFR Template_Singapore (8 Mar 06)_SG Q206 DPFR Computation (24may06)" xfId="1724" xr:uid="{00000000-0005-0000-0000-000048060000}"/>
    <cellStyle name="_manual Adjustments_Q206 DPFR Template_Singapore (8 Mar 06)_SG Q406 DPFR Computation (20nov06)" xfId="1725" xr:uid="{00000000-0005-0000-0000-000049060000}"/>
    <cellStyle name="_manual Adjustments_Q206 DPFR Template_Singapore (8 Mar 06)_TH Q107 DPFR Computation_template" xfId="1726" xr:uid="{00000000-0005-0000-0000-00004A060000}"/>
    <cellStyle name="_manual Adjustments_Q206 DPFR Template_Singapore (8 Mar 06)_수정본 KR Q407 DPFR_draft v._071122( NMFT HD update)" xfId="1727" xr:uid="{00000000-0005-0000-0000-00004B060000}"/>
    <cellStyle name="_manual Adjustments_Q207 DPFR-021(Korea)" xfId="1728" xr:uid="{00000000-0005-0000-0000-00004C060000}"/>
    <cellStyle name="_manual Adjustments_Q407 plan detail for computation details" xfId="1729" xr:uid="{00000000-0005-0000-0000-00004D060000}"/>
    <cellStyle name="_manual Adjustments_SG Q106 DPFR Computation (13feb06)" xfId="1730" xr:uid="{00000000-0005-0000-0000-00004E060000}"/>
    <cellStyle name="_manual Adjustments_SG Q106 DPFR Computation (13feb06)_SG Q206 DPFR Computation (24may06)" xfId="1731" xr:uid="{00000000-0005-0000-0000-00004F060000}"/>
    <cellStyle name="_manual Adjustments_SG Q206 DPFR Computation" xfId="1732" xr:uid="{00000000-0005-0000-0000-000050060000}"/>
    <cellStyle name="_manual Adjustments_SG Q206 DPFR Computation (24may06)" xfId="1733" xr:uid="{00000000-0005-0000-0000-000051060000}"/>
    <cellStyle name="_manual Adjustments_SG Q306 DPFR Computation (08sept06)" xfId="1734" xr:uid="{00000000-0005-0000-0000-000052060000}"/>
    <cellStyle name="_manual Adjustments_SG Q406 DPFR Computation (20nov06)" xfId="1735" xr:uid="{00000000-0005-0000-0000-000053060000}"/>
    <cellStyle name="_manual Adjustments_TH Q107 DPFR Computation_template" xfId="1736" xr:uid="{00000000-0005-0000-0000-000054060000}"/>
    <cellStyle name="_manual Adjustments_수정본 KR Q407 DPFR_draft v._071122( NMFT HD update)" xfId="1737" xr:uid="{00000000-0005-0000-0000-000055060000}"/>
    <cellStyle name="_Memory" xfId="4054" xr:uid="{00000000-0005-0000-0000-000056060000}"/>
    <cellStyle name="_MHR-08-0707(DL580G5,노트북)-1" xfId="4055" xr:uid="{00000000-0005-0000-0000-000057060000}"/>
    <cellStyle name="_MM" xfId="1738" xr:uid="{00000000-0005-0000-0000-000058060000}"/>
    <cellStyle name="_Modular Processors" xfId="4056" xr:uid="{00000000-0005-0000-0000-000059060000}"/>
    <cellStyle name="_molp양식(강동구청)" xfId="1739" xr:uid="{00000000-0005-0000-0000-00005A060000}"/>
    <cellStyle name="_MS 10월 가격표 (외부용)" xfId="1740" xr:uid="{00000000-0005-0000-0000-00005B060000}"/>
    <cellStyle name="_MS 12월가격표_1" xfId="4057" xr:uid="{00000000-0005-0000-0000-00005C060000}"/>
    <cellStyle name="_MS SW 견적(SQL2005)20060313" xfId="1741" xr:uid="{00000000-0005-0000-0000-00005D060000}"/>
    <cellStyle name="_Nanobay_TN6208S-U4D 05 11 23" xfId="4058" xr:uid="{00000000-0005-0000-0000-00005E060000}"/>
    <cellStyle name="_NAS 기본 견적" xfId="4059" xr:uid="{00000000-0005-0000-0000-00005F060000}"/>
    <cellStyle name="_network_list" xfId="1742" xr:uid="{00000000-0005-0000-0000-000060060000}"/>
    <cellStyle name="_new_FY05 1X Weekly Stock Report(as of July 31)" xfId="1743" xr:uid="{00000000-0005-0000-0000-000061060000}"/>
    <cellStyle name="_NSS 2004년 1월 가격(ALL)" xfId="4060" xr:uid="{00000000-0005-0000-0000-000062060000}"/>
    <cellStyle name="_NT 서버외 부분" xfId="1744" xr:uid="{00000000-0005-0000-0000-000063060000}"/>
    <cellStyle name="_p690MES현황" xfId="136" xr:uid="{00000000-0005-0000-0000-000064060000}"/>
    <cellStyle name="_PC-Scaner0624(1)" xfId="1745" xr:uid="{00000000-0005-0000-0000-000065060000}"/>
    <cellStyle name="_POS OF 2005 Q1" xfId="137" xr:uid="{00000000-0005-0000-0000-000066060000}"/>
    <cellStyle name="_Pricing for KSP (1223)" xfId="4061" xr:uid="{00000000-0005-0000-0000-000067060000}"/>
    <cellStyle name="_ProCurve Quick Reference Card - April 2006" xfId="1746" xr:uid="{00000000-0005-0000-0000-000068060000}"/>
    <cellStyle name="_ProCurve Quick Reference Card - August 2006" xfId="1747" xr:uid="{00000000-0005-0000-0000-000069060000}"/>
    <cellStyle name="_ProCurve Quick Reference Card - December 2005" xfId="1748" xr:uid="{00000000-0005-0000-0000-00006A060000}"/>
    <cellStyle name="_ProCurve Quick Reference Card - December 2006" xfId="1749" xr:uid="{00000000-0005-0000-0000-00006B060000}"/>
    <cellStyle name="_ProCurve Quick Reference Card - February 2007" xfId="1750" xr:uid="{00000000-0005-0000-0000-00006C060000}"/>
    <cellStyle name="_ProCurve Quick Reference Card - January 2006" xfId="1751" xr:uid="{00000000-0005-0000-0000-00006D060000}"/>
    <cellStyle name="_ProCurve Quick Reference Card - July 1 2005" xfId="1752" xr:uid="{00000000-0005-0000-0000-00006E060000}"/>
    <cellStyle name="_ProCurve Quick Reference Card - July 1 2005_Book1" xfId="1753" xr:uid="{00000000-0005-0000-0000-00006F060000}"/>
    <cellStyle name="_ProCurve Quick Reference Card - July 1 2005_HP_Care_Pack_Aug05" xfId="1754" xr:uid="{00000000-0005-0000-0000-000070060000}"/>
    <cellStyle name="_ProCurve Quick Reference Card - July 1 2005_HP_Care_Pack_Dec06" xfId="1755" xr:uid="{00000000-0005-0000-0000-000071060000}"/>
    <cellStyle name="_ProCurve Quick Reference Card - July 1 2005_HP_Care_Pack_July05" xfId="1756" xr:uid="{00000000-0005-0000-0000-000072060000}"/>
    <cellStyle name="_ProCurve Quick Reference Card - July 2006" xfId="1757" xr:uid="{00000000-0005-0000-0000-000073060000}"/>
    <cellStyle name="_ProCurve Quick Reference Card - July 2007" xfId="1758" xr:uid="{00000000-0005-0000-0000-000074060000}"/>
    <cellStyle name="_ProCurve Quick Reference Card - June 2006" xfId="1759" xr:uid="{00000000-0005-0000-0000-000075060000}"/>
    <cellStyle name="_ProCurve Quick Reference Card - March 2007" xfId="1760" xr:uid="{00000000-0005-0000-0000-000076060000}"/>
    <cellStyle name="_ProCurve Quick Reference Card - May 2006" xfId="1761" xr:uid="{00000000-0005-0000-0000-000077060000}"/>
    <cellStyle name="_ProCurve Quick Reference Card - May 2007" xfId="1762" xr:uid="{00000000-0005-0000-0000-000078060000}"/>
    <cellStyle name="_ProCurve Quick Reference Card - October 1  2005" xfId="1763" xr:uid="{00000000-0005-0000-0000-000079060000}"/>
    <cellStyle name="_ProCurve Quick Reference Card - October 2005 v2" xfId="1764" xr:uid="{00000000-0005-0000-0000-00007A060000}"/>
    <cellStyle name="_PSG inventory_14.Dec" xfId="1765" xr:uid="{00000000-0005-0000-0000-00007B060000}"/>
    <cellStyle name="_PSG inventory_23.Dec" xfId="1766" xr:uid="{00000000-0005-0000-0000-00007C060000}"/>
    <cellStyle name="_PSG inventory_28.Dec" xfId="1767" xr:uid="{00000000-0005-0000-0000-00007D060000}"/>
    <cellStyle name="_psg stock" xfId="1768" xr:uid="{00000000-0005-0000-0000-00007E060000}"/>
    <cellStyle name="_Q1 REV FCST102" xfId="1769" xr:uid="{00000000-0005-0000-0000-00007F060000}"/>
    <cellStyle name="_Quota" xfId="1770" xr:uid="{00000000-0005-0000-0000-000080060000}"/>
    <cellStyle name="_Quota_1" xfId="1771" xr:uid="{00000000-0005-0000-0000-000081060000}"/>
    <cellStyle name="_QUOTA_COMM_ENT_1H05_FINAL (2)" xfId="1772" xr:uid="{00000000-0005-0000-0000-000082060000}"/>
    <cellStyle name="_Quota_Q206 DPFR Template_India(plan details)" xfId="1773" xr:uid="{00000000-0005-0000-0000-000083060000}"/>
    <cellStyle name="_Quota_Q206 DPFR Template_India(plan details)_computation  File - KR Q406 DPFR(24th Nov)" xfId="1774" xr:uid="{00000000-0005-0000-0000-000084060000}"/>
    <cellStyle name="_Quota_Q206 DPFR Template_India(plan details)_computation File - KR Q207 DPFR--(1st version draft 0522 update )" xfId="1775" xr:uid="{00000000-0005-0000-0000-000085060000}"/>
    <cellStyle name="_Quota_Q206 DPFR Template_India(plan details)_computation File - KR Q307 DPFR(final version)" xfId="1776" xr:uid="{00000000-0005-0000-0000-000086060000}"/>
    <cellStyle name="_Quota_Q206 DPFR Template_India(plan details)_computation File - KR Q307 DPFR(Leeway 0828)" xfId="1777" xr:uid="{00000000-0005-0000-0000-000087060000}"/>
    <cellStyle name="_Quota_Q206 DPFR Template_India(plan details)_computation File - KR Q307 DPFR(update07-18-07)" xfId="1778" xr:uid="{00000000-0005-0000-0000-000088060000}"/>
    <cellStyle name="_Quota_Q206 DPFR Template_India(plan details)_computation File - KR Q307 DPFR(update07-23-07)" xfId="1779" xr:uid="{00000000-0005-0000-0000-000089060000}"/>
    <cellStyle name="_Quota_Q206 DPFR Template_India(plan details)_computation Practice(10thMay) - KR Q207 DPFR-  " xfId="1780" xr:uid="{00000000-0005-0000-0000-00008A060000}"/>
    <cellStyle name="_Quota_Q206 DPFR Template_India(plan details)_computationFile - KR Q107 DPFR" xfId="1781" xr:uid="{00000000-0005-0000-0000-00008B060000}"/>
    <cellStyle name="_Quota_Q206 DPFR Template_India(plan details)_ID Q107 DPFR Computation (5Mar07)" xfId="1782" xr:uid="{00000000-0005-0000-0000-00008C060000}"/>
    <cellStyle name="_Quota_Q206 DPFR Template_India(plan details)_ID Q207 DPFR Computation_template" xfId="1783" xr:uid="{00000000-0005-0000-0000-00008D060000}"/>
    <cellStyle name="_Quota_Q206 DPFR Template_India(plan details)_IN Q207 DPFR Computation_template" xfId="1784" xr:uid="{00000000-0005-0000-0000-00008E060000}"/>
    <cellStyle name="_Quota_Q206 DPFR Template_India(plan details)_Input File - AEC Q207 DPFR" xfId="1785" xr:uid="{00000000-0005-0000-0000-00008F060000}"/>
    <cellStyle name="_Quota_Q206 DPFR Template_India(plan details)_Input File - ID Q107 DPFR_Ver3" xfId="1786" xr:uid="{00000000-0005-0000-0000-000090060000}"/>
    <cellStyle name="_Quota_Q206 DPFR Template_India(plan details)_Input File - ID Q207 DPFR_Final-5-3-2007" xfId="1787" xr:uid="{00000000-0005-0000-0000-000091060000}"/>
    <cellStyle name="_Quota_Q206 DPFR Template_India(plan details)_Input File - IN Q107 DPFR" xfId="1788" xr:uid="{00000000-0005-0000-0000-000092060000}"/>
    <cellStyle name="_Quota_Q206 DPFR Template_India(plan details)_Input File - KR Q107 DPFR" xfId="1789" xr:uid="{00000000-0005-0000-0000-000093060000}"/>
    <cellStyle name="_Quota_Q206 DPFR Template_India(plan details)_Input File - KR Q107 DPFR(1128-PBM)" xfId="1790" xr:uid="{00000000-0005-0000-0000-000094060000}"/>
    <cellStyle name="_Quota_Q206 DPFR Template_India(plan details)_Input File - KR Q107 DPFR(23th Nov) 001" xfId="1791" xr:uid="{00000000-0005-0000-0000-000095060000}"/>
    <cellStyle name="_Quota_Q206 DPFR Template_India(plan details)_Input File - KR Q207 DPFR" xfId="1792" xr:uid="{00000000-0005-0000-0000-000096060000}"/>
    <cellStyle name="_Quota_Q206 DPFR Template_India(plan details)_Input File - KR Q207 DPFR(0205-AP)" xfId="1793" xr:uid="{00000000-0005-0000-0000-000097060000}"/>
    <cellStyle name="_Quota_Q206 DPFR Template_India(plan details)_Input File - KR Q307 DPFR(update05-23-07)" xfId="1794" xr:uid="{00000000-0005-0000-0000-000098060000}"/>
    <cellStyle name="_Quota_Q206 DPFR Template_India(plan details)_Input File - KR Q406 DPFR(AP)_0807" xfId="1795" xr:uid="{00000000-0005-0000-0000-000099060000}"/>
    <cellStyle name="_Quota_Q206 DPFR Template_India(plan details)_Input File - SG Q107 DPFR" xfId="1796" xr:uid="{00000000-0005-0000-0000-00009A060000}"/>
    <cellStyle name="_Quota_Q206 DPFR Template_India(plan details)_KR Q108 inputfile_DPFR_071203" xfId="1797" xr:uid="{00000000-0005-0000-0000-00009B060000}"/>
    <cellStyle name="_Quota_Q206 DPFR Template_India(plan details)_KR Q306 DPFR (Aug24thLeeway)" xfId="1798" xr:uid="{00000000-0005-0000-0000-00009C060000}"/>
    <cellStyle name="_Quota_Q206 DPFR Template_India(plan details)_KR Q306 DPFR 001fina-leewayl (2)" xfId="1799" xr:uid="{00000000-0005-0000-0000-00009D060000}"/>
    <cellStyle name="_Quota_Q206 DPFR Template_India(plan details)_KR Q407 DPFR_final_071030" xfId="1800" xr:uid="{00000000-0005-0000-0000-00009E060000}"/>
    <cellStyle name="_Quota_Q206 DPFR Template_India(plan details)_KR Q407 DPFR_final_071106" xfId="1801" xr:uid="{00000000-0005-0000-0000-00009F060000}"/>
    <cellStyle name="_Quota_Q206 DPFR Template_India(plan details)_KR Q407 DPFR_template_070802(updated)" xfId="1802" xr:uid="{00000000-0005-0000-0000-0000A0060000}"/>
    <cellStyle name="_Quota_Q206 DPFR Template_India(plan details)_Leeway-computation File - KR Q207 DPFR--(0523 update )" xfId="1803" xr:uid="{00000000-0005-0000-0000-0000A1060000}"/>
    <cellStyle name="_Quota_Q206 DPFR Template_India(plan details)_NMFT HD계산 법" xfId="1804" xr:uid="{00000000-0005-0000-0000-0000A2060000}"/>
    <cellStyle name="_Quota_Q206 DPFR Template_India(plan details)_nMFT 계산 (DPFR HD)_exclude RM (3)" xfId="1805" xr:uid="{00000000-0005-0000-0000-0000A3060000}"/>
    <cellStyle name="_Quota_Q206 DPFR Template_India(plan details)_Q107 제외 7개사" xfId="1806" xr:uid="{00000000-0005-0000-0000-0000A4060000}"/>
    <cellStyle name="_Quota_Q206 DPFR Template_India(plan details)_Q207 DPFR-021(Korea)" xfId="1807" xr:uid="{00000000-0005-0000-0000-0000A5060000}"/>
    <cellStyle name="_Quota_Q206 DPFR Template_India(plan details)_Q407 plan detail for computation details" xfId="1808" xr:uid="{00000000-0005-0000-0000-0000A6060000}"/>
    <cellStyle name="_Quota_Q206 DPFR Template_India(plan details)_TH Q107 DPFR Computation_template" xfId="1809" xr:uid="{00000000-0005-0000-0000-0000A7060000}"/>
    <cellStyle name="_Quota_Q206 DPFR Template_India(plan details)_수정본 KR Q407 DPFR_draft v._071122( NMFT HD update)" xfId="1810" xr:uid="{00000000-0005-0000-0000-0000A8060000}"/>
    <cellStyle name="_Quota_Q206 DPFR Template_Malaysia_2006-02-23 (2)_12068" xfId="1811" xr:uid="{00000000-0005-0000-0000-0000A9060000}"/>
    <cellStyle name="_Quota_Q206 DPFR Template_Malaysia_2006-02-23 (2)_12068_computation  File - KR Q406 DPFR(24th Nov)" xfId="1812" xr:uid="{00000000-0005-0000-0000-0000AA060000}"/>
    <cellStyle name="_Quota_Q206 DPFR Template_Malaysia_2006-02-23 (2)_12068_computation File - KR Q207 DPFR--(1st version draft 0522 update )" xfId="1813" xr:uid="{00000000-0005-0000-0000-0000AB060000}"/>
    <cellStyle name="_Quota_Q206 DPFR Template_Malaysia_2006-02-23 (2)_12068_computation File - KR Q307 DPFR(final version)" xfId="1814" xr:uid="{00000000-0005-0000-0000-0000AC060000}"/>
    <cellStyle name="_Quota_Q206 DPFR Template_Malaysia_2006-02-23 (2)_12068_computation File - KR Q307 DPFR(Leeway 0828)" xfId="1815" xr:uid="{00000000-0005-0000-0000-0000AD060000}"/>
    <cellStyle name="_Quota_Q206 DPFR Template_Malaysia_2006-02-23 (2)_12068_computation File - KR Q307 DPFR(update07-18-07)" xfId="1816" xr:uid="{00000000-0005-0000-0000-0000AE060000}"/>
    <cellStyle name="_Quota_Q206 DPFR Template_Malaysia_2006-02-23 (2)_12068_computation File - KR Q307 DPFR(update07-23-07)" xfId="1817" xr:uid="{00000000-0005-0000-0000-0000AF060000}"/>
    <cellStyle name="_Quota_Q206 DPFR Template_Malaysia_2006-02-23 (2)_12068_computation Practice(10thMay) - KR Q207 DPFR-  " xfId="1818" xr:uid="{00000000-0005-0000-0000-0000B0060000}"/>
    <cellStyle name="_Quota_Q206 DPFR Template_Malaysia_2006-02-23 (2)_12068_computationFile - KR Q107 DPFR" xfId="1819" xr:uid="{00000000-0005-0000-0000-0000B1060000}"/>
    <cellStyle name="_Quota_Q206 DPFR Template_Malaysia_2006-02-23 (2)_12068_ID Q107 DPFR Computation (5Mar07)" xfId="1820" xr:uid="{00000000-0005-0000-0000-0000B2060000}"/>
    <cellStyle name="_Quota_Q206 DPFR Template_Malaysia_2006-02-23 (2)_12068_ID Q207 DPFR Computation_template" xfId="1821" xr:uid="{00000000-0005-0000-0000-0000B3060000}"/>
    <cellStyle name="_Quota_Q206 DPFR Template_Malaysia_2006-02-23 (2)_12068_IN Q207 DPFR Computation_template" xfId="1822" xr:uid="{00000000-0005-0000-0000-0000B4060000}"/>
    <cellStyle name="_Quota_Q206 DPFR Template_Malaysia_2006-02-23 (2)_12068_IN Q406 DPFR Computation (13nov06)" xfId="1823" xr:uid="{00000000-0005-0000-0000-0000B5060000}"/>
    <cellStyle name="_Quota_Q206 DPFR Template_Malaysia_2006-02-23 (2)_12068_IN Q406 DPFR Computation (24nov06)" xfId="1824" xr:uid="{00000000-0005-0000-0000-0000B6060000}"/>
    <cellStyle name="_Quota_Q206 DPFR Template_Malaysia_2006-02-23 (2)_12068_IN Q406 DPFR-R Computation (01dec06)" xfId="1825" xr:uid="{00000000-0005-0000-0000-0000B7060000}"/>
    <cellStyle name="_Quota_Q206 DPFR Template_Malaysia_2006-02-23 (2)_12068_Input File - AEC Q207 DPFR" xfId="1826" xr:uid="{00000000-0005-0000-0000-0000B8060000}"/>
    <cellStyle name="_Quota_Q206 DPFR Template_Malaysia_2006-02-23 (2)_12068_Input File - ID Q107 DPFR_Ver3" xfId="1827" xr:uid="{00000000-0005-0000-0000-0000B9060000}"/>
    <cellStyle name="_Quota_Q206 DPFR Template_Malaysia_2006-02-23 (2)_12068_Input File - ID Q207 DPFR_Final-5-3-2007" xfId="1828" xr:uid="{00000000-0005-0000-0000-0000BA060000}"/>
    <cellStyle name="_Quota_Q206 DPFR Template_Malaysia_2006-02-23 (2)_12068_Input File - IN Q107 DPFR" xfId="1829" xr:uid="{00000000-0005-0000-0000-0000BB060000}"/>
    <cellStyle name="_Quota_Q206 DPFR Template_Malaysia_2006-02-23 (2)_12068_Input File - KR Q107 DPFR" xfId="1830" xr:uid="{00000000-0005-0000-0000-0000BC060000}"/>
    <cellStyle name="_Quota_Q206 DPFR Template_Malaysia_2006-02-23 (2)_12068_Input File - KR Q107 DPFR(1128-PBM)" xfId="1831" xr:uid="{00000000-0005-0000-0000-0000BD060000}"/>
    <cellStyle name="_Quota_Q206 DPFR Template_Malaysia_2006-02-23 (2)_12068_Input File - KR Q107 DPFR(23th Nov) 001" xfId="1832" xr:uid="{00000000-0005-0000-0000-0000BE060000}"/>
    <cellStyle name="_Quota_Q206 DPFR Template_Malaysia_2006-02-23 (2)_12068_Input File - KR Q207 DPFR" xfId="1833" xr:uid="{00000000-0005-0000-0000-0000BF060000}"/>
    <cellStyle name="_Quota_Q206 DPFR Template_Malaysia_2006-02-23 (2)_12068_Input File - KR Q207 DPFR(0205-AP)" xfId="1834" xr:uid="{00000000-0005-0000-0000-0000C0060000}"/>
    <cellStyle name="_Quota_Q206 DPFR Template_Malaysia_2006-02-23 (2)_12068_Input File - KR Q307 DPFR(update05-23-07)" xfId="1835" xr:uid="{00000000-0005-0000-0000-0000C1060000}"/>
    <cellStyle name="_Quota_Q206 DPFR Template_Malaysia_2006-02-23 (2)_12068_Input File - KR Q406 DPFR(AP)_0807" xfId="1836" xr:uid="{00000000-0005-0000-0000-0000C2060000}"/>
    <cellStyle name="_Quota_Q206 DPFR Template_Malaysia_2006-02-23 (2)_12068_Input File - SG Q107 DPFR" xfId="1837" xr:uid="{00000000-0005-0000-0000-0000C3060000}"/>
    <cellStyle name="_Quota_Q206 DPFR Template_Malaysia_2006-02-23 (2)_12068_KR Q108 inputfile_DPFR_071203" xfId="1838" xr:uid="{00000000-0005-0000-0000-0000C4060000}"/>
    <cellStyle name="_Quota_Q206 DPFR Template_Malaysia_2006-02-23 (2)_12068_KR Q306 DPFR (Aug24thLeeway)" xfId="1839" xr:uid="{00000000-0005-0000-0000-0000C5060000}"/>
    <cellStyle name="_Quota_Q206 DPFR Template_Malaysia_2006-02-23 (2)_12068_KR Q306 DPFR 001fina-leewayl (2)" xfId="1840" xr:uid="{00000000-0005-0000-0000-0000C6060000}"/>
    <cellStyle name="_Quota_Q206 DPFR Template_Malaysia_2006-02-23 (2)_12068_KR Q407 DPFR_final_071030" xfId="1841" xr:uid="{00000000-0005-0000-0000-0000C7060000}"/>
    <cellStyle name="_Quota_Q206 DPFR Template_Malaysia_2006-02-23 (2)_12068_KR Q407 DPFR_final_071106" xfId="1842" xr:uid="{00000000-0005-0000-0000-0000C8060000}"/>
    <cellStyle name="_Quota_Q206 DPFR Template_Malaysia_2006-02-23 (2)_12068_KR Q407 DPFR_template_070802(updated)" xfId="1843" xr:uid="{00000000-0005-0000-0000-0000C9060000}"/>
    <cellStyle name="_Quota_Q206 DPFR Template_Malaysia_2006-02-23 (2)_12068_Leeway-computation File - KR Q207 DPFR--(0523 update )" xfId="1844" xr:uid="{00000000-0005-0000-0000-0000CA060000}"/>
    <cellStyle name="_Quota_Q206 DPFR Template_Malaysia_2006-02-23 (2)_12068_NMFT HD계산 법" xfId="1845" xr:uid="{00000000-0005-0000-0000-0000CB060000}"/>
    <cellStyle name="_Quota_Q206 DPFR Template_Malaysia_2006-02-23 (2)_12068_nMFT 계산 (DPFR HD)_exclude RM (3)" xfId="1846" xr:uid="{00000000-0005-0000-0000-0000CC060000}"/>
    <cellStyle name="_Quota_Q206 DPFR Template_Malaysia_2006-02-23 (2)_12068_Q107 제외 7개사" xfId="1847" xr:uid="{00000000-0005-0000-0000-0000CD060000}"/>
    <cellStyle name="_Quota_Q206 DPFR Template_Malaysia_2006-02-23 (2)_12068_Q207 DPFR-021(Korea)" xfId="1848" xr:uid="{00000000-0005-0000-0000-0000CE060000}"/>
    <cellStyle name="_Quota_Q206 DPFR Template_Malaysia_2006-02-23 (2)_12068_Q407 plan detail for computation details" xfId="1849" xr:uid="{00000000-0005-0000-0000-0000CF060000}"/>
    <cellStyle name="_Quota_Q206 DPFR Template_Malaysia_2006-02-23 (2)_12068_SG Q206 DPFR Computation (24may06)" xfId="1850" xr:uid="{00000000-0005-0000-0000-0000D0060000}"/>
    <cellStyle name="_Quota_Q206 DPFR Template_Malaysia_2006-02-23 (2)_12068_SG Q306 DPFR Computation (08sept06)" xfId="1851" xr:uid="{00000000-0005-0000-0000-0000D1060000}"/>
    <cellStyle name="_Quota_Q206 DPFR Template_Malaysia_2006-02-23 (2)_12068_SG Q406 DPFR Computation (20nov06)" xfId="1852" xr:uid="{00000000-0005-0000-0000-0000D2060000}"/>
    <cellStyle name="_Quota_Q206 DPFR Template_Malaysia_2006-02-23 (2)_12068_TH Q107 DPFR Computation_template" xfId="1853" xr:uid="{00000000-0005-0000-0000-0000D3060000}"/>
    <cellStyle name="_Quota_Q206 DPFR Template_Malaysia_2006-02-23 (2)_12068_수정본 KR Q407 DPFR_draft v._071122( NMFT HD update)" xfId="1854" xr:uid="{00000000-0005-0000-0000-0000D4060000}"/>
    <cellStyle name="_Quota_Q206 DPFR Template_Singapore (8 Mar 06)" xfId="1855" xr:uid="{00000000-0005-0000-0000-0000D5060000}"/>
    <cellStyle name="_Quota_Q206 DPFR Template_Singapore (8 Mar 06)_computation  File - KR Q406 DPFR(24th Nov)" xfId="1856" xr:uid="{00000000-0005-0000-0000-0000D6060000}"/>
    <cellStyle name="_Quota_Q206 DPFR Template_Singapore (8 Mar 06)_computation File - KR Q207 DPFR--(1st version draft 0522 update )" xfId="1857" xr:uid="{00000000-0005-0000-0000-0000D7060000}"/>
    <cellStyle name="_Quota_Q206 DPFR Template_Singapore (8 Mar 06)_computation File - KR Q307 DPFR(final version)" xfId="1858" xr:uid="{00000000-0005-0000-0000-0000D8060000}"/>
    <cellStyle name="_Quota_Q206 DPFR Template_Singapore (8 Mar 06)_computation File - KR Q307 DPFR(Leeway 0828)" xfId="1859" xr:uid="{00000000-0005-0000-0000-0000D9060000}"/>
    <cellStyle name="_Quota_Q206 DPFR Template_Singapore (8 Mar 06)_computation File - KR Q307 DPFR(update07-18-07)" xfId="1860" xr:uid="{00000000-0005-0000-0000-0000DA060000}"/>
    <cellStyle name="_Quota_Q206 DPFR Template_Singapore (8 Mar 06)_computation File - KR Q307 DPFR(update07-23-07)" xfId="1861" xr:uid="{00000000-0005-0000-0000-0000DB060000}"/>
    <cellStyle name="_Quota_Q206 DPFR Template_Singapore (8 Mar 06)_computation Practice(10thMay) - KR Q207 DPFR-  " xfId="1862" xr:uid="{00000000-0005-0000-0000-0000DC060000}"/>
    <cellStyle name="_Quota_Q206 DPFR Template_Singapore (8 Mar 06)_computationFile - KR Q107 DPFR" xfId="1863" xr:uid="{00000000-0005-0000-0000-0000DD060000}"/>
    <cellStyle name="_Quota_Q206 DPFR Template_Singapore (8 Mar 06)_ID Q107 DPFR Computation (5Mar07)" xfId="1864" xr:uid="{00000000-0005-0000-0000-0000DE060000}"/>
    <cellStyle name="_Quota_Q206 DPFR Template_Singapore (8 Mar 06)_ID Q207 DPFR Computation_template" xfId="1865" xr:uid="{00000000-0005-0000-0000-0000DF060000}"/>
    <cellStyle name="_Quota_Q206 DPFR Template_Singapore (8 Mar 06)_IN Q207 DPFR Computation_template" xfId="1866" xr:uid="{00000000-0005-0000-0000-0000E0060000}"/>
    <cellStyle name="_Quota_Q206 DPFR Template_Singapore (8 Mar 06)_IN Q406 DPFR Computation (13nov06)" xfId="1867" xr:uid="{00000000-0005-0000-0000-0000E1060000}"/>
    <cellStyle name="_Quota_Q206 DPFR Template_Singapore (8 Mar 06)_IN Q406 DPFR Computation (24nov06)" xfId="1868" xr:uid="{00000000-0005-0000-0000-0000E2060000}"/>
    <cellStyle name="_Quota_Q206 DPFR Template_Singapore (8 Mar 06)_IN Q406 DPFR-R Computation (01dec06)" xfId="1869" xr:uid="{00000000-0005-0000-0000-0000E3060000}"/>
    <cellStyle name="_Quota_Q206 DPFR Template_Singapore (8 Mar 06)_Input File - AEC Q207 DPFR" xfId="1870" xr:uid="{00000000-0005-0000-0000-0000E4060000}"/>
    <cellStyle name="_Quota_Q206 DPFR Template_Singapore (8 Mar 06)_Input File - ID Q107 DPFR_Ver3" xfId="1871" xr:uid="{00000000-0005-0000-0000-0000E5060000}"/>
    <cellStyle name="_Quota_Q206 DPFR Template_Singapore (8 Mar 06)_Input File - ID Q207 DPFR_Final-5-3-2007" xfId="1872" xr:uid="{00000000-0005-0000-0000-0000E6060000}"/>
    <cellStyle name="_Quota_Q206 DPFR Template_Singapore (8 Mar 06)_Input File - IN Q107 DPFR" xfId="1873" xr:uid="{00000000-0005-0000-0000-0000E7060000}"/>
    <cellStyle name="_Quota_Q206 DPFR Template_Singapore (8 Mar 06)_Input File - KR Q107 DPFR" xfId="1874" xr:uid="{00000000-0005-0000-0000-0000E8060000}"/>
    <cellStyle name="_Quota_Q206 DPFR Template_Singapore (8 Mar 06)_Input File - KR Q107 DPFR(1128-PBM)" xfId="1875" xr:uid="{00000000-0005-0000-0000-0000E9060000}"/>
    <cellStyle name="_Quota_Q206 DPFR Template_Singapore (8 Mar 06)_Input File - KR Q107 DPFR(23th Nov) 001" xfId="1876" xr:uid="{00000000-0005-0000-0000-0000EA060000}"/>
    <cellStyle name="_Quota_Q206 DPFR Template_Singapore (8 Mar 06)_Input File - KR Q207 DPFR" xfId="1877" xr:uid="{00000000-0005-0000-0000-0000EB060000}"/>
    <cellStyle name="_Quota_Q206 DPFR Template_Singapore (8 Mar 06)_Input File - KR Q207 DPFR(0205-AP)" xfId="1878" xr:uid="{00000000-0005-0000-0000-0000EC060000}"/>
    <cellStyle name="_Quota_Q206 DPFR Template_Singapore (8 Mar 06)_Input File - KR Q307 DPFR(update05-23-07)" xfId="1879" xr:uid="{00000000-0005-0000-0000-0000ED060000}"/>
    <cellStyle name="_Quota_Q206 DPFR Template_Singapore (8 Mar 06)_Input File - KR Q406 DPFR(AP)_0807" xfId="1880" xr:uid="{00000000-0005-0000-0000-0000EE060000}"/>
    <cellStyle name="_Quota_Q206 DPFR Template_Singapore (8 Mar 06)_Input File - SG Q107 DPFR" xfId="1881" xr:uid="{00000000-0005-0000-0000-0000EF060000}"/>
    <cellStyle name="_Quota_Q206 DPFR Template_Singapore (8 Mar 06)_KR Q108 inputfile_DPFR_071203" xfId="1882" xr:uid="{00000000-0005-0000-0000-0000F0060000}"/>
    <cellStyle name="_Quota_Q206 DPFR Template_Singapore (8 Mar 06)_KR Q306 DPFR (Aug24thLeeway)" xfId="1883" xr:uid="{00000000-0005-0000-0000-0000F1060000}"/>
    <cellStyle name="_Quota_Q206 DPFR Template_Singapore (8 Mar 06)_KR Q306 DPFR 001fina-leewayl (2)" xfId="1884" xr:uid="{00000000-0005-0000-0000-0000F2060000}"/>
    <cellStyle name="_Quota_Q206 DPFR Template_Singapore (8 Mar 06)_KR Q407 DPFR_final_071030" xfId="1885" xr:uid="{00000000-0005-0000-0000-0000F3060000}"/>
    <cellStyle name="_Quota_Q206 DPFR Template_Singapore (8 Mar 06)_KR Q407 DPFR_final_071106" xfId="1886" xr:uid="{00000000-0005-0000-0000-0000F4060000}"/>
    <cellStyle name="_Quota_Q206 DPFR Template_Singapore (8 Mar 06)_KR Q407 DPFR_template_070802(updated)" xfId="1887" xr:uid="{00000000-0005-0000-0000-0000F5060000}"/>
    <cellStyle name="_Quota_Q206 DPFR Template_Singapore (8 Mar 06)_Leeway-computation File - KR Q207 DPFR--(0523 update )" xfId="1888" xr:uid="{00000000-0005-0000-0000-0000F6060000}"/>
    <cellStyle name="_Quota_Q206 DPFR Template_Singapore (8 Mar 06)_NMFT HD계산 법" xfId="1889" xr:uid="{00000000-0005-0000-0000-0000F7060000}"/>
    <cellStyle name="_Quota_Q206 DPFR Template_Singapore (8 Mar 06)_nMFT 계산 (DPFR HD)_exclude RM (3)" xfId="1890" xr:uid="{00000000-0005-0000-0000-0000F8060000}"/>
    <cellStyle name="_Quota_Q206 DPFR Template_Singapore (8 Mar 06)_Q107 제외 7개사" xfId="1891" xr:uid="{00000000-0005-0000-0000-0000F9060000}"/>
    <cellStyle name="_Quota_Q206 DPFR Template_Singapore (8 Mar 06)_Q207 DPFR-021(Korea)" xfId="1892" xr:uid="{00000000-0005-0000-0000-0000FA060000}"/>
    <cellStyle name="_Quota_Q206 DPFR Template_Singapore (8 Mar 06)_Q407 plan detail for computation details" xfId="1893" xr:uid="{00000000-0005-0000-0000-0000FB060000}"/>
    <cellStyle name="_Quota_Q206 DPFR Template_Singapore (8 Mar 06)_SG Q206 DPFR Computation (24may06)" xfId="1894" xr:uid="{00000000-0005-0000-0000-0000FC060000}"/>
    <cellStyle name="_Quota_Q206 DPFR Template_Singapore (8 Mar 06)_SG Q406 DPFR Computation (20nov06)" xfId="1895" xr:uid="{00000000-0005-0000-0000-0000FD060000}"/>
    <cellStyle name="_Quota_Q206 DPFR Template_Singapore (8 Mar 06)_TH Q107 DPFR Computation_template" xfId="1896" xr:uid="{00000000-0005-0000-0000-0000FE060000}"/>
    <cellStyle name="_Quota_Q206 DPFR Template_Singapore (8 Mar 06)_수정본 KR Q407 DPFR_draft v._071122( NMFT HD update)" xfId="1897" xr:uid="{00000000-0005-0000-0000-0000FF060000}"/>
    <cellStyle name="_Quota_SG Q106 DPFR Computation (13feb06)" xfId="1898" xr:uid="{00000000-0005-0000-0000-000000070000}"/>
    <cellStyle name="_Quota_SG Q106 DPFR Computation (13feb06)_SG Q206 DPFR Computation (24may06)" xfId="1899" xr:uid="{00000000-0005-0000-0000-000001070000}"/>
    <cellStyle name="_R8_CPQRC Storage 7-29-05" xfId="1900" xr:uid="{00000000-0005-0000-0000-000002070000}"/>
    <cellStyle name="_Random_Samsund Server 외_07.5.4" xfId="4062" xr:uid="{00000000-0005-0000-0000-000003070000}"/>
    <cellStyle name="_Raw" xfId="1901" xr:uid="{00000000-0005-0000-0000-000004070000}"/>
    <cellStyle name="_RAW Data" xfId="1902" xr:uid="{00000000-0005-0000-0000-000005070000}"/>
    <cellStyle name="_Revenue_goal" xfId="1903" xr:uid="{00000000-0005-0000-0000-000006070000}"/>
    <cellStyle name="_Revenue_goal_computation  File - KR Q406 DPFR(24th Nov)" xfId="1904" xr:uid="{00000000-0005-0000-0000-000007070000}"/>
    <cellStyle name="_Revenue_goal_computation File - KR Q207 DPFR--(1st version draft 0522 update )" xfId="1905" xr:uid="{00000000-0005-0000-0000-000008070000}"/>
    <cellStyle name="_Revenue_goal_computation File - KR Q307 DPFR(final version)" xfId="1906" xr:uid="{00000000-0005-0000-0000-000009070000}"/>
    <cellStyle name="_Revenue_goal_computation File - KR Q307 DPFR(Leeway 0828)" xfId="1907" xr:uid="{00000000-0005-0000-0000-00000A070000}"/>
    <cellStyle name="_Revenue_goal_computation File - KR Q307 DPFR(update07-18-07)" xfId="1908" xr:uid="{00000000-0005-0000-0000-00000B070000}"/>
    <cellStyle name="_Revenue_goal_computation File - KR Q307 DPFR(update07-23-07)" xfId="1909" xr:uid="{00000000-0005-0000-0000-00000C070000}"/>
    <cellStyle name="_Revenue_goal_computation Practice(10thMay) - KR Q207 DPFR-  " xfId="1910" xr:uid="{00000000-0005-0000-0000-00000D070000}"/>
    <cellStyle name="_Revenue_goal_computationFile - KR Q107 DPFR" xfId="1911" xr:uid="{00000000-0005-0000-0000-00000E070000}"/>
    <cellStyle name="_Revenue_goal_FY05 1H CS Quota Deployment Exercise" xfId="1912" xr:uid="{00000000-0005-0000-0000-00000F070000}"/>
    <cellStyle name="_Revenue_goal_ID Q107 DPFR Computation (5Mar07)" xfId="1913" xr:uid="{00000000-0005-0000-0000-000010070000}"/>
    <cellStyle name="_Revenue_goal_ID Q207 DPFR Computation_template" xfId="1914" xr:uid="{00000000-0005-0000-0000-000011070000}"/>
    <cellStyle name="_Revenue_goal_IN Q106 DPFR Computation (2mar06)" xfId="1915" xr:uid="{00000000-0005-0000-0000-000012070000}"/>
    <cellStyle name="_Revenue_goal_IN Q206 DPFR Computation (6jun06)" xfId="1916" xr:uid="{00000000-0005-0000-0000-000013070000}"/>
    <cellStyle name="_Revenue_goal_IN Q207 DPFR Computation_template" xfId="1917" xr:uid="{00000000-0005-0000-0000-000014070000}"/>
    <cellStyle name="_Revenue_goal_IN Q406 DPFR Computation (13nov06)" xfId="1918" xr:uid="{00000000-0005-0000-0000-000015070000}"/>
    <cellStyle name="_Revenue_goal_IN Q406 DPFR Computation (24nov06)" xfId="1919" xr:uid="{00000000-0005-0000-0000-000016070000}"/>
    <cellStyle name="_Revenue_goal_IN Q406 DPFR-R Computation (01dec06)" xfId="1920" xr:uid="{00000000-0005-0000-0000-000017070000}"/>
    <cellStyle name="_Revenue_goal_Input File - AEC Q207 DPFR" xfId="1921" xr:uid="{00000000-0005-0000-0000-000018070000}"/>
    <cellStyle name="_Revenue_goal_Input File - ID Q107 DPFR_Ver3" xfId="1922" xr:uid="{00000000-0005-0000-0000-000019070000}"/>
    <cellStyle name="_Revenue_goal_Input File - ID Q207 DPFR_Final-5-3-2007" xfId="1923" xr:uid="{00000000-0005-0000-0000-00001A070000}"/>
    <cellStyle name="_Revenue_goal_Input File - IN Q107 DPFR" xfId="1924" xr:uid="{00000000-0005-0000-0000-00001B070000}"/>
    <cellStyle name="_Revenue_goal_Input File - KR Q107 DPFR" xfId="1925" xr:uid="{00000000-0005-0000-0000-00001C070000}"/>
    <cellStyle name="_Revenue_goal_Input File - KR Q107 DPFR(1128-PBM)" xfId="1926" xr:uid="{00000000-0005-0000-0000-00001D070000}"/>
    <cellStyle name="_Revenue_goal_Input File - KR Q107 DPFR(23th Nov) 001" xfId="1927" xr:uid="{00000000-0005-0000-0000-00001E070000}"/>
    <cellStyle name="_Revenue_goal_Input File - KR Q207 DPFR" xfId="1928" xr:uid="{00000000-0005-0000-0000-00001F070000}"/>
    <cellStyle name="_Revenue_goal_Input File - KR Q207 DPFR(0205-AP)" xfId="1929" xr:uid="{00000000-0005-0000-0000-000020070000}"/>
    <cellStyle name="_Revenue_goal_Input File - KR Q307 DPFR(update05-23-07)" xfId="1930" xr:uid="{00000000-0005-0000-0000-000021070000}"/>
    <cellStyle name="_Revenue_goal_Input File - KR Q406 DPFR(AP)_0807" xfId="1931" xr:uid="{00000000-0005-0000-0000-000022070000}"/>
    <cellStyle name="_Revenue_goal_Input File - SG Q107 DPFR" xfId="1932" xr:uid="{00000000-0005-0000-0000-000023070000}"/>
    <cellStyle name="_Revenue_goal_KR Q108 inputfile_DPFR_071203" xfId="1933" xr:uid="{00000000-0005-0000-0000-000024070000}"/>
    <cellStyle name="_Revenue_goal_KR Q306 DPFR (Aug24thLeeway)" xfId="1934" xr:uid="{00000000-0005-0000-0000-000025070000}"/>
    <cellStyle name="_Revenue_goal_KR Q306 DPFR 001fina-leewayl (2)" xfId="1935" xr:uid="{00000000-0005-0000-0000-000026070000}"/>
    <cellStyle name="_Revenue_goal_KR Q407 DPFR_final_071030" xfId="1936" xr:uid="{00000000-0005-0000-0000-000027070000}"/>
    <cellStyle name="_Revenue_goal_KR Q407 DPFR_final_071106" xfId="1937" xr:uid="{00000000-0005-0000-0000-000028070000}"/>
    <cellStyle name="_Revenue_goal_KR Q407 DPFR_template_070802(updated)" xfId="1938" xr:uid="{00000000-0005-0000-0000-000029070000}"/>
    <cellStyle name="_Revenue_goal_Leeway-computation File - KR Q207 DPFR--(0523 update )" xfId="1939" xr:uid="{00000000-0005-0000-0000-00002A070000}"/>
    <cellStyle name="_Revenue_goal_NMFT HD계산 법" xfId="1940" xr:uid="{00000000-0005-0000-0000-00002B070000}"/>
    <cellStyle name="_Revenue_goal_nMFT 계산 (DPFR HD)_exclude RM (3)" xfId="1941" xr:uid="{00000000-0005-0000-0000-00002C070000}"/>
    <cellStyle name="_Revenue_goal_Q107 제외 7개사" xfId="1942" xr:uid="{00000000-0005-0000-0000-00002D070000}"/>
    <cellStyle name="_Revenue_goal_Q206 DPFR Template_India(plan details)" xfId="1943" xr:uid="{00000000-0005-0000-0000-00002E070000}"/>
    <cellStyle name="_Revenue_goal_Q206 DPFR Template_India(plan details)_computation  File - KR Q406 DPFR(24th Nov)" xfId="1944" xr:uid="{00000000-0005-0000-0000-00002F070000}"/>
    <cellStyle name="_Revenue_goal_Q206 DPFR Template_India(plan details)_computation File - KR Q207 DPFR--(1st version draft 0522 update )" xfId="1945" xr:uid="{00000000-0005-0000-0000-000030070000}"/>
    <cellStyle name="_Revenue_goal_Q206 DPFR Template_India(plan details)_computation File - KR Q307 DPFR(final version)" xfId="1946" xr:uid="{00000000-0005-0000-0000-000031070000}"/>
    <cellStyle name="_Revenue_goal_Q206 DPFR Template_India(plan details)_computation File - KR Q307 DPFR(Leeway 0828)" xfId="1947" xr:uid="{00000000-0005-0000-0000-000032070000}"/>
    <cellStyle name="_Revenue_goal_Q206 DPFR Template_India(plan details)_computation File - KR Q307 DPFR(update07-18-07)" xfId="1948" xr:uid="{00000000-0005-0000-0000-000033070000}"/>
    <cellStyle name="_Revenue_goal_Q206 DPFR Template_India(plan details)_computation File - KR Q307 DPFR(update07-23-07)" xfId="1949" xr:uid="{00000000-0005-0000-0000-000034070000}"/>
    <cellStyle name="_Revenue_goal_Q206 DPFR Template_India(plan details)_computation Practice(10thMay) - KR Q207 DPFR-  " xfId="1950" xr:uid="{00000000-0005-0000-0000-000035070000}"/>
    <cellStyle name="_Revenue_goal_Q206 DPFR Template_India(plan details)_computationFile - KR Q107 DPFR" xfId="1951" xr:uid="{00000000-0005-0000-0000-000036070000}"/>
    <cellStyle name="_Revenue_goal_Q206 DPFR Template_India(plan details)_ID Q107 DPFR Computation (5Mar07)" xfId="1952" xr:uid="{00000000-0005-0000-0000-000037070000}"/>
    <cellStyle name="_Revenue_goal_Q206 DPFR Template_India(plan details)_ID Q207 DPFR Computation_template" xfId="1953" xr:uid="{00000000-0005-0000-0000-000038070000}"/>
    <cellStyle name="_Revenue_goal_Q206 DPFR Template_India(plan details)_IN Q207 DPFR Computation_template" xfId="1954" xr:uid="{00000000-0005-0000-0000-000039070000}"/>
    <cellStyle name="_Revenue_goal_Q206 DPFR Template_India(plan details)_Input File - AEC Q207 DPFR" xfId="1955" xr:uid="{00000000-0005-0000-0000-00003A070000}"/>
    <cellStyle name="_Revenue_goal_Q206 DPFR Template_India(plan details)_Input File - ID Q107 DPFR_Ver3" xfId="1956" xr:uid="{00000000-0005-0000-0000-00003B070000}"/>
    <cellStyle name="_Revenue_goal_Q206 DPFR Template_India(plan details)_Input File - ID Q207 DPFR_Final-5-3-2007" xfId="1957" xr:uid="{00000000-0005-0000-0000-00003C070000}"/>
    <cellStyle name="_Revenue_goal_Q206 DPFR Template_India(plan details)_Input File - IN Q107 DPFR" xfId="1958" xr:uid="{00000000-0005-0000-0000-00003D070000}"/>
    <cellStyle name="_Revenue_goal_Q206 DPFR Template_India(plan details)_Input File - KR Q107 DPFR" xfId="1959" xr:uid="{00000000-0005-0000-0000-00003E070000}"/>
    <cellStyle name="_Revenue_goal_Q206 DPFR Template_India(plan details)_Input File - KR Q107 DPFR(1128-PBM)" xfId="1960" xr:uid="{00000000-0005-0000-0000-00003F070000}"/>
    <cellStyle name="_Revenue_goal_Q206 DPFR Template_India(plan details)_Input File - KR Q107 DPFR(23th Nov) 001" xfId="1961" xr:uid="{00000000-0005-0000-0000-000040070000}"/>
    <cellStyle name="_Revenue_goal_Q206 DPFR Template_India(plan details)_Input File - KR Q207 DPFR" xfId="1962" xr:uid="{00000000-0005-0000-0000-000041070000}"/>
    <cellStyle name="_Revenue_goal_Q206 DPFR Template_India(plan details)_Input File - KR Q207 DPFR(0205-AP)" xfId="1963" xr:uid="{00000000-0005-0000-0000-000042070000}"/>
    <cellStyle name="_Revenue_goal_Q206 DPFR Template_India(plan details)_Input File - KR Q307 DPFR(update05-23-07)" xfId="1964" xr:uid="{00000000-0005-0000-0000-000043070000}"/>
    <cellStyle name="_Revenue_goal_Q206 DPFR Template_India(plan details)_Input File - KR Q406 DPFR(AP)_0807" xfId="1965" xr:uid="{00000000-0005-0000-0000-000044070000}"/>
    <cellStyle name="_Revenue_goal_Q206 DPFR Template_India(plan details)_Input File - SG Q107 DPFR" xfId="1966" xr:uid="{00000000-0005-0000-0000-000045070000}"/>
    <cellStyle name="_Revenue_goal_Q206 DPFR Template_India(plan details)_KR Q108 inputfile_DPFR_071203" xfId="1967" xr:uid="{00000000-0005-0000-0000-000046070000}"/>
    <cellStyle name="_Revenue_goal_Q206 DPFR Template_India(plan details)_KR Q306 DPFR (Aug24thLeeway)" xfId="1968" xr:uid="{00000000-0005-0000-0000-000047070000}"/>
    <cellStyle name="_Revenue_goal_Q206 DPFR Template_India(plan details)_KR Q306 DPFR 001fina-leewayl (2)" xfId="1969" xr:uid="{00000000-0005-0000-0000-000048070000}"/>
    <cellStyle name="_Revenue_goal_Q206 DPFR Template_India(plan details)_KR Q407 DPFR_final_071030" xfId="1970" xr:uid="{00000000-0005-0000-0000-000049070000}"/>
    <cellStyle name="_Revenue_goal_Q206 DPFR Template_India(plan details)_KR Q407 DPFR_final_071106" xfId="1971" xr:uid="{00000000-0005-0000-0000-00004A070000}"/>
    <cellStyle name="_Revenue_goal_Q206 DPFR Template_India(plan details)_KR Q407 DPFR_template_070802(updated)" xfId="1972" xr:uid="{00000000-0005-0000-0000-00004B070000}"/>
    <cellStyle name="_Revenue_goal_Q206 DPFR Template_India(plan details)_Leeway-computation File - KR Q207 DPFR--(0523 update )" xfId="1973" xr:uid="{00000000-0005-0000-0000-00004C070000}"/>
    <cellStyle name="_Revenue_goal_Q206 DPFR Template_India(plan details)_NMFT HD계산 법" xfId="1974" xr:uid="{00000000-0005-0000-0000-00004D070000}"/>
    <cellStyle name="_Revenue_goal_Q206 DPFR Template_India(plan details)_nMFT 계산 (DPFR HD)_exclude RM (3)" xfId="1975" xr:uid="{00000000-0005-0000-0000-00004E070000}"/>
    <cellStyle name="_Revenue_goal_Q206 DPFR Template_India(plan details)_Q107 제외 7개사" xfId="1976" xr:uid="{00000000-0005-0000-0000-00004F070000}"/>
    <cellStyle name="_Revenue_goal_Q206 DPFR Template_India(plan details)_Q207 DPFR-021(Korea)" xfId="1977" xr:uid="{00000000-0005-0000-0000-000050070000}"/>
    <cellStyle name="_Revenue_goal_Q206 DPFR Template_India(plan details)_Q407 plan detail for computation details" xfId="1978" xr:uid="{00000000-0005-0000-0000-000051070000}"/>
    <cellStyle name="_Revenue_goal_Q206 DPFR Template_India(plan details)_TH Q107 DPFR Computation_template" xfId="1979" xr:uid="{00000000-0005-0000-0000-000052070000}"/>
    <cellStyle name="_Revenue_goal_Q206 DPFR Template_India(plan details)_수정본 KR Q407 DPFR_draft v._071122( NMFT HD update)" xfId="1980" xr:uid="{00000000-0005-0000-0000-000053070000}"/>
    <cellStyle name="_Revenue_goal_Q206 DPFR Template_Malaysia_2006-02-23 (2)_12068" xfId="1981" xr:uid="{00000000-0005-0000-0000-000054070000}"/>
    <cellStyle name="_Revenue_goal_Q206 DPFR Template_Malaysia_2006-02-23 (2)_12068_computation  File - KR Q406 DPFR(24th Nov)" xfId="1982" xr:uid="{00000000-0005-0000-0000-000055070000}"/>
    <cellStyle name="_Revenue_goal_Q206 DPFR Template_Malaysia_2006-02-23 (2)_12068_computation File - KR Q207 DPFR--(1st version draft 0522 update )" xfId="1983" xr:uid="{00000000-0005-0000-0000-000056070000}"/>
    <cellStyle name="_Revenue_goal_Q206 DPFR Template_Malaysia_2006-02-23 (2)_12068_computation File - KR Q307 DPFR(final version)" xfId="1984" xr:uid="{00000000-0005-0000-0000-000057070000}"/>
    <cellStyle name="_Revenue_goal_Q206 DPFR Template_Malaysia_2006-02-23 (2)_12068_computation File - KR Q307 DPFR(Leeway 0828)" xfId="1985" xr:uid="{00000000-0005-0000-0000-000058070000}"/>
    <cellStyle name="_Revenue_goal_Q206 DPFR Template_Malaysia_2006-02-23 (2)_12068_computation File - KR Q307 DPFR(update07-18-07)" xfId="1986" xr:uid="{00000000-0005-0000-0000-000059070000}"/>
    <cellStyle name="_Revenue_goal_Q206 DPFR Template_Malaysia_2006-02-23 (2)_12068_computation File - KR Q307 DPFR(update07-23-07)" xfId="1987" xr:uid="{00000000-0005-0000-0000-00005A070000}"/>
    <cellStyle name="_Revenue_goal_Q206 DPFR Template_Malaysia_2006-02-23 (2)_12068_computation Practice(10thMay) - KR Q207 DPFR-  " xfId="1988" xr:uid="{00000000-0005-0000-0000-00005B070000}"/>
    <cellStyle name="_Revenue_goal_Q206 DPFR Template_Malaysia_2006-02-23 (2)_12068_computationFile - KR Q107 DPFR" xfId="1989" xr:uid="{00000000-0005-0000-0000-00005C070000}"/>
    <cellStyle name="_Revenue_goal_Q206 DPFR Template_Malaysia_2006-02-23 (2)_12068_ID Q107 DPFR Computation (5Mar07)" xfId="1990" xr:uid="{00000000-0005-0000-0000-00005D070000}"/>
    <cellStyle name="_Revenue_goal_Q206 DPFR Template_Malaysia_2006-02-23 (2)_12068_ID Q207 DPFR Computation_template" xfId="1991" xr:uid="{00000000-0005-0000-0000-00005E070000}"/>
    <cellStyle name="_Revenue_goal_Q206 DPFR Template_Malaysia_2006-02-23 (2)_12068_IN Q207 DPFR Computation_template" xfId="1992" xr:uid="{00000000-0005-0000-0000-00005F070000}"/>
    <cellStyle name="_Revenue_goal_Q206 DPFR Template_Malaysia_2006-02-23 (2)_12068_IN Q406 DPFR Computation (13nov06)" xfId="1993" xr:uid="{00000000-0005-0000-0000-000060070000}"/>
    <cellStyle name="_Revenue_goal_Q206 DPFR Template_Malaysia_2006-02-23 (2)_12068_IN Q406 DPFR Computation (24nov06)" xfId="1994" xr:uid="{00000000-0005-0000-0000-000061070000}"/>
    <cellStyle name="_Revenue_goal_Q206 DPFR Template_Malaysia_2006-02-23 (2)_12068_IN Q406 DPFR-R Computation (01dec06)" xfId="1995" xr:uid="{00000000-0005-0000-0000-000062070000}"/>
    <cellStyle name="_Revenue_goal_Q206 DPFR Template_Malaysia_2006-02-23 (2)_12068_Input File - AEC Q207 DPFR" xfId="1996" xr:uid="{00000000-0005-0000-0000-000063070000}"/>
    <cellStyle name="_Revenue_goal_Q206 DPFR Template_Malaysia_2006-02-23 (2)_12068_Input File - ID Q107 DPFR_Ver3" xfId="1997" xr:uid="{00000000-0005-0000-0000-000064070000}"/>
    <cellStyle name="_Revenue_goal_Q206 DPFR Template_Malaysia_2006-02-23 (2)_12068_Input File - ID Q207 DPFR_Final-5-3-2007" xfId="1998" xr:uid="{00000000-0005-0000-0000-000065070000}"/>
    <cellStyle name="_Revenue_goal_Q206 DPFR Template_Malaysia_2006-02-23 (2)_12068_Input File - IN Q107 DPFR" xfId="1999" xr:uid="{00000000-0005-0000-0000-000066070000}"/>
    <cellStyle name="_Revenue_goal_Q206 DPFR Template_Malaysia_2006-02-23 (2)_12068_Input File - KR Q107 DPFR" xfId="2000" xr:uid="{00000000-0005-0000-0000-000067070000}"/>
    <cellStyle name="_Revenue_goal_Q206 DPFR Template_Malaysia_2006-02-23 (2)_12068_Input File - KR Q107 DPFR(1128-PBM)" xfId="2001" xr:uid="{00000000-0005-0000-0000-000068070000}"/>
    <cellStyle name="_Revenue_goal_Q206 DPFR Template_Malaysia_2006-02-23 (2)_12068_Input File - KR Q107 DPFR(23th Nov) 001" xfId="2002" xr:uid="{00000000-0005-0000-0000-000069070000}"/>
    <cellStyle name="_Revenue_goal_Q206 DPFR Template_Malaysia_2006-02-23 (2)_12068_Input File - KR Q207 DPFR" xfId="2003" xr:uid="{00000000-0005-0000-0000-00006A070000}"/>
    <cellStyle name="_Revenue_goal_Q206 DPFR Template_Malaysia_2006-02-23 (2)_12068_Input File - KR Q207 DPFR(0205-AP)" xfId="2004" xr:uid="{00000000-0005-0000-0000-00006B070000}"/>
    <cellStyle name="_Revenue_goal_Q206 DPFR Template_Malaysia_2006-02-23 (2)_12068_Input File - KR Q307 DPFR(update05-23-07)" xfId="2005" xr:uid="{00000000-0005-0000-0000-00006C070000}"/>
    <cellStyle name="_Revenue_goal_Q206 DPFR Template_Malaysia_2006-02-23 (2)_12068_Input File - KR Q406 DPFR(AP)_0807" xfId="2006" xr:uid="{00000000-0005-0000-0000-00006D070000}"/>
    <cellStyle name="_Revenue_goal_Q206 DPFR Template_Malaysia_2006-02-23 (2)_12068_Input File - SG Q107 DPFR" xfId="2007" xr:uid="{00000000-0005-0000-0000-00006E070000}"/>
    <cellStyle name="_Revenue_goal_Q206 DPFR Template_Malaysia_2006-02-23 (2)_12068_KR Q108 inputfile_DPFR_071203" xfId="2008" xr:uid="{00000000-0005-0000-0000-00006F070000}"/>
    <cellStyle name="_Revenue_goal_Q206 DPFR Template_Malaysia_2006-02-23 (2)_12068_KR Q306 DPFR (Aug24thLeeway)" xfId="2009" xr:uid="{00000000-0005-0000-0000-000070070000}"/>
    <cellStyle name="_Revenue_goal_Q206 DPFR Template_Malaysia_2006-02-23 (2)_12068_KR Q306 DPFR 001fina-leewayl (2)" xfId="2010" xr:uid="{00000000-0005-0000-0000-000071070000}"/>
    <cellStyle name="_Revenue_goal_Q206 DPFR Template_Malaysia_2006-02-23 (2)_12068_KR Q407 DPFR_final_071030" xfId="2011" xr:uid="{00000000-0005-0000-0000-000072070000}"/>
    <cellStyle name="_Revenue_goal_Q206 DPFR Template_Malaysia_2006-02-23 (2)_12068_KR Q407 DPFR_final_071106" xfId="2012" xr:uid="{00000000-0005-0000-0000-000073070000}"/>
    <cellStyle name="_Revenue_goal_Q206 DPFR Template_Malaysia_2006-02-23 (2)_12068_KR Q407 DPFR_template_070802(updated)" xfId="2013" xr:uid="{00000000-0005-0000-0000-000074070000}"/>
    <cellStyle name="_Revenue_goal_Q206 DPFR Template_Malaysia_2006-02-23 (2)_12068_Leeway-computation File - KR Q207 DPFR--(0523 update )" xfId="2014" xr:uid="{00000000-0005-0000-0000-000075070000}"/>
    <cellStyle name="_Revenue_goal_Q206 DPFR Template_Malaysia_2006-02-23 (2)_12068_NMFT HD계산 법" xfId="2015" xr:uid="{00000000-0005-0000-0000-000076070000}"/>
    <cellStyle name="_Revenue_goal_Q206 DPFR Template_Malaysia_2006-02-23 (2)_12068_nMFT 계산 (DPFR HD)_exclude RM (3)" xfId="2016" xr:uid="{00000000-0005-0000-0000-000077070000}"/>
    <cellStyle name="_Revenue_goal_Q206 DPFR Template_Malaysia_2006-02-23 (2)_12068_Q107 제외 7개사" xfId="2017" xr:uid="{00000000-0005-0000-0000-000078070000}"/>
    <cellStyle name="_Revenue_goal_Q206 DPFR Template_Malaysia_2006-02-23 (2)_12068_Q207 DPFR-021(Korea)" xfId="2018" xr:uid="{00000000-0005-0000-0000-000079070000}"/>
    <cellStyle name="_Revenue_goal_Q206 DPFR Template_Malaysia_2006-02-23 (2)_12068_Q407 plan detail for computation details" xfId="2019" xr:uid="{00000000-0005-0000-0000-00007A070000}"/>
    <cellStyle name="_Revenue_goal_Q206 DPFR Template_Malaysia_2006-02-23 (2)_12068_SG Q206 DPFR Computation (24may06)" xfId="2020" xr:uid="{00000000-0005-0000-0000-00007B070000}"/>
    <cellStyle name="_Revenue_goal_Q206 DPFR Template_Malaysia_2006-02-23 (2)_12068_SG Q306 DPFR Computation (08sept06)" xfId="2021" xr:uid="{00000000-0005-0000-0000-00007C070000}"/>
    <cellStyle name="_Revenue_goal_Q206 DPFR Template_Malaysia_2006-02-23 (2)_12068_SG Q406 DPFR Computation (20nov06)" xfId="2022" xr:uid="{00000000-0005-0000-0000-00007D070000}"/>
    <cellStyle name="_Revenue_goal_Q206 DPFR Template_Malaysia_2006-02-23 (2)_12068_TH Q107 DPFR Computation_template" xfId="2023" xr:uid="{00000000-0005-0000-0000-00007E070000}"/>
    <cellStyle name="_Revenue_goal_Q206 DPFR Template_Malaysia_2006-02-23 (2)_12068_수정본 KR Q407 DPFR_draft v._071122( NMFT HD update)" xfId="2024" xr:uid="{00000000-0005-0000-0000-00007F070000}"/>
    <cellStyle name="_Revenue_goal_Q206 DPFR Template_Singapore (8 Mar 06)" xfId="2025" xr:uid="{00000000-0005-0000-0000-000080070000}"/>
    <cellStyle name="_Revenue_goal_Q206 DPFR Template_Singapore (8 Mar 06)_computation  File - KR Q406 DPFR(24th Nov)" xfId="2026" xr:uid="{00000000-0005-0000-0000-000081070000}"/>
    <cellStyle name="_Revenue_goal_Q206 DPFR Template_Singapore (8 Mar 06)_computation File - KR Q207 DPFR--(1st version draft 0522 update )" xfId="2027" xr:uid="{00000000-0005-0000-0000-000082070000}"/>
    <cellStyle name="_Revenue_goal_Q206 DPFR Template_Singapore (8 Mar 06)_computation File - KR Q307 DPFR(final version)" xfId="2028" xr:uid="{00000000-0005-0000-0000-000083070000}"/>
    <cellStyle name="_Revenue_goal_Q206 DPFR Template_Singapore (8 Mar 06)_computation File - KR Q307 DPFR(Leeway 0828)" xfId="2029" xr:uid="{00000000-0005-0000-0000-000084070000}"/>
    <cellStyle name="_Revenue_goal_Q206 DPFR Template_Singapore (8 Mar 06)_computation File - KR Q307 DPFR(update07-18-07)" xfId="2030" xr:uid="{00000000-0005-0000-0000-000085070000}"/>
    <cellStyle name="_Revenue_goal_Q206 DPFR Template_Singapore (8 Mar 06)_computation File - KR Q307 DPFR(update07-23-07)" xfId="2031" xr:uid="{00000000-0005-0000-0000-000086070000}"/>
    <cellStyle name="_Revenue_goal_Q206 DPFR Template_Singapore (8 Mar 06)_computation Practice(10thMay) - KR Q207 DPFR-  " xfId="2032" xr:uid="{00000000-0005-0000-0000-000087070000}"/>
    <cellStyle name="_Revenue_goal_Q206 DPFR Template_Singapore (8 Mar 06)_computationFile - KR Q107 DPFR" xfId="2033" xr:uid="{00000000-0005-0000-0000-000088070000}"/>
    <cellStyle name="_Revenue_goal_Q206 DPFR Template_Singapore (8 Mar 06)_ID Q107 DPFR Computation (5Mar07)" xfId="2034" xr:uid="{00000000-0005-0000-0000-000089070000}"/>
    <cellStyle name="_Revenue_goal_Q206 DPFR Template_Singapore (8 Mar 06)_ID Q207 DPFR Computation_template" xfId="2035" xr:uid="{00000000-0005-0000-0000-00008A070000}"/>
    <cellStyle name="_Revenue_goal_Q206 DPFR Template_Singapore (8 Mar 06)_IN Q207 DPFR Computation_template" xfId="2036" xr:uid="{00000000-0005-0000-0000-00008B070000}"/>
    <cellStyle name="_Revenue_goal_Q206 DPFR Template_Singapore (8 Mar 06)_IN Q406 DPFR Computation (13nov06)" xfId="2037" xr:uid="{00000000-0005-0000-0000-00008C070000}"/>
    <cellStyle name="_Revenue_goal_Q206 DPFR Template_Singapore (8 Mar 06)_IN Q406 DPFR Computation (24nov06)" xfId="2038" xr:uid="{00000000-0005-0000-0000-00008D070000}"/>
    <cellStyle name="_Revenue_goal_Q206 DPFR Template_Singapore (8 Mar 06)_IN Q406 DPFR-R Computation (01dec06)" xfId="2039" xr:uid="{00000000-0005-0000-0000-00008E070000}"/>
    <cellStyle name="_Revenue_goal_Q206 DPFR Template_Singapore (8 Mar 06)_Input File - AEC Q207 DPFR" xfId="2040" xr:uid="{00000000-0005-0000-0000-00008F070000}"/>
    <cellStyle name="_Revenue_goal_Q206 DPFR Template_Singapore (8 Mar 06)_Input File - ID Q107 DPFR_Ver3" xfId="2041" xr:uid="{00000000-0005-0000-0000-000090070000}"/>
    <cellStyle name="_Revenue_goal_Q206 DPFR Template_Singapore (8 Mar 06)_Input File - ID Q207 DPFR_Final-5-3-2007" xfId="2042" xr:uid="{00000000-0005-0000-0000-000091070000}"/>
    <cellStyle name="_Revenue_goal_Q206 DPFR Template_Singapore (8 Mar 06)_Input File - IN Q107 DPFR" xfId="2043" xr:uid="{00000000-0005-0000-0000-000092070000}"/>
    <cellStyle name="_Revenue_goal_Q206 DPFR Template_Singapore (8 Mar 06)_Input File - KR Q107 DPFR" xfId="2044" xr:uid="{00000000-0005-0000-0000-000093070000}"/>
    <cellStyle name="_Revenue_goal_Q206 DPFR Template_Singapore (8 Mar 06)_Input File - KR Q107 DPFR(1128-PBM)" xfId="2045" xr:uid="{00000000-0005-0000-0000-000094070000}"/>
    <cellStyle name="_Revenue_goal_Q206 DPFR Template_Singapore (8 Mar 06)_Input File - KR Q107 DPFR(23th Nov) 001" xfId="2046" xr:uid="{00000000-0005-0000-0000-000095070000}"/>
    <cellStyle name="_Revenue_goal_Q206 DPFR Template_Singapore (8 Mar 06)_Input File - KR Q207 DPFR" xfId="2047" xr:uid="{00000000-0005-0000-0000-000096070000}"/>
    <cellStyle name="_Revenue_goal_Q206 DPFR Template_Singapore (8 Mar 06)_Input File - KR Q207 DPFR(0205-AP)" xfId="2048" xr:uid="{00000000-0005-0000-0000-000097070000}"/>
    <cellStyle name="_Revenue_goal_Q206 DPFR Template_Singapore (8 Mar 06)_Input File - KR Q307 DPFR(update05-23-07)" xfId="2049" xr:uid="{00000000-0005-0000-0000-000098070000}"/>
    <cellStyle name="_Revenue_goal_Q206 DPFR Template_Singapore (8 Mar 06)_Input File - KR Q406 DPFR(AP)_0807" xfId="2050" xr:uid="{00000000-0005-0000-0000-000099070000}"/>
    <cellStyle name="_Revenue_goal_Q206 DPFR Template_Singapore (8 Mar 06)_Input File - SG Q107 DPFR" xfId="2051" xr:uid="{00000000-0005-0000-0000-00009A070000}"/>
    <cellStyle name="_Revenue_goal_Q206 DPFR Template_Singapore (8 Mar 06)_KR Q108 inputfile_DPFR_071203" xfId="2052" xr:uid="{00000000-0005-0000-0000-00009B070000}"/>
    <cellStyle name="_Revenue_goal_Q206 DPFR Template_Singapore (8 Mar 06)_KR Q306 DPFR (Aug24thLeeway)" xfId="2053" xr:uid="{00000000-0005-0000-0000-00009C070000}"/>
    <cellStyle name="_Revenue_goal_Q206 DPFR Template_Singapore (8 Mar 06)_KR Q306 DPFR 001fina-leewayl (2)" xfId="2054" xr:uid="{00000000-0005-0000-0000-00009D070000}"/>
    <cellStyle name="_Revenue_goal_Q206 DPFR Template_Singapore (8 Mar 06)_KR Q407 DPFR_final_071030" xfId="2055" xr:uid="{00000000-0005-0000-0000-00009E070000}"/>
    <cellStyle name="_Revenue_goal_Q206 DPFR Template_Singapore (8 Mar 06)_KR Q407 DPFR_final_071106" xfId="2056" xr:uid="{00000000-0005-0000-0000-00009F070000}"/>
    <cellStyle name="_Revenue_goal_Q206 DPFR Template_Singapore (8 Mar 06)_KR Q407 DPFR_template_070802(updated)" xfId="2057" xr:uid="{00000000-0005-0000-0000-0000A0070000}"/>
    <cellStyle name="_Revenue_goal_Q206 DPFR Template_Singapore (8 Mar 06)_Leeway-computation File - KR Q207 DPFR--(0523 update )" xfId="2058" xr:uid="{00000000-0005-0000-0000-0000A1070000}"/>
    <cellStyle name="_Revenue_goal_Q206 DPFR Template_Singapore (8 Mar 06)_NMFT HD계산 법" xfId="2059" xr:uid="{00000000-0005-0000-0000-0000A2070000}"/>
    <cellStyle name="_Revenue_goal_Q206 DPFR Template_Singapore (8 Mar 06)_nMFT 계산 (DPFR HD)_exclude RM (3)" xfId="2060" xr:uid="{00000000-0005-0000-0000-0000A3070000}"/>
    <cellStyle name="_Revenue_goal_Q206 DPFR Template_Singapore (8 Mar 06)_Q107 제외 7개사" xfId="2061" xr:uid="{00000000-0005-0000-0000-0000A4070000}"/>
    <cellStyle name="_Revenue_goal_Q206 DPFR Template_Singapore (8 Mar 06)_Q207 DPFR-021(Korea)" xfId="2062" xr:uid="{00000000-0005-0000-0000-0000A5070000}"/>
    <cellStyle name="_Revenue_goal_Q206 DPFR Template_Singapore (8 Mar 06)_Q407 plan detail for computation details" xfId="2063" xr:uid="{00000000-0005-0000-0000-0000A6070000}"/>
    <cellStyle name="_Revenue_goal_Q206 DPFR Template_Singapore (8 Mar 06)_SG Q206 DPFR Computation (24may06)" xfId="2064" xr:uid="{00000000-0005-0000-0000-0000A7070000}"/>
    <cellStyle name="_Revenue_goal_Q206 DPFR Template_Singapore (8 Mar 06)_SG Q406 DPFR Computation (20nov06)" xfId="2065" xr:uid="{00000000-0005-0000-0000-0000A8070000}"/>
    <cellStyle name="_Revenue_goal_Q206 DPFR Template_Singapore (8 Mar 06)_TH Q107 DPFR Computation_template" xfId="2066" xr:uid="{00000000-0005-0000-0000-0000A9070000}"/>
    <cellStyle name="_Revenue_goal_Q206 DPFR Template_Singapore (8 Mar 06)_수정본 KR Q407 DPFR_draft v._071122( NMFT HD update)" xfId="2067" xr:uid="{00000000-0005-0000-0000-0000AA070000}"/>
    <cellStyle name="_Revenue_goal_Q207 DPFR-021(Korea)" xfId="2068" xr:uid="{00000000-0005-0000-0000-0000AB070000}"/>
    <cellStyle name="_Revenue_goal_Q407 plan detail for computation details" xfId="2069" xr:uid="{00000000-0005-0000-0000-0000AC070000}"/>
    <cellStyle name="_Revenue_goal_SG Q106 DPFR Computation (13feb06)" xfId="2070" xr:uid="{00000000-0005-0000-0000-0000AD070000}"/>
    <cellStyle name="_Revenue_goal_SG Q106 DPFR Computation (13feb06)_SG Q206 DPFR Computation (24may06)" xfId="2071" xr:uid="{00000000-0005-0000-0000-0000AE070000}"/>
    <cellStyle name="_Revenue_goal_SG Q206 DPFR Computation" xfId="2072" xr:uid="{00000000-0005-0000-0000-0000AF070000}"/>
    <cellStyle name="_Revenue_goal_SG Q206 DPFR Computation (24may06)" xfId="2073" xr:uid="{00000000-0005-0000-0000-0000B0070000}"/>
    <cellStyle name="_Revenue_goal_SG Q306 DPFR Computation (08sept06)" xfId="2074" xr:uid="{00000000-0005-0000-0000-0000B1070000}"/>
    <cellStyle name="_Revenue_goal_SG Q406 DPFR Computation (20nov06)" xfId="2075" xr:uid="{00000000-0005-0000-0000-0000B2070000}"/>
    <cellStyle name="_Revenue_goal_Taiwan1" xfId="2076" xr:uid="{00000000-0005-0000-0000-0000B3070000}"/>
    <cellStyle name="_Revenue_goal_TH Q107 DPFR Computation_template" xfId="2077" xr:uid="{00000000-0005-0000-0000-0000B4070000}"/>
    <cellStyle name="_Revenue_goal_수정본 KR Q407 DPFR_draft v._071122( NMFT HD update)" xfId="2078" xr:uid="{00000000-0005-0000-0000-0000B5070000}"/>
    <cellStyle name="_RPFR_Q4_FY05(Reseller)" xfId="2079" xr:uid="{00000000-0005-0000-0000-0000B6070000}"/>
    <cellStyle name="_Server" xfId="2080" xr:uid="{00000000-0005-0000-0000-0000B7070000}"/>
    <cellStyle name="_SGBU Partners List - OSRM" xfId="2081" xr:uid="{00000000-0005-0000-0000-0000B8070000}"/>
    <cellStyle name="_SHC IT Spending" xfId="2082" xr:uid="{00000000-0005-0000-0000-0000B9070000}"/>
    <cellStyle name="_Sheet1" xfId="2083" xr:uid="{00000000-0005-0000-0000-0000BA070000}"/>
    <cellStyle name="_SI7팀_주간보고(060205)" xfId="2084" xr:uid="{00000000-0005-0000-0000-0000BB070000}"/>
    <cellStyle name="_SI7팀_주간보고(060706)" xfId="2085" xr:uid="{00000000-0005-0000-0000-0000BC070000}"/>
    <cellStyle name="_SK-RP-050321" xfId="2086" xr:uid="{00000000-0005-0000-0000-0000BD070000}"/>
    <cellStyle name="_SmartServer12월 가격표" xfId="4063" xr:uid="{00000000-0005-0000-0000-0000BE070000}"/>
    <cellStyle name="_SPG deal KCC(11302005)" xfId="138" xr:uid="{00000000-0005-0000-0000-0000BF070000}"/>
    <cellStyle name="_SPO 30Oct (2)" xfId="2087" xr:uid="{00000000-0005-0000-0000-0000C0070000}"/>
    <cellStyle name="_SPO Q4" xfId="2088" xr:uid="{00000000-0005-0000-0000-0000C1070000}"/>
    <cellStyle name="_SPO Q4_computation  File - KR Q406 DPFR(24th Nov)" xfId="2089" xr:uid="{00000000-0005-0000-0000-0000C2070000}"/>
    <cellStyle name="_SPO Q4_computation File - KR Q207 DPFR--(1st version draft 0522 update )" xfId="2090" xr:uid="{00000000-0005-0000-0000-0000C3070000}"/>
    <cellStyle name="_SPO Q4_computation File - KR Q307 DPFR(final version)" xfId="2091" xr:uid="{00000000-0005-0000-0000-0000C4070000}"/>
    <cellStyle name="_SPO Q4_computation File - KR Q307 DPFR(Leeway 0828)" xfId="2092" xr:uid="{00000000-0005-0000-0000-0000C5070000}"/>
    <cellStyle name="_SPO Q4_computation File - KR Q307 DPFR(update07-18-07)" xfId="2093" xr:uid="{00000000-0005-0000-0000-0000C6070000}"/>
    <cellStyle name="_SPO Q4_computation File - KR Q307 DPFR(update07-23-07)" xfId="2094" xr:uid="{00000000-0005-0000-0000-0000C7070000}"/>
    <cellStyle name="_SPO Q4_computation Practice(10thMay) - KR Q207 DPFR-  " xfId="2095" xr:uid="{00000000-0005-0000-0000-0000C8070000}"/>
    <cellStyle name="_SPO Q4_computationFile - KR Q107 DPFR" xfId="2096" xr:uid="{00000000-0005-0000-0000-0000C9070000}"/>
    <cellStyle name="_SPO Q4_ID Q107 DPFR Computation (5Mar07)" xfId="2097" xr:uid="{00000000-0005-0000-0000-0000CA070000}"/>
    <cellStyle name="_SPO Q4_ID Q207 DPFR Computation_template" xfId="2098" xr:uid="{00000000-0005-0000-0000-0000CB070000}"/>
    <cellStyle name="_SPO Q4_IN Q106 DPFR Computation (2mar06)" xfId="2099" xr:uid="{00000000-0005-0000-0000-0000CC070000}"/>
    <cellStyle name="_SPO Q4_IN Q206 DPFR Computation (6jun06)" xfId="2100" xr:uid="{00000000-0005-0000-0000-0000CD070000}"/>
    <cellStyle name="_SPO Q4_IN Q207 DPFR Computation_template" xfId="2101" xr:uid="{00000000-0005-0000-0000-0000CE070000}"/>
    <cellStyle name="_SPO Q4_IN Q406 DPFR Computation (13nov06)" xfId="2102" xr:uid="{00000000-0005-0000-0000-0000CF070000}"/>
    <cellStyle name="_SPO Q4_IN Q406 DPFR Computation (24nov06)" xfId="2103" xr:uid="{00000000-0005-0000-0000-0000D0070000}"/>
    <cellStyle name="_SPO Q4_IN Q406 DPFR-R Computation (01dec06)" xfId="2104" xr:uid="{00000000-0005-0000-0000-0000D1070000}"/>
    <cellStyle name="_SPO Q4_Input File - AEC Q207 DPFR" xfId="2105" xr:uid="{00000000-0005-0000-0000-0000D2070000}"/>
    <cellStyle name="_SPO Q4_Input File - ID Q107 DPFR_Ver3" xfId="2106" xr:uid="{00000000-0005-0000-0000-0000D3070000}"/>
    <cellStyle name="_SPO Q4_Input File - ID Q207 DPFR_Final-5-3-2007" xfId="2107" xr:uid="{00000000-0005-0000-0000-0000D4070000}"/>
    <cellStyle name="_SPO Q4_Input File - IN Q107 DPFR" xfId="2108" xr:uid="{00000000-0005-0000-0000-0000D5070000}"/>
    <cellStyle name="_SPO Q4_Input File - KR Q107 DPFR" xfId="2109" xr:uid="{00000000-0005-0000-0000-0000D6070000}"/>
    <cellStyle name="_SPO Q4_Input File - KR Q107 DPFR(1128-PBM)" xfId="2110" xr:uid="{00000000-0005-0000-0000-0000D7070000}"/>
    <cellStyle name="_SPO Q4_Input File - KR Q107 DPFR(23th Nov) 001" xfId="2111" xr:uid="{00000000-0005-0000-0000-0000D8070000}"/>
    <cellStyle name="_SPO Q4_Input File - KR Q207 DPFR" xfId="2112" xr:uid="{00000000-0005-0000-0000-0000D9070000}"/>
    <cellStyle name="_SPO Q4_Input File - KR Q207 DPFR(0205-AP)" xfId="2113" xr:uid="{00000000-0005-0000-0000-0000DA070000}"/>
    <cellStyle name="_SPO Q4_Input File - KR Q307 DPFR(update05-23-07)" xfId="2114" xr:uid="{00000000-0005-0000-0000-0000DB070000}"/>
    <cellStyle name="_SPO Q4_Input File - KR Q406 DPFR(AP)_0807" xfId="2115" xr:uid="{00000000-0005-0000-0000-0000DC070000}"/>
    <cellStyle name="_SPO Q4_Input File - SG Q107 DPFR" xfId="2116" xr:uid="{00000000-0005-0000-0000-0000DD070000}"/>
    <cellStyle name="_SPO Q4_KR Q108 inputfile_DPFR_071203" xfId="2117" xr:uid="{00000000-0005-0000-0000-0000DE070000}"/>
    <cellStyle name="_SPO Q4_KR Q306 DPFR (Aug24thLeeway)" xfId="2118" xr:uid="{00000000-0005-0000-0000-0000DF070000}"/>
    <cellStyle name="_SPO Q4_KR Q306 DPFR 001fina-leewayl (2)" xfId="2119" xr:uid="{00000000-0005-0000-0000-0000E0070000}"/>
    <cellStyle name="_SPO Q4_KR Q407 DPFR_final_071030" xfId="2120" xr:uid="{00000000-0005-0000-0000-0000E1070000}"/>
    <cellStyle name="_SPO Q4_KR Q407 DPFR_final_071106" xfId="2121" xr:uid="{00000000-0005-0000-0000-0000E2070000}"/>
    <cellStyle name="_SPO Q4_KR Q407 DPFR_template_070802(updated)" xfId="2122" xr:uid="{00000000-0005-0000-0000-0000E3070000}"/>
    <cellStyle name="_SPO Q4_Leeway-computation File - KR Q207 DPFR--(0523 update )" xfId="2123" xr:uid="{00000000-0005-0000-0000-0000E4070000}"/>
    <cellStyle name="_SPO Q4_NMFT HD계산 법" xfId="2124" xr:uid="{00000000-0005-0000-0000-0000E5070000}"/>
    <cellStyle name="_SPO Q4_nMFT 계산 (DPFR HD)_exclude RM (3)" xfId="2125" xr:uid="{00000000-0005-0000-0000-0000E6070000}"/>
    <cellStyle name="_SPO Q4_Q107 제외 7개사" xfId="2126" xr:uid="{00000000-0005-0000-0000-0000E7070000}"/>
    <cellStyle name="_SPO Q4_Q206 DPFR Template_India(plan details)" xfId="2127" xr:uid="{00000000-0005-0000-0000-0000E8070000}"/>
    <cellStyle name="_SPO Q4_Q206 DPFR Template_Malaysia_2006-02-23 (2)_12068" xfId="2128" xr:uid="{00000000-0005-0000-0000-0000E9070000}"/>
    <cellStyle name="_SPO Q4_Q206 DPFR Template_Singapore (8 Mar 06)" xfId="2129" xr:uid="{00000000-0005-0000-0000-0000EA070000}"/>
    <cellStyle name="_SPO Q4_Q207 DPFR-021(Korea)" xfId="2130" xr:uid="{00000000-0005-0000-0000-0000EB070000}"/>
    <cellStyle name="_SPO Q4_Q407 plan detail for computation details" xfId="2131" xr:uid="{00000000-0005-0000-0000-0000EC070000}"/>
    <cellStyle name="_SPO Q4_SG Q106 DPFR Computation (13feb06)" xfId="2132" xr:uid="{00000000-0005-0000-0000-0000ED070000}"/>
    <cellStyle name="_SPO Q4_SG Q206 DPFR Computation" xfId="2133" xr:uid="{00000000-0005-0000-0000-0000EE070000}"/>
    <cellStyle name="_SPO Q4_SG Q206 DPFR Computation (24may06)" xfId="2134" xr:uid="{00000000-0005-0000-0000-0000EF070000}"/>
    <cellStyle name="_SPO Q4_SG Q306 DPFR Computation (08sept06)" xfId="2135" xr:uid="{00000000-0005-0000-0000-0000F0070000}"/>
    <cellStyle name="_SPO Q4_SG Q406 DPFR Computation (20nov06)" xfId="2136" xr:uid="{00000000-0005-0000-0000-0000F1070000}"/>
    <cellStyle name="_SPO Q4_TH Q107 DPFR Computation_template" xfId="2137" xr:uid="{00000000-0005-0000-0000-0000F2070000}"/>
    <cellStyle name="_SPO Q4_수정본 KR Q407 DPFR_draft v._071122( NMFT HD update)" xfId="2138" xr:uid="{00000000-0005-0000-0000-0000F3070000}"/>
    <cellStyle name="_SPO REPORTING FORMAT 2H05 (2)" xfId="2139" xr:uid="{00000000-0005-0000-0000-0000F4070000}"/>
    <cellStyle name="_SPO review FY05-1H-1220 (3)" xfId="2140" xr:uid="{00000000-0005-0000-0000-0000F5070000}"/>
    <cellStyle name="_spo_total_daily20050713 2" xfId="2141" xr:uid="{00000000-0005-0000-0000-0000F6070000}"/>
    <cellStyle name="_spo_total_daily20050713 2_Q206 DPFR Template_India(plan details)" xfId="2142" xr:uid="{00000000-0005-0000-0000-0000F7070000}"/>
    <cellStyle name="_spo_total_daily20050713 2_Q206 DPFR Template_India(plan details)_computation  File - KR Q406 DPFR(24th Nov)" xfId="2143" xr:uid="{00000000-0005-0000-0000-0000F8070000}"/>
    <cellStyle name="_spo_total_daily20050713 2_Q206 DPFR Template_India(plan details)_computation File - KR Q207 DPFR--(1st version draft 0522 update )" xfId="2144" xr:uid="{00000000-0005-0000-0000-0000F9070000}"/>
    <cellStyle name="_spo_total_daily20050713 2_Q206 DPFR Template_India(plan details)_computation File - KR Q307 DPFR(final version)" xfId="2145" xr:uid="{00000000-0005-0000-0000-0000FA070000}"/>
    <cellStyle name="_spo_total_daily20050713 2_Q206 DPFR Template_India(plan details)_computation File - KR Q307 DPFR(Leeway 0828)" xfId="2146" xr:uid="{00000000-0005-0000-0000-0000FB070000}"/>
    <cellStyle name="_spo_total_daily20050713 2_Q206 DPFR Template_India(plan details)_computation File - KR Q307 DPFR(update07-18-07)" xfId="2147" xr:uid="{00000000-0005-0000-0000-0000FC070000}"/>
    <cellStyle name="_spo_total_daily20050713 2_Q206 DPFR Template_India(plan details)_computation File - KR Q307 DPFR(update07-23-07)" xfId="2148" xr:uid="{00000000-0005-0000-0000-0000FD070000}"/>
    <cellStyle name="_spo_total_daily20050713 2_Q206 DPFR Template_India(plan details)_computation Practice(10thMay) - KR Q207 DPFR-  " xfId="2149" xr:uid="{00000000-0005-0000-0000-0000FE070000}"/>
    <cellStyle name="_spo_total_daily20050713 2_Q206 DPFR Template_India(plan details)_computationFile - KR Q107 DPFR" xfId="2150" xr:uid="{00000000-0005-0000-0000-0000FF070000}"/>
    <cellStyle name="_spo_total_daily20050713 2_Q206 DPFR Template_India(plan details)_ID Q107 DPFR Computation (5Mar07)" xfId="2151" xr:uid="{00000000-0005-0000-0000-000000080000}"/>
    <cellStyle name="_spo_total_daily20050713 2_Q206 DPFR Template_India(plan details)_ID Q207 DPFR Computation_template" xfId="2152" xr:uid="{00000000-0005-0000-0000-000001080000}"/>
    <cellStyle name="_spo_total_daily20050713 2_Q206 DPFR Template_India(plan details)_IN Q207 DPFR Computation_template" xfId="2153" xr:uid="{00000000-0005-0000-0000-000002080000}"/>
    <cellStyle name="_spo_total_daily20050713 2_Q206 DPFR Template_India(plan details)_Input File - AEC Q207 DPFR" xfId="2154" xr:uid="{00000000-0005-0000-0000-000003080000}"/>
    <cellStyle name="_spo_total_daily20050713 2_Q206 DPFR Template_India(plan details)_Input File - ID Q107 DPFR_Ver3" xfId="2155" xr:uid="{00000000-0005-0000-0000-000004080000}"/>
    <cellStyle name="_spo_total_daily20050713 2_Q206 DPFR Template_India(plan details)_Input File - ID Q207 DPFR_Final-5-3-2007" xfId="2156" xr:uid="{00000000-0005-0000-0000-000005080000}"/>
    <cellStyle name="_spo_total_daily20050713 2_Q206 DPFR Template_India(plan details)_Input File - IN Q107 DPFR" xfId="2157" xr:uid="{00000000-0005-0000-0000-000006080000}"/>
    <cellStyle name="_spo_total_daily20050713 2_Q206 DPFR Template_India(plan details)_Input File - KR Q107 DPFR" xfId="2158" xr:uid="{00000000-0005-0000-0000-000007080000}"/>
    <cellStyle name="_spo_total_daily20050713 2_Q206 DPFR Template_India(plan details)_Input File - KR Q107 DPFR(1128-PBM)" xfId="2159" xr:uid="{00000000-0005-0000-0000-000008080000}"/>
    <cellStyle name="_spo_total_daily20050713 2_Q206 DPFR Template_India(plan details)_Input File - KR Q107 DPFR(23th Nov) 001" xfId="2160" xr:uid="{00000000-0005-0000-0000-000009080000}"/>
    <cellStyle name="_spo_total_daily20050713 2_Q206 DPFR Template_India(plan details)_Input File - KR Q207 DPFR" xfId="2161" xr:uid="{00000000-0005-0000-0000-00000A080000}"/>
    <cellStyle name="_spo_total_daily20050713 2_Q206 DPFR Template_India(plan details)_Input File - KR Q207 DPFR(0205-AP)" xfId="2162" xr:uid="{00000000-0005-0000-0000-00000B080000}"/>
    <cellStyle name="_spo_total_daily20050713 2_Q206 DPFR Template_India(plan details)_Input File - KR Q307 DPFR(update05-23-07)" xfId="2163" xr:uid="{00000000-0005-0000-0000-00000C080000}"/>
    <cellStyle name="_spo_total_daily20050713 2_Q206 DPFR Template_India(plan details)_Input File - KR Q406 DPFR(AP)_0807" xfId="2164" xr:uid="{00000000-0005-0000-0000-00000D080000}"/>
    <cellStyle name="_spo_total_daily20050713 2_Q206 DPFR Template_India(plan details)_Input File - SG Q107 DPFR" xfId="2165" xr:uid="{00000000-0005-0000-0000-00000E080000}"/>
    <cellStyle name="_spo_total_daily20050713 2_Q206 DPFR Template_India(plan details)_KR Q108 inputfile_DPFR_071203" xfId="2166" xr:uid="{00000000-0005-0000-0000-00000F080000}"/>
    <cellStyle name="_spo_total_daily20050713 2_Q206 DPFR Template_India(plan details)_KR Q306 DPFR (Aug24thLeeway)" xfId="2167" xr:uid="{00000000-0005-0000-0000-000010080000}"/>
    <cellStyle name="_spo_total_daily20050713 2_Q206 DPFR Template_India(plan details)_KR Q306 DPFR 001fina-leewayl (2)" xfId="2168" xr:uid="{00000000-0005-0000-0000-000011080000}"/>
    <cellStyle name="_spo_total_daily20050713 2_Q206 DPFR Template_India(plan details)_KR Q407 DPFR_final_071030" xfId="2169" xr:uid="{00000000-0005-0000-0000-000012080000}"/>
    <cellStyle name="_spo_total_daily20050713 2_Q206 DPFR Template_India(plan details)_KR Q407 DPFR_final_071106" xfId="2170" xr:uid="{00000000-0005-0000-0000-000013080000}"/>
    <cellStyle name="_spo_total_daily20050713 2_Q206 DPFR Template_India(plan details)_KR Q407 DPFR_template_070802(updated)" xfId="2171" xr:uid="{00000000-0005-0000-0000-000014080000}"/>
    <cellStyle name="_spo_total_daily20050713 2_Q206 DPFR Template_India(plan details)_Leeway-computation File - KR Q207 DPFR--(0523 update )" xfId="2172" xr:uid="{00000000-0005-0000-0000-000015080000}"/>
    <cellStyle name="_spo_total_daily20050713 2_Q206 DPFR Template_India(plan details)_NMFT HD계산 법" xfId="2173" xr:uid="{00000000-0005-0000-0000-000016080000}"/>
    <cellStyle name="_spo_total_daily20050713 2_Q206 DPFR Template_India(plan details)_nMFT 계산 (DPFR HD)_exclude RM (3)" xfId="2174" xr:uid="{00000000-0005-0000-0000-000017080000}"/>
    <cellStyle name="_spo_total_daily20050713 2_Q206 DPFR Template_India(plan details)_Q107 제외 7개사" xfId="2175" xr:uid="{00000000-0005-0000-0000-000018080000}"/>
    <cellStyle name="_spo_total_daily20050713 2_Q206 DPFR Template_India(plan details)_Q207 DPFR-021(Korea)" xfId="2176" xr:uid="{00000000-0005-0000-0000-000019080000}"/>
    <cellStyle name="_spo_total_daily20050713 2_Q206 DPFR Template_India(plan details)_Q407 plan detail for computation details" xfId="2177" xr:uid="{00000000-0005-0000-0000-00001A080000}"/>
    <cellStyle name="_spo_total_daily20050713 2_Q206 DPFR Template_India(plan details)_TH Q107 DPFR Computation_template" xfId="2178" xr:uid="{00000000-0005-0000-0000-00001B080000}"/>
    <cellStyle name="_spo_total_daily20050713 2_Q206 DPFR Template_India(plan details)_수정본 KR Q407 DPFR_draft v._071122( NMFT HD update)" xfId="2179" xr:uid="{00000000-0005-0000-0000-00001C080000}"/>
    <cellStyle name="_spo_total_daily20050713 2_Q206 DPFR Template_Malaysia_2006-02-23 (2)_12068" xfId="2180" xr:uid="{00000000-0005-0000-0000-00001D080000}"/>
    <cellStyle name="_spo_total_daily20050713 2_Q206 DPFR Template_Malaysia_2006-02-23 (2)_12068_computation  File - KR Q406 DPFR(24th Nov)" xfId="2181" xr:uid="{00000000-0005-0000-0000-00001E080000}"/>
    <cellStyle name="_spo_total_daily20050713 2_Q206 DPFR Template_Malaysia_2006-02-23 (2)_12068_computation File - KR Q207 DPFR--(1st version draft 0522 update )" xfId="2182" xr:uid="{00000000-0005-0000-0000-00001F080000}"/>
    <cellStyle name="_spo_total_daily20050713 2_Q206 DPFR Template_Malaysia_2006-02-23 (2)_12068_computation File - KR Q307 DPFR(final version)" xfId="2183" xr:uid="{00000000-0005-0000-0000-000020080000}"/>
    <cellStyle name="_spo_total_daily20050713 2_Q206 DPFR Template_Malaysia_2006-02-23 (2)_12068_computation File - KR Q307 DPFR(Leeway 0828)" xfId="2184" xr:uid="{00000000-0005-0000-0000-000021080000}"/>
    <cellStyle name="_spo_total_daily20050713 2_Q206 DPFR Template_Malaysia_2006-02-23 (2)_12068_computation File - KR Q307 DPFR(update07-18-07)" xfId="2185" xr:uid="{00000000-0005-0000-0000-000022080000}"/>
    <cellStyle name="_spo_total_daily20050713 2_Q206 DPFR Template_Malaysia_2006-02-23 (2)_12068_computation File - KR Q307 DPFR(update07-23-07)" xfId="2186" xr:uid="{00000000-0005-0000-0000-000023080000}"/>
    <cellStyle name="_spo_total_daily20050713 2_Q206 DPFR Template_Malaysia_2006-02-23 (2)_12068_computation Practice(10thMay) - KR Q207 DPFR-  " xfId="2187" xr:uid="{00000000-0005-0000-0000-000024080000}"/>
    <cellStyle name="_spo_total_daily20050713 2_Q206 DPFR Template_Malaysia_2006-02-23 (2)_12068_computationFile - KR Q107 DPFR" xfId="2188" xr:uid="{00000000-0005-0000-0000-000025080000}"/>
    <cellStyle name="_spo_total_daily20050713 2_Q206 DPFR Template_Malaysia_2006-02-23 (2)_12068_ID Q107 DPFR Computation (5Mar07)" xfId="2189" xr:uid="{00000000-0005-0000-0000-000026080000}"/>
    <cellStyle name="_spo_total_daily20050713 2_Q206 DPFR Template_Malaysia_2006-02-23 (2)_12068_ID Q207 DPFR Computation_template" xfId="2190" xr:uid="{00000000-0005-0000-0000-000027080000}"/>
    <cellStyle name="_spo_total_daily20050713 2_Q206 DPFR Template_Malaysia_2006-02-23 (2)_12068_IN Q207 DPFR Computation_template" xfId="2191" xr:uid="{00000000-0005-0000-0000-000028080000}"/>
    <cellStyle name="_spo_total_daily20050713 2_Q206 DPFR Template_Malaysia_2006-02-23 (2)_12068_IN Q406 DPFR Computation (13nov06)" xfId="2192" xr:uid="{00000000-0005-0000-0000-000029080000}"/>
    <cellStyle name="_spo_total_daily20050713 2_Q206 DPFR Template_Malaysia_2006-02-23 (2)_12068_IN Q406 DPFR Computation (24nov06)" xfId="2193" xr:uid="{00000000-0005-0000-0000-00002A080000}"/>
    <cellStyle name="_spo_total_daily20050713 2_Q206 DPFR Template_Malaysia_2006-02-23 (2)_12068_IN Q406 DPFR-R Computation (01dec06)" xfId="2194" xr:uid="{00000000-0005-0000-0000-00002B080000}"/>
    <cellStyle name="_spo_total_daily20050713 2_Q206 DPFR Template_Malaysia_2006-02-23 (2)_12068_Input File - AEC Q207 DPFR" xfId="2195" xr:uid="{00000000-0005-0000-0000-00002C080000}"/>
    <cellStyle name="_spo_total_daily20050713 2_Q206 DPFR Template_Malaysia_2006-02-23 (2)_12068_Input File - ID Q107 DPFR_Ver3" xfId="2196" xr:uid="{00000000-0005-0000-0000-00002D080000}"/>
    <cellStyle name="_spo_total_daily20050713 2_Q206 DPFR Template_Malaysia_2006-02-23 (2)_12068_Input File - ID Q207 DPFR_Final-5-3-2007" xfId="2197" xr:uid="{00000000-0005-0000-0000-00002E080000}"/>
    <cellStyle name="_spo_total_daily20050713 2_Q206 DPFR Template_Malaysia_2006-02-23 (2)_12068_Input File - IN Q107 DPFR" xfId="2198" xr:uid="{00000000-0005-0000-0000-00002F080000}"/>
    <cellStyle name="_spo_total_daily20050713 2_Q206 DPFR Template_Malaysia_2006-02-23 (2)_12068_Input File - KR Q107 DPFR" xfId="2199" xr:uid="{00000000-0005-0000-0000-000030080000}"/>
    <cellStyle name="_spo_total_daily20050713 2_Q206 DPFR Template_Malaysia_2006-02-23 (2)_12068_Input File - KR Q107 DPFR(1128-PBM)" xfId="2200" xr:uid="{00000000-0005-0000-0000-000031080000}"/>
    <cellStyle name="_spo_total_daily20050713 2_Q206 DPFR Template_Malaysia_2006-02-23 (2)_12068_Input File - KR Q107 DPFR(23th Nov) 001" xfId="2201" xr:uid="{00000000-0005-0000-0000-000032080000}"/>
    <cellStyle name="_spo_total_daily20050713 2_Q206 DPFR Template_Malaysia_2006-02-23 (2)_12068_Input File - KR Q207 DPFR" xfId="2202" xr:uid="{00000000-0005-0000-0000-000033080000}"/>
    <cellStyle name="_spo_total_daily20050713 2_Q206 DPFR Template_Malaysia_2006-02-23 (2)_12068_Input File - KR Q207 DPFR(0205-AP)" xfId="2203" xr:uid="{00000000-0005-0000-0000-000034080000}"/>
    <cellStyle name="_spo_total_daily20050713 2_Q206 DPFR Template_Malaysia_2006-02-23 (2)_12068_Input File - KR Q307 DPFR(update05-23-07)" xfId="2204" xr:uid="{00000000-0005-0000-0000-000035080000}"/>
    <cellStyle name="_spo_total_daily20050713 2_Q206 DPFR Template_Malaysia_2006-02-23 (2)_12068_Input File - KR Q406 DPFR(AP)_0807" xfId="2205" xr:uid="{00000000-0005-0000-0000-000036080000}"/>
    <cellStyle name="_spo_total_daily20050713 2_Q206 DPFR Template_Malaysia_2006-02-23 (2)_12068_Input File - SG Q107 DPFR" xfId="2206" xr:uid="{00000000-0005-0000-0000-000037080000}"/>
    <cellStyle name="_spo_total_daily20050713 2_Q206 DPFR Template_Malaysia_2006-02-23 (2)_12068_KR Q108 inputfile_DPFR_071203" xfId="2207" xr:uid="{00000000-0005-0000-0000-000038080000}"/>
    <cellStyle name="_spo_total_daily20050713 2_Q206 DPFR Template_Malaysia_2006-02-23 (2)_12068_KR Q306 DPFR (Aug24thLeeway)" xfId="2208" xr:uid="{00000000-0005-0000-0000-000039080000}"/>
    <cellStyle name="_spo_total_daily20050713 2_Q206 DPFR Template_Malaysia_2006-02-23 (2)_12068_KR Q306 DPFR 001fina-leewayl (2)" xfId="2209" xr:uid="{00000000-0005-0000-0000-00003A080000}"/>
    <cellStyle name="_spo_total_daily20050713 2_Q206 DPFR Template_Malaysia_2006-02-23 (2)_12068_KR Q407 DPFR_final_071030" xfId="2210" xr:uid="{00000000-0005-0000-0000-00003B080000}"/>
    <cellStyle name="_spo_total_daily20050713 2_Q206 DPFR Template_Malaysia_2006-02-23 (2)_12068_KR Q407 DPFR_final_071106" xfId="2211" xr:uid="{00000000-0005-0000-0000-00003C080000}"/>
    <cellStyle name="_spo_total_daily20050713 2_Q206 DPFR Template_Malaysia_2006-02-23 (2)_12068_KR Q407 DPFR_template_070802(updated)" xfId="2212" xr:uid="{00000000-0005-0000-0000-00003D080000}"/>
    <cellStyle name="_spo_total_daily20050713 2_Q206 DPFR Template_Malaysia_2006-02-23 (2)_12068_Leeway-computation File - KR Q207 DPFR--(0523 update )" xfId="2213" xr:uid="{00000000-0005-0000-0000-00003E080000}"/>
    <cellStyle name="_spo_total_daily20050713 2_Q206 DPFR Template_Malaysia_2006-02-23 (2)_12068_NMFT HD계산 법" xfId="2214" xr:uid="{00000000-0005-0000-0000-00003F080000}"/>
    <cellStyle name="_spo_total_daily20050713 2_Q206 DPFR Template_Malaysia_2006-02-23 (2)_12068_nMFT 계산 (DPFR HD)_exclude RM (3)" xfId="2215" xr:uid="{00000000-0005-0000-0000-000040080000}"/>
    <cellStyle name="_spo_total_daily20050713 2_Q206 DPFR Template_Malaysia_2006-02-23 (2)_12068_Q107 제외 7개사" xfId="2216" xr:uid="{00000000-0005-0000-0000-000041080000}"/>
    <cellStyle name="_spo_total_daily20050713 2_Q206 DPFR Template_Malaysia_2006-02-23 (2)_12068_Q207 DPFR-021(Korea)" xfId="2217" xr:uid="{00000000-0005-0000-0000-000042080000}"/>
    <cellStyle name="_spo_total_daily20050713 2_Q206 DPFR Template_Malaysia_2006-02-23 (2)_12068_Q407 plan detail for computation details" xfId="2218" xr:uid="{00000000-0005-0000-0000-000043080000}"/>
    <cellStyle name="_spo_total_daily20050713 2_Q206 DPFR Template_Malaysia_2006-02-23 (2)_12068_SG Q206 DPFR Computation (24may06)" xfId="2219" xr:uid="{00000000-0005-0000-0000-000044080000}"/>
    <cellStyle name="_spo_total_daily20050713 2_Q206 DPFR Template_Malaysia_2006-02-23 (2)_12068_SG Q306 DPFR Computation (08sept06)" xfId="2220" xr:uid="{00000000-0005-0000-0000-000045080000}"/>
    <cellStyle name="_spo_total_daily20050713 2_Q206 DPFR Template_Malaysia_2006-02-23 (2)_12068_SG Q406 DPFR Computation (20nov06)" xfId="2221" xr:uid="{00000000-0005-0000-0000-000046080000}"/>
    <cellStyle name="_spo_total_daily20050713 2_Q206 DPFR Template_Malaysia_2006-02-23 (2)_12068_TH Q107 DPFR Computation_template" xfId="2222" xr:uid="{00000000-0005-0000-0000-000047080000}"/>
    <cellStyle name="_spo_total_daily20050713 2_Q206 DPFR Template_Malaysia_2006-02-23 (2)_12068_수정본 KR Q407 DPFR_draft v._071122( NMFT HD update)" xfId="2223" xr:uid="{00000000-0005-0000-0000-000048080000}"/>
    <cellStyle name="_spo_total_daily20050713 2_Q206 DPFR Template_Singapore (8 Mar 06)" xfId="2224" xr:uid="{00000000-0005-0000-0000-000049080000}"/>
    <cellStyle name="_spo_total_daily20050713 2_Q206 DPFR Template_Singapore (8 Mar 06)_computation  File - KR Q406 DPFR(24th Nov)" xfId="2225" xr:uid="{00000000-0005-0000-0000-00004A080000}"/>
    <cellStyle name="_spo_total_daily20050713 2_Q206 DPFR Template_Singapore (8 Mar 06)_computation File - KR Q207 DPFR--(1st version draft 0522 update )" xfId="2226" xr:uid="{00000000-0005-0000-0000-00004B080000}"/>
    <cellStyle name="_spo_total_daily20050713 2_Q206 DPFR Template_Singapore (8 Mar 06)_computation File - KR Q307 DPFR(final version)" xfId="2227" xr:uid="{00000000-0005-0000-0000-00004C080000}"/>
    <cellStyle name="_spo_total_daily20050713 2_Q206 DPFR Template_Singapore (8 Mar 06)_computation File - KR Q307 DPFR(Leeway 0828)" xfId="2228" xr:uid="{00000000-0005-0000-0000-00004D080000}"/>
    <cellStyle name="_spo_total_daily20050713 2_Q206 DPFR Template_Singapore (8 Mar 06)_computation File - KR Q307 DPFR(update07-18-07)" xfId="2229" xr:uid="{00000000-0005-0000-0000-00004E080000}"/>
    <cellStyle name="_spo_total_daily20050713 2_Q206 DPFR Template_Singapore (8 Mar 06)_computation File - KR Q307 DPFR(update07-23-07)" xfId="2230" xr:uid="{00000000-0005-0000-0000-00004F080000}"/>
    <cellStyle name="_spo_total_daily20050713 2_Q206 DPFR Template_Singapore (8 Mar 06)_computation Practice(10thMay) - KR Q207 DPFR-  " xfId="2231" xr:uid="{00000000-0005-0000-0000-000050080000}"/>
    <cellStyle name="_spo_total_daily20050713 2_Q206 DPFR Template_Singapore (8 Mar 06)_computationFile - KR Q107 DPFR" xfId="2232" xr:uid="{00000000-0005-0000-0000-000051080000}"/>
    <cellStyle name="_spo_total_daily20050713 2_Q206 DPFR Template_Singapore (8 Mar 06)_ID Q107 DPFR Computation (5Mar07)" xfId="2233" xr:uid="{00000000-0005-0000-0000-000052080000}"/>
    <cellStyle name="_spo_total_daily20050713 2_Q206 DPFR Template_Singapore (8 Mar 06)_ID Q207 DPFR Computation_template" xfId="2234" xr:uid="{00000000-0005-0000-0000-000053080000}"/>
    <cellStyle name="_spo_total_daily20050713 2_Q206 DPFR Template_Singapore (8 Mar 06)_IN Q207 DPFR Computation_template" xfId="2235" xr:uid="{00000000-0005-0000-0000-000054080000}"/>
    <cellStyle name="_spo_total_daily20050713 2_Q206 DPFR Template_Singapore (8 Mar 06)_IN Q406 DPFR Computation (13nov06)" xfId="2236" xr:uid="{00000000-0005-0000-0000-000055080000}"/>
    <cellStyle name="_spo_total_daily20050713 2_Q206 DPFR Template_Singapore (8 Mar 06)_IN Q406 DPFR Computation (24nov06)" xfId="2237" xr:uid="{00000000-0005-0000-0000-000056080000}"/>
    <cellStyle name="_spo_total_daily20050713 2_Q206 DPFR Template_Singapore (8 Mar 06)_IN Q406 DPFR-R Computation (01dec06)" xfId="2238" xr:uid="{00000000-0005-0000-0000-000057080000}"/>
    <cellStyle name="_spo_total_daily20050713 2_Q206 DPFR Template_Singapore (8 Mar 06)_Input File - AEC Q207 DPFR" xfId="2239" xr:uid="{00000000-0005-0000-0000-000058080000}"/>
    <cellStyle name="_spo_total_daily20050713 2_Q206 DPFR Template_Singapore (8 Mar 06)_Input File - ID Q107 DPFR_Ver3" xfId="2240" xr:uid="{00000000-0005-0000-0000-000059080000}"/>
    <cellStyle name="_spo_total_daily20050713 2_Q206 DPFR Template_Singapore (8 Mar 06)_Input File - ID Q207 DPFR_Final-5-3-2007" xfId="2241" xr:uid="{00000000-0005-0000-0000-00005A080000}"/>
    <cellStyle name="_spo_total_daily20050713 2_Q206 DPFR Template_Singapore (8 Mar 06)_Input File - IN Q107 DPFR" xfId="2242" xr:uid="{00000000-0005-0000-0000-00005B080000}"/>
    <cellStyle name="_spo_total_daily20050713 2_Q206 DPFR Template_Singapore (8 Mar 06)_Input File - KR Q107 DPFR" xfId="2243" xr:uid="{00000000-0005-0000-0000-00005C080000}"/>
    <cellStyle name="_spo_total_daily20050713 2_Q206 DPFR Template_Singapore (8 Mar 06)_Input File - KR Q107 DPFR(1128-PBM)" xfId="2244" xr:uid="{00000000-0005-0000-0000-00005D080000}"/>
    <cellStyle name="_spo_total_daily20050713 2_Q206 DPFR Template_Singapore (8 Mar 06)_Input File - KR Q107 DPFR(23th Nov) 001" xfId="2245" xr:uid="{00000000-0005-0000-0000-00005E080000}"/>
    <cellStyle name="_spo_total_daily20050713 2_Q206 DPFR Template_Singapore (8 Mar 06)_Input File - KR Q207 DPFR" xfId="2246" xr:uid="{00000000-0005-0000-0000-00005F080000}"/>
    <cellStyle name="_spo_total_daily20050713 2_Q206 DPFR Template_Singapore (8 Mar 06)_Input File - KR Q207 DPFR(0205-AP)" xfId="2247" xr:uid="{00000000-0005-0000-0000-000060080000}"/>
    <cellStyle name="_spo_total_daily20050713 2_Q206 DPFR Template_Singapore (8 Mar 06)_Input File - KR Q307 DPFR(update05-23-07)" xfId="2248" xr:uid="{00000000-0005-0000-0000-000061080000}"/>
    <cellStyle name="_spo_total_daily20050713 2_Q206 DPFR Template_Singapore (8 Mar 06)_Input File - KR Q406 DPFR(AP)_0807" xfId="2249" xr:uid="{00000000-0005-0000-0000-000062080000}"/>
    <cellStyle name="_spo_total_daily20050713 2_Q206 DPFR Template_Singapore (8 Mar 06)_Input File - SG Q107 DPFR" xfId="2250" xr:uid="{00000000-0005-0000-0000-000063080000}"/>
    <cellStyle name="_spo_total_daily20050713 2_Q206 DPFR Template_Singapore (8 Mar 06)_KR Q108 inputfile_DPFR_071203" xfId="2251" xr:uid="{00000000-0005-0000-0000-000064080000}"/>
    <cellStyle name="_spo_total_daily20050713 2_Q206 DPFR Template_Singapore (8 Mar 06)_KR Q306 DPFR (Aug24thLeeway)" xfId="2252" xr:uid="{00000000-0005-0000-0000-000065080000}"/>
    <cellStyle name="_spo_total_daily20050713 2_Q206 DPFR Template_Singapore (8 Mar 06)_KR Q306 DPFR 001fina-leewayl (2)" xfId="2253" xr:uid="{00000000-0005-0000-0000-000066080000}"/>
    <cellStyle name="_spo_total_daily20050713 2_Q206 DPFR Template_Singapore (8 Mar 06)_KR Q407 DPFR_final_071030" xfId="2254" xr:uid="{00000000-0005-0000-0000-000067080000}"/>
    <cellStyle name="_spo_total_daily20050713 2_Q206 DPFR Template_Singapore (8 Mar 06)_KR Q407 DPFR_final_071106" xfId="2255" xr:uid="{00000000-0005-0000-0000-000068080000}"/>
    <cellStyle name="_spo_total_daily20050713 2_Q206 DPFR Template_Singapore (8 Mar 06)_KR Q407 DPFR_template_070802(updated)" xfId="2256" xr:uid="{00000000-0005-0000-0000-000069080000}"/>
    <cellStyle name="_spo_total_daily20050713 2_Q206 DPFR Template_Singapore (8 Mar 06)_Leeway-computation File - KR Q207 DPFR--(0523 update )" xfId="2257" xr:uid="{00000000-0005-0000-0000-00006A080000}"/>
    <cellStyle name="_spo_total_daily20050713 2_Q206 DPFR Template_Singapore (8 Mar 06)_NMFT HD계산 법" xfId="2258" xr:uid="{00000000-0005-0000-0000-00006B080000}"/>
    <cellStyle name="_spo_total_daily20050713 2_Q206 DPFR Template_Singapore (8 Mar 06)_nMFT 계산 (DPFR HD)_exclude RM (3)" xfId="2259" xr:uid="{00000000-0005-0000-0000-00006C080000}"/>
    <cellStyle name="_spo_total_daily20050713 2_Q206 DPFR Template_Singapore (8 Mar 06)_Q107 제외 7개사" xfId="2260" xr:uid="{00000000-0005-0000-0000-00006D080000}"/>
    <cellStyle name="_spo_total_daily20050713 2_Q206 DPFR Template_Singapore (8 Mar 06)_Q207 DPFR-021(Korea)" xfId="2261" xr:uid="{00000000-0005-0000-0000-00006E080000}"/>
    <cellStyle name="_spo_total_daily20050713 2_Q206 DPFR Template_Singapore (8 Mar 06)_Q407 plan detail for computation details" xfId="2262" xr:uid="{00000000-0005-0000-0000-00006F080000}"/>
    <cellStyle name="_spo_total_daily20050713 2_Q206 DPFR Template_Singapore (8 Mar 06)_SG Q206 DPFR Computation (24may06)" xfId="2263" xr:uid="{00000000-0005-0000-0000-000070080000}"/>
    <cellStyle name="_spo_total_daily20050713 2_Q206 DPFR Template_Singapore (8 Mar 06)_SG Q406 DPFR Computation (20nov06)" xfId="2264" xr:uid="{00000000-0005-0000-0000-000071080000}"/>
    <cellStyle name="_spo_total_daily20050713 2_Q206 DPFR Template_Singapore (8 Mar 06)_TH Q107 DPFR Computation_template" xfId="2265" xr:uid="{00000000-0005-0000-0000-000072080000}"/>
    <cellStyle name="_spo_total_daily20050713 2_Q206 DPFR Template_Singapore (8 Mar 06)_수정본 KR Q407 DPFR_draft v._071122( NMFT HD update)" xfId="2266" xr:uid="{00000000-0005-0000-0000-000073080000}"/>
    <cellStyle name="_spo_total_daily20050713 2_SG Q106 DPFR Computation (13feb06)" xfId="2267" xr:uid="{00000000-0005-0000-0000-000074080000}"/>
    <cellStyle name="_spo_total_daily20050713 2_SG Q106 DPFR Computation (13feb06)_SG Q206 DPFR Computation (24may06)" xfId="2268" xr:uid="{00000000-0005-0000-0000-000075080000}"/>
    <cellStyle name="_SUN(유닉스계열)" xfId="4185" xr:uid="{00000000-0005-0000-0000-000076080000}"/>
    <cellStyle name="_suns" xfId="139" xr:uid="{00000000-0005-0000-0000-000077080000}"/>
    <cellStyle name="_sun가격분석" xfId="4186" xr:uid="{00000000-0005-0000-0000-000078080000}"/>
    <cellStyle name="_TDMF 견적_PCC" xfId="2269" xr:uid="{00000000-0005-0000-0000-000079080000}"/>
    <cellStyle name="_Thecsu Storage 기본견적" xfId="4064" xr:uid="{00000000-0005-0000-0000-00007A080000}"/>
    <cellStyle name="_Unicenter 유지보수 견적서 (대림I&amp;S-Yncc)_060309" xfId="140" xr:uid="{00000000-0005-0000-0000-00007B080000}"/>
    <cellStyle name="_V(01). 프로젝트 예산-YTN견적_20030701_002" xfId="30" xr:uid="{00000000-0005-0000-0000-00007C080000}"/>
    <cellStyle name="_V880" xfId="2270" xr:uid="{00000000-0005-0000-0000-00007D080000}"/>
    <cellStyle name="_V880양회성-2004528" xfId="2271" xr:uid="{00000000-0005-0000-0000-00007E080000}"/>
    <cellStyle name="_VA7110-050307" xfId="2272" xr:uid="{00000000-0005-0000-0000-00007F080000}"/>
    <cellStyle name="_WS(0404)" xfId="2273" xr:uid="{00000000-0005-0000-0000-000080080000}"/>
    <cellStyle name="_Y050829_IBM_G1K 견적서(천수현)" xfId="2274" xr:uid="{00000000-0005-0000-0000-000081080000}"/>
    <cellStyle name="_가격검토서_IRS_KDN_20050403" xfId="2275" xr:uid="{00000000-0005-0000-0000-000082080000}"/>
    <cellStyle name="_강산FRP" xfId="2276" xr:uid="{00000000-0005-0000-0000-000083080000}"/>
    <cellStyle name="_개발" xfId="2277" xr:uid="{00000000-0005-0000-0000-000084080000}"/>
    <cellStyle name="_개요" xfId="2278" xr:uid="{00000000-0005-0000-0000-000085080000}"/>
    <cellStyle name="_개요(봉림)-참고용" xfId="2279" xr:uid="{00000000-0005-0000-0000-000086080000}"/>
    <cellStyle name="_개요(봉림)-최종" xfId="2280" xr:uid="{00000000-0005-0000-0000-000087080000}"/>
    <cellStyle name="_개요(주안-인천)" xfId="2281" xr:uid="{00000000-0005-0000-0000-000088080000}"/>
    <cellStyle name="_견적 SAMPLE-1 (1)" xfId="2282" xr:uid="{00000000-0005-0000-0000-000089080000}"/>
    <cellStyle name="_견적 범우화학(2003.01.29-Sim)KM,GW,EDM" xfId="2283" xr:uid="{00000000-0005-0000-0000-00008A080000}"/>
    <cellStyle name="_견적-BAT사천-NW-softland-071205" xfId="2284" xr:uid="{00000000-0005-0000-0000-00008B080000}"/>
    <cellStyle name="_견적비교정리_센터" xfId="2285" xr:uid="{00000000-0005-0000-0000-00008C080000}"/>
    <cellStyle name="_견적서 SAMPLE" xfId="2286" xr:uid="{00000000-0005-0000-0000-00008D080000}"/>
    <cellStyle name="_견적서 양식" xfId="141" xr:uid="{00000000-0005-0000-0000-00008E080000}"/>
    <cellStyle name="_견적서(2005-08-25)-1" xfId="2287" xr:uid="{00000000-0005-0000-0000-00008F080000}"/>
    <cellStyle name="_견적서(APS)070314(1)" xfId="2288" xr:uid="{00000000-0005-0000-0000-000090080000}"/>
    <cellStyle name="_견적서(코오롱정보통신041220)" xfId="2289" xr:uid="{00000000-0005-0000-0000-000091080000}"/>
    <cellStyle name="_견적서(큐씨에스 080211)" xfId="2290" xr:uid="{00000000-0005-0000-0000-000092080000}"/>
    <cellStyle name="_견적서(한국IBM_라이온_IP530 GSS_IP710_VCTU_VPGU_e500_WS3200)050826" xfId="2291" xr:uid="{00000000-0005-0000-0000-000093080000}"/>
    <cellStyle name="_견적요청" xfId="2292" xr:uid="{00000000-0005-0000-0000-000094080000}"/>
    <cellStyle name="_견적요청_050412_sky" xfId="31" xr:uid="{00000000-0005-0000-0000-000095080000}"/>
    <cellStyle name="_견적-하이콤정보통신(2002.08.16).." xfId="2293" xr:uid="{00000000-0005-0000-0000-000096080000}"/>
    <cellStyle name="_경북031002" xfId="2294" xr:uid="{00000000-0005-0000-0000-000097080000}"/>
    <cellStyle name="_고무방충재" xfId="2295" xr:uid="{00000000-0005-0000-0000-000098080000}"/>
    <cellStyle name="_고성군청 기타 업체 발주 내용" xfId="2296" xr:uid="{00000000-0005-0000-0000-000099080000}"/>
    <cellStyle name="_고성군청_디스크 증설 발송" xfId="2297" xr:uid="{00000000-0005-0000-0000-00009A080000}"/>
    <cellStyle name="_공통" xfId="2298" xr:uid="{00000000-0005-0000-0000-00009B080000}"/>
    <cellStyle name="_공통_015.도로 및 지하시설물도 유지보수 용역" xfId="2299" xr:uid="{00000000-0005-0000-0000-00009C080000}"/>
    <cellStyle name="_공통_03.목차" xfId="2300" xr:uid="{00000000-0005-0000-0000-00009D080000}"/>
    <cellStyle name="_공통_04.웹 기반 기상분석시스템 개발" xfId="2301" xr:uid="{00000000-0005-0000-0000-00009E080000}"/>
    <cellStyle name="_공통_MM" xfId="2302" xr:uid="{00000000-0005-0000-0000-00009F080000}"/>
    <cellStyle name="_공통_개발" xfId="2303" xr:uid="{00000000-0005-0000-0000-0000A0080000}"/>
    <cellStyle name="_공통_외교통상정보화 4단계 구축_2.0_장비" xfId="2304" xr:uid="{00000000-0005-0000-0000-0000A1080000}"/>
    <cellStyle name="_공통_행정중심복합도시 정부청사건립 공간계획 및 설계지침 작성용역_ver3.0_last" xfId="2305" xr:uid="{00000000-0005-0000-0000-0000A2080000}"/>
    <cellStyle name="_과기처노임단가" xfId="2306" xr:uid="{00000000-0005-0000-0000-0000A3080000}"/>
    <cellStyle name="_과학의 날 행사용 영상물제작" xfId="2307" xr:uid="{00000000-0005-0000-0000-0000A4080000}"/>
    <cellStyle name="_광주보강견적서-20040420" xfId="2308" xr:uid="{00000000-0005-0000-0000-0000A5080000}"/>
    <cellStyle name="_광중계기 장비별 사용현황(SK건설)  최종" xfId="2309" xr:uid="{00000000-0005-0000-0000-0000A6080000}"/>
    <cellStyle name="_광진구청(051006)_xw6200_원가" xfId="2310" xr:uid="{00000000-0005-0000-0000-0000A7080000}"/>
    <cellStyle name="_교원나라_AMS500_1TB_080304" xfId="2311" xr:uid="{00000000-0005-0000-0000-0000A8080000}"/>
    <cellStyle name="_교원나라_ORACLE RDBMS 10g Enterprise" xfId="2312" xr:uid="{00000000-0005-0000-0000-0000A9080000}"/>
    <cellStyle name="_교원나라상호저축은행_DR(통합)_080303" xfId="2313" xr:uid="{00000000-0005-0000-0000-0000AA080000}"/>
    <cellStyle name="_군포시 지하시설물통합정보시스템 구축사업 설계내역서_2.3" xfId="2314" xr:uid="{00000000-0005-0000-0000-0000AB080000}"/>
    <cellStyle name="_금융권_한국IBM_001(050825)" xfId="2315" xr:uid="{00000000-0005-0000-0000-0000AC080000}"/>
    <cellStyle name="_기본견적(2003년 01월)" xfId="2316" xr:uid="{00000000-0005-0000-0000-0000AD080000}"/>
    <cellStyle name="_기본견적(2003년 05월)" xfId="2317" xr:uid="{00000000-0005-0000-0000-0000AE080000}"/>
    <cellStyle name="_기본형" xfId="2318" xr:uid="{00000000-0005-0000-0000-0000AF080000}"/>
    <cellStyle name="_남부터미널-09-1005(X3550,UPS)" xfId="4065" xr:uid="{00000000-0005-0000-0000-0000B0080000}"/>
    <cellStyle name="_내역(991895-7)" xfId="2319" xr:uid="{00000000-0005-0000-0000-0000B1080000}"/>
    <cellStyle name="_내역(991895-7)-01" xfId="2320" xr:uid="{00000000-0005-0000-0000-0000B2080000}"/>
    <cellStyle name="_내역(991895-7)-12-3일작업" xfId="2321" xr:uid="{00000000-0005-0000-0000-0000B3080000}"/>
    <cellStyle name="_내역서_0525" xfId="2322" xr:uid="{00000000-0005-0000-0000-0000B4080000}"/>
    <cellStyle name="_내역서+개요(월배통신)" xfId="2323" xr:uid="{00000000-0005-0000-0000-0000B5080000}"/>
    <cellStyle name="_내역서+개요(전기)-6.7(최종)" xfId="2324" xr:uid="{00000000-0005-0000-0000-0000B6080000}"/>
    <cellStyle name="_내역서+개요(통신)" xfId="2325" xr:uid="{00000000-0005-0000-0000-0000B7080000}"/>
    <cellStyle name="_네트워크 개선 물량 및 가격(CiscoNortel)_콤텍시스템" xfId="4226" xr:uid="{00000000-0005-0000-0000-0000B8080000}"/>
    <cellStyle name="_넷스크린forecasting_20050531" xfId="142" xr:uid="{00000000-0005-0000-0000-0000B9080000}"/>
    <cellStyle name="_노동연구원_AMS500WMS_3TB_1213" xfId="2326" xr:uid="{00000000-0005-0000-0000-0000BA080000}"/>
    <cellStyle name="_노비타정보통신-10-0118(DL360G6,DL160G6)" xfId="4066" xr:uid="{00000000-0005-0000-0000-0000BB080000}"/>
    <cellStyle name="_농산무역_견적서02" xfId="32" xr:uid="{00000000-0005-0000-0000-0000BC080000}"/>
    <cellStyle name="_뉴디지탈(DL380R04 X3.0)" xfId="4067" xr:uid="{00000000-0005-0000-0000-0000BD080000}"/>
    <cellStyle name="_뉴아이티-09-0824(DL160G5)" xfId="4068" xr:uid="{00000000-0005-0000-0000-0000BE080000}"/>
    <cellStyle name="_능률교육-09-1125(DL380G5)" xfId="4069" xr:uid="{00000000-0005-0000-0000-0000BF080000}"/>
    <cellStyle name="_능률교육-09-1125(DL380G5,DL380G6)" xfId="4070" xr:uid="{00000000-0005-0000-0000-0000C0080000}"/>
    <cellStyle name="_다민나스" xfId="4071" xr:uid="{00000000-0005-0000-0000-0000C1080000}"/>
    <cellStyle name="_대구산업정보대방송설비견적(0409)" xfId="2327" xr:uid="{00000000-0005-0000-0000-0000C2080000}"/>
    <cellStyle name="_대신정보통신-09-1009(DL380G6,DL360G6)" xfId="4072" xr:uid="{00000000-0005-0000-0000-0000C3080000}"/>
    <cellStyle name="_대우정보 과천(ES40 833Mhz)" xfId="2328" xr:uid="{00000000-0005-0000-0000-0000C4080000}"/>
    <cellStyle name="_대일씨앤씨-08-1001(DL380G5)-1" xfId="4073" xr:uid="{00000000-0005-0000-0000-0000C5080000}"/>
    <cellStyle name="_대전망운용국 대수선 전기공사+개요" xfId="2329" xr:uid="{00000000-0005-0000-0000-0000C6080000}"/>
    <cellStyle name="_도로및지하시설물도공동구축사업 설계내역서.1.0" xfId="2330" xr:uid="{00000000-0005-0000-0000-0000C7080000}"/>
    <cellStyle name="_도면 스캐너-contex(프Tx36P,카Tx36BP)" xfId="2331" xr:uid="{00000000-0005-0000-0000-0000C8080000}"/>
    <cellStyle name="_동목포전화국제4회기성청구서" xfId="2332" xr:uid="{00000000-0005-0000-0000-0000C9080000}"/>
    <cellStyle name="_동화약품 HP제품과 비교-09-0106(DL380G5,HP Rack)" xfId="4074" xr:uid="{00000000-0005-0000-0000-0000CA080000}"/>
    <cellStyle name="_동화약품 연구소-2009-0218(X3650,Rack)" xfId="4075" xr:uid="{00000000-0005-0000-0000-0000CB080000}"/>
    <cellStyle name="_동희오토-09-0521(HP PC)" xfId="4076" xr:uid="{00000000-0005-0000-0000-0000CC080000}"/>
    <cellStyle name="_두산중공업_021203" xfId="143" xr:uid="{00000000-0005-0000-0000-0000CD080000}"/>
    <cellStyle name="_두성테크-09-1028(IBM 제안견적)" xfId="4077" xr:uid="{00000000-0005-0000-0000-0000CE080000}"/>
    <cellStyle name="_디아모_한국전산원_Listprice" xfId="2333" xr:uid="{00000000-0005-0000-0000-0000CF080000}"/>
    <cellStyle name="_디지털헨지-10-0309(X3550M2)" xfId="4078" xr:uid="{00000000-0005-0000-0000-0000D0080000}"/>
    <cellStyle name="_롯데삼강_inSight(20021030)" xfId="2334" xr:uid="{00000000-0005-0000-0000-0000D1080000}"/>
    <cellStyle name="_링네트견적(최종수정)" xfId="4227" xr:uid="{00000000-0005-0000-0000-0000D2080000}"/>
    <cellStyle name="_맨텍(폴리미래)" xfId="144" xr:uid="{00000000-0005-0000-0000-0000D3080000}"/>
    <cellStyle name="_메쉬네트웍스-09-1119(X3250M2)" xfId="4079" xr:uid="{00000000-0005-0000-0000-0000D4080000}"/>
    <cellStyle name="_메쉬네트웍스-09-1204(X3250M2)" xfId="4080" xr:uid="{00000000-0005-0000-0000-0000D5080000}"/>
    <cellStyle name="_미즈메디병원_유지보수(051129) 견적서" xfId="145" xr:uid="{00000000-0005-0000-0000-0000D6080000}"/>
    <cellStyle name="_범용 공동구축사업 설계내역서_샘플1.3" xfId="2335" xr:uid="{00000000-0005-0000-0000-0000D7080000}"/>
    <cellStyle name="_범용 공동구축사업 설계내역서_샘플1.4" xfId="2336" xr:uid="{00000000-0005-0000-0000-0000D8080000}"/>
    <cellStyle name="_범용추가개발 설계내역서(평균가중치방식)" xfId="2337" xr:uid="{00000000-0005-0000-0000-0000D9080000}"/>
    <cellStyle name="_범용프로그램도입 예산설계서(2003기준)_1.6" xfId="2338" xr:uid="{00000000-0005-0000-0000-0000DA080000}"/>
    <cellStyle name="_범용프로그램도입 예산설계서_1.2" xfId="2339" xr:uid="{00000000-0005-0000-0000-0000DB080000}"/>
    <cellStyle name="_법무법인 율촌-09-0518(DS3400외)" xfId="4081" xr:uid="{00000000-0005-0000-0000-0000DC080000}"/>
    <cellStyle name="_베스트텍시스템-x2100(070306-02) (2)" xfId="4082" xr:uid="{00000000-0005-0000-0000-0000DD080000}"/>
    <cellStyle name="_보이스 도입물량" xfId="4228" xr:uid="{00000000-0005-0000-0000-0000DE080000}"/>
    <cellStyle name="_복사본 발주서양식 대신정보통신" xfId="2340" xr:uid="{00000000-0005-0000-0000-0000DF080000}"/>
    <cellStyle name="_복사본 오늘과내일(W1100z)-9월가격표_(2004 9 1기준)" xfId="4187" xr:uid="{00000000-0005-0000-0000-0000E0080000}"/>
    <cellStyle name="_복사본 오늘과내일(W1100z)-9월가격표_(2004 9 1기준)(1)" xfId="4188" xr:uid="{00000000-0005-0000-0000-0000E1080000}"/>
    <cellStyle name="_본사_NW_ Devices List" xfId="2341" xr:uid="{00000000-0005-0000-0000-0000E2080000}"/>
    <cellStyle name="_봉림고교 교사신축(최종)" xfId="2342" xr:uid="{00000000-0005-0000-0000-0000E3080000}"/>
    <cellStyle name="_봉림고교 교사신축(최종)-참고용" xfId="2343" xr:uid="{00000000-0005-0000-0000-0000E4080000}"/>
    <cellStyle name="_부산" xfId="2344" xr:uid="{00000000-0005-0000-0000-0000E5080000}"/>
    <cellStyle name="_부서장 회의 창원-2005.11월" xfId="2345" xr:uid="{00000000-0005-0000-0000-0000E6080000}"/>
    <cellStyle name="_부서장 회의 창원-2월" xfId="2346" xr:uid="{00000000-0005-0000-0000-0000E7080000}"/>
    <cellStyle name="_부천시 지하시설물통합정보시스템 구축사업 설계내역서_2.1(FP)" xfId="2347" xr:uid="{00000000-0005-0000-0000-0000E8080000}"/>
    <cellStyle name="_부천시 현장시설물관리시스템 구축사업 설계내역서_2.1(FP)" xfId="2348" xr:uid="{00000000-0005-0000-0000-0000E9080000}"/>
    <cellStyle name="_분당차병원 견적서 (동심) 0625" xfId="2349" xr:uid="{00000000-0005-0000-0000-0000EA080000}"/>
    <cellStyle name="_삼강SW(이태영)" xfId="2350" xr:uid="{00000000-0005-0000-0000-0000EB080000}"/>
    <cellStyle name="_삼성 서버 3월 가격표_코오롱" xfId="4083" xr:uid="{00000000-0005-0000-0000-0000EC080000}"/>
    <cellStyle name="_상하수도 범용도입 설계내역서2.0" xfId="2351" xr:uid="{00000000-0005-0000-0000-0000ED080000}"/>
    <cellStyle name="_새주소웹서버" xfId="2352" xr:uid="{00000000-0005-0000-0000-0000EE080000}"/>
    <cellStyle name="_생산DW2차 추가분(20050502)" xfId="2353" xr:uid="{00000000-0005-0000-0000-0000EF080000}"/>
    <cellStyle name="_서버 2003 ISS 7월 가격표1" xfId="4084" xr:uid="{00000000-0005-0000-0000-0000F0080000}"/>
    <cellStyle name="_서버 2003년 2월 가격표" xfId="4085" xr:uid="{00000000-0005-0000-0000-0000F1080000}"/>
    <cellStyle name="_서버 5월 가격표(송민철)" xfId="4086" xr:uid="{00000000-0005-0000-0000-0000F2080000}"/>
    <cellStyle name="_서버 송민철 2003년 3월 가격표" xfId="4087" xr:uid="{00000000-0005-0000-0000-0000F3080000}"/>
    <cellStyle name="_서버이용 견적서(IDC)" xfId="33" xr:uid="{00000000-0005-0000-0000-0000F4080000}"/>
    <cellStyle name="_선도전기(실적기준)" xfId="2354" xr:uid="{00000000-0005-0000-0000-0000F5080000}"/>
    <cellStyle name="_설치위치별세부내역(VMS)-0323" xfId="2355" xr:uid="{00000000-0005-0000-0000-0000F6080000}"/>
    <cellStyle name="_설치위치별세부내역_AVI_1(new)" xfId="2356" xr:uid="{00000000-0005-0000-0000-0000F7080000}"/>
    <cellStyle name="_센터_엔앤에스(060320)" xfId="2357" xr:uid="{00000000-0005-0000-0000-0000F8080000}"/>
    <cellStyle name="_소요물자명세서" xfId="2358" xr:uid="{00000000-0005-0000-0000-0000F9080000}"/>
    <cellStyle name="_손익분석표(20050521)-1" xfId="2359" xr:uid="{00000000-0005-0000-0000-0000FA080000}"/>
    <cellStyle name="_수량산출서" xfId="2360" xr:uid="{00000000-0005-0000-0000-0000FB080000}"/>
    <cellStyle name="_순천향 MSL6060 FC 2dr(0528)" xfId="2361" xr:uid="{00000000-0005-0000-0000-0000FC080000}"/>
    <cellStyle name="_순천향병원 견적서-0602 r1" xfId="2362" xr:uid="{00000000-0005-0000-0000-0000FD080000}"/>
    <cellStyle name="_시큐어소프트0918(450)" xfId="2363" xr:uid="{00000000-0005-0000-0000-0000FE080000}"/>
    <cellStyle name="_시큐어소프트1226(rp2470)" xfId="2364" xr:uid="{00000000-0005-0000-0000-0000FF080000}"/>
    <cellStyle name="_시흥시청(031212)_xw6000_발송용" xfId="2365" xr:uid="{00000000-0005-0000-0000-000000090000}"/>
    <cellStyle name="_신우정보기술(DL380R X3200DL580R)0624" xfId="146" xr:uid="{00000000-0005-0000-0000-000001090000}"/>
    <cellStyle name="_아이네트호스팅-09-0129(X3550,DL360G5)" xfId="4088" xr:uid="{00000000-0005-0000-0000-000002090000}"/>
    <cellStyle name="_아이네트호스팅-09-1120(DL580G5,DL380G6)" xfId="4089" xr:uid="{00000000-0005-0000-0000-000003090000}"/>
    <cellStyle name="_아이테니움견적샘플" xfId="2366" xr:uid="{00000000-0005-0000-0000-000004090000}"/>
    <cellStyle name="_아인스시스템_견적요청" xfId="4189" xr:uid="{00000000-0005-0000-0000-000005090000}"/>
    <cellStyle name="_아크도-09-0908(X3250M2)" xfId="4090" xr:uid="{00000000-0005-0000-0000-000006090000}"/>
    <cellStyle name="_아키정보기술" xfId="2367" xr:uid="{00000000-0005-0000-0000-000007090000}"/>
    <cellStyle name="_알박을위한 2안-001 견적서" xfId="34" xr:uid="{00000000-0005-0000-0000-000008090000}"/>
    <cellStyle name="_알티를 위한  견적서" xfId="35" xr:uid="{00000000-0005-0000-0000-000009090000}"/>
    <cellStyle name="_암검진지원센터 정보시스템 통신케이블공사 견적(대신정보기술)" xfId="2368" xr:uid="{00000000-0005-0000-0000-00000A090000}"/>
    <cellStyle name="_애니모스 (3)" xfId="4190" xr:uid="{00000000-0005-0000-0000-00000B090000}"/>
    <cellStyle name="_액션테크-09-0825(DL360G6)" xfId="4091" xr:uid="{00000000-0005-0000-0000-00000C090000}"/>
    <cellStyle name="_앤션테크-08-1021(DL320G5p)" xfId="4092" xr:uid="{00000000-0005-0000-0000-00000D090000}"/>
    <cellStyle name="_양평군청(050819)_xw4200_원가" xfId="2369" xr:uid="{00000000-0005-0000-0000-00000E090000}"/>
    <cellStyle name="_업무기능도(서울고속)" xfId="2370" xr:uid="{00000000-0005-0000-0000-00000F090000}"/>
    <cellStyle name="_업무인수인계서_장수형" xfId="147" xr:uid="{00000000-0005-0000-0000-000010090000}"/>
    <cellStyle name="_에니모스-040419-280-발송용" xfId="4191" xr:uid="{00000000-0005-0000-0000-000011090000}"/>
    <cellStyle name="_에니모스-040707-480-210-T3-Rack-발송용" xfId="4192" xr:uid="{00000000-0005-0000-0000-000012090000}"/>
    <cellStyle name="_에니모스-040719-150-발송용" xfId="4193" xr:uid="{00000000-0005-0000-0000-000013090000}"/>
    <cellStyle name="_에어시큐어네트웍스(인감)(1)" xfId="2371" xr:uid="{00000000-0005-0000-0000-000014090000}"/>
    <cellStyle name="_에이씨에스-08-1013(X3250M2)" xfId="4093" xr:uid="{00000000-0005-0000-0000-000015090000}"/>
    <cellStyle name="_에이치비이피-08-0807(X3650)" xfId="4094" xr:uid="{00000000-0005-0000-0000-000016090000}"/>
    <cellStyle name="_여천NCC유지보수 견적서_(대림아이엔에스)_051108" xfId="148" xr:uid="{00000000-0005-0000-0000-000017090000}"/>
    <cellStyle name="_연도별 장비소요예산" xfId="2372" xr:uid="{00000000-0005-0000-0000-000018090000}"/>
    <cellStyle name="_연도별 장비소요예산_v2" xfId="2373" xr:uid="{00000000-0005-0000-0000-000019090000}"/>
    <cellStyle name="_영림원020627(X250)-홍승린" xfId="36" xr:uid="{00000000-0005-0000-0000-00001A090000}"/>
    <cellStyle name="_영림원0412233" xfId="37" xr:uid="{00000000-0005-0000-0000-00001B090000}"/>
    <cellStyle name="_영림원견적서(Std0211)" xfId="149" xr:uid="{00000000-0005-0000-0000-00001C090000}"/>
    <cellStyle name="_영우디지탈_460 Autoloader_050829_임철형" xfId="2374" xr:uid="{00000000-0005-0000-0000-00001D090000}"/>
    <cellStyle name="_영우에스엔엔-09-1009(DL380G6)" xfId="4095" xr:uid="{00000000-0005-0000-0000-00001E090000}"/>
    <cellStyle name="_영진전문대(견적서)" xfId="2375" xr:uid="{00000000-0005-0000-0000-00001F090000}"/>
    <cellStyle name="_예스테크놀로지" xfId="4194" xr:uid="{00000000-0005-0000-0000-000020090000}"/>
    <cellStyle name="_온넷견적서" xfId="2376" xr:uid="{00000000-0005-0000-0000-000021090000}"/>
    <cellStyle name="_온더아이티_20050125" xfId="2377" xr:uid="{00000000-0005-0000-0000-000022090000}"/>
    <cellStyle name="_온더아이티_BS 서버견적" xfId="150" xr:uid="{00000000-0005-0000-0000-000023090000}"/>
    <cellStyle name="_온더아이티-LG마이크론(x345 356)0426" xfId="151" xr:uid="{00000000-0005-0000-0000-000024090000}"/>
    <cellStyle name="_옵션사 인수자료" xfId="2378" xr:uid="{00000000-0005-0000-0000-000025090000}"/>
    <cellStyle name="_와치텍-08-0926(DL380G5)" xfId="4096" xr:uid="{00000000-0005-0000-0000-000026090000}"/>
    <cellStyle name="_외교통상정보화 4단계 구축_2.0_장비" xfId="2379" xr:uid="{00000000-0005-0000-0000-000027090000}"/>
    <cellStyle name="_요약" xfId="2380" xr:uid="{00000000-0005-0000-0000-000028090000}"/>
    <cellStyle name="_우리은행 영업점 개선방안(라우터,음성,VPN)" xfId="4229" xr:uid="{00000000-0005-0000-0000-000029090000}"/>
    <cellStyle name="_우리은행_견적내역" xfId="4230" xr:uid="{00000000-0005-0000-0000-00002A090000}"/>
    <cellStyle name="_울산대병원 견적서 ( Hansol ) 0630" xfId="2381" xr:uid="{00000000-0005-0000-0000-00002B090000}"/>
    <cellStyle name="_울산시총괄안-20030509v1" xfId="2382" xr:uid="{00000000-0005-0000-0000-00002C090000}"/>
    <cellStyle name="_웹기반 수치지도 활용시스템 도입 설계서_1.1" xfId="2383" xr:uid="{00000000-0005-0000-0000-00002D090000}"/>
    <cellStyle name="_웹기반 수치지도 활용시스템 도입 설계서_2.0" xfId="2384" xr:uid="{00000000-0005-0000-0000-00002E090000}"/>
    <cellStyle name="_위더스 수영자료관 NetVault  04-1117" xfId="2385" xr:uid="{00000000-0005-0000-0000-00002F090000}"/>
    <cellStyle name="_유니퀘스트-09-0710(X3650M2)" xfId="4097" xr:uid="{00000000-0005-0000-0000-000030090000}"/>
    <cellStyle name="_유지보수" xfId="2386" xr:uid="{00000000-0005-0000-0000-000031090000}"/>
    <cellStyle name="_육군정보화발주서" xfId="2387" xr:uid="{00000000-0005-0000-0000-000032090000}"/>
    <cellStyle name="_의정부  상하수도 설계내역서_1.2" xfId="2388" xr:uid="{00000000-0005-0000-0000-000033090000}"/>
    <cellStyle name="_이담지리지 보완확장사업 설계내역서_1.1" xfId="2389" xr:uid="{00000000-0005-0000-0000-000034090000}"/>
    <cellStyle name="_이음솔루션-09-0713(DL380G6)" xfId="4098" xr:uid="{00000000-0005-0000-0000-000035090000}"/>
    <cellStyle name="_이지임시견적_V1" xfId="2390" xr:uid="{00000000-0005-0000-0000-000036090000}"/>
    <cellStyle name="_이지컴-09-0218(SC5400brp)" xfId="4099" xr:uid="{00000000-0005-0000-0000-000037090000}"/>
    <cellStyle name="_이지컴-09-0227(SR2500,SC5400)" xfId="4100" xr:uid="{00000000-0005-0000-0000-000038090000}"/>
    <cellStyle name="_이호스트데이터센터(見積書) (4)" xfId="4195" xr:uid="{00000000-0005-0000-0000-000039090000}"/>
    <cellStyle name="_인천남동구청(050520)_xw4200_원가" xfId="2391" xr:uid="{00000000-0005-0000-0000-00003A090000}"/>
    <cellStyle name="_인크라물량0923" xfId="4231" xr:uid="{00000000-0005-0000-0000-00003B090000}"/>
    <cellStyle name="_인트라코아-08-1002(DL360G5,DL580G5)" xfId="4101" xr:uid="{00000000-0005-0000-0000-00003C090000}"/>
    <cellStyle name="_인포웹" xfId="4196" xr:uid="{00000000-0005-0000-0000-00003D090000}"/>
    <cellStyle name="_일옥빌딩네트워크견적최종견적서" xfId="38" xr:uid="{00000000-0005-0000-0000-00003E090000}"/>
    <cellStyle name="_장비&amp;통합배선(유선03)" xfId="39" xr:uid="{00000000-0005-0000-0000-00003F090000}"/>
    <cellStyle name="_장비&amp;통합배선(유선03)_조선무약_견적서(20070702)" xfId="2392" xr:uid="{00000000-0005-0000-0000-000040090000}"/>
    <cellStyle name="_장비&amp;통합배선(유선03)_진영산업_견적서_ver1" xfId="2393" xr:uid="{00000000-0005-0000-0000-000041090000}"/>
    <cellStyle name="_장비유지보수대상LIST_080225 (2)" xfId="2394" xr:uid="{00000000-0005-0000-0000-000042090000}"/>
    <cellStyle name="_장현중(내역서+개요)" xfId="2395" xr:uid="{00000000-0005-0000-0000-000043090000}"/>
    <cellStyle name="_전기단가산출서" xfId="2396" xr:uid="{00000000-0005-0000-0000-000044090000}"/>
    <cellStyle name="_전기수량및단가산출서" xfId="2397" xr:uid="{00000000-0005-0000-0000-000045090000}"/>
    <cellStyle name="_전기수량및단가산출서_0607" xfId="2398" xr:uid="{00000000-0005-0000-0000-000046090000}"/>
    <cellStyle name="_전기수량및단가산출서_0714" xfId="2399" xr:uid="{00000000-0005-0000-0000-000047090000}"/>
    <cellStyle name="_전화교환기(PABX) List_20060328" xfId="2400" xr:uid="{00000000-0005-0000-0000-000048090000}"/>
    <cellStyle name="_정비사업소 CISCO Products 설치비(040923_조명구)" xfId="2401" xr:uid="{00000000-0005-0000-0000-000049090000}"/>
    <cellStyle name="_정원-구태열과장님(10-07일 시스템외)" xfId="2402" xr:uid="{00000000-0005-0000-0000-00004A090000}"/>
    <cellStyle name="_제안견적서" xfId="152" xr:uid="{00000000-0005-0000-0000-00004B090000}"/>
    <cellStyle name="_제일은행하계근무복" xfId="2403" xr:uid="{00000000-0005-0000-0000-00004C090000}"/>
    <cellStyle name="_제주한라병원_한국HP_021704(편집)" xfId="2404" xr:uid="{00000000-0005-0000-0000-00004D090000}"/>
    <cellStyle name="_주간보고(1팀)_060713(1)" xfId="2405" xr:uid="{00000000-0005-0000-0000-00004E090000}"/>
    <cellStyle name="_주간보고정리(SI4부)" xfId="2406" xr:uid="{00000000-0005-0000-0000-00004F090000}"/>
    <cellStyle name="_주간보고정리(SI8 060707)_SI8일부" xfId="2407" xr:uid="{00000000-0005-0000-0000-000050090000}"/>
    <cellStyle name="_㈜넥스템 가격 제안_20060306(K-System)" xfId="153" xr:uid="{00000000-0005-0000-0000-000051090000}"/>
    <cellStyle name="_주보(공공3팀)-0706" xfId="2408" xr:uid="{00000000-0005-0000-0000-000052090000}"/>
    <cellStyle name="_주보(공공3팀)-0713" xfId="2409" xr:uid="{00000000-0005-0000-0000-000053090000}"/>
    <cellStyle name="_주식회사 나래시스템(국립암센타070116)" xfId="2410" xr:uid="{00000000-0005-0000-0000-000054090000}"/>
    <cellStyle name="_지하시설물통합및굴착복구관리 설계내역서_1.1" xfId="2411" xr:uid="{00000000-0005-0000-0000-000055090000}"/>
    <cellStyle name="_창원-5월 부서장 보고(6월 추가)" xfId="2412" xr:uid="{00000000-0005-0000-0000-000056090000}"/>
    <cellStyle name="_창원견적-20050223" xfId="2413" xr:uid="{00000000-0005-0000-0000-000057090000}"/>
    <cellStyle name="_창원지사 12월 이사회 보고(종합)" xfId="2414" xr:uid="{00000000-0005-0000-0000-000058090000}"/>
    <cellStyle name="_창원지사 미 보고 자료" xfId="2415" xr:uid="{00000000-0005-0000-0000-000059090000}"/>
    <cellStyle name="_창원지사 재고 현황(1118)" xfId="2416" xr:uid="{00000000-0005-0000-0000-00005A090000}"/>
    <cellStyle name="_철-정원엔시스템-MC-8200U-04-04-27-자료관용-이성래과장님" xfId="2417" xr:uid="{00000000-0005-0000-0000-00005B090000}"/>
    <cellStyle name="_철-정원엔시스템-MC-8200U-04-08-12- 자료관용-이성래차장님" xfId="2418" xr:uid="{00000000-0005-0000-0000-00005C090000}"/>
    <cellStyle name="_철-정원엔시스템-Netvault-2003-09-29-창원" xfId="2419" xr:uid="{00000000-0005-0000-0000-00005D090000}"/>
    <cellStyle name="_철-정원엔시스템-Netvault-2003-11-23-진해시청및 함안군청건" xfId="2420" xr:uid="{00000000-0005-0000-0000-00005E090000}"/>
    <cellStyle name="_철-정원엔시스템-RLS-8236-Netvault-2003-12-05-사천시청건-류홍주과장님" xfId="2421" xr:uid="{00000000-0005-0000-0000-00005F090000}"/>
    <cellStyle name="_철-정원엔시스템-RLS-8236-Netvault-2004-01-08-의령군청건-류홍주과장님-최종분" xfId="2422" xr:uid="{00000000-0005-0000-0000-000060090000}"/>
    <cellStyle name="_철-정원엔시스템-RLS-8236-Netvault-2004-04-01-함양군청건-류홍주과장님-1" xfId="2423" xr:uid="{00000000-0005-0000-0000-000061090000}"/>
    <cellStyle name="_춘천전화국증축통신+개요" xfId="2424" xr:uid="{00000000-0005-0000-0000-000062090000}"/>
    <cellStyle name="_춘천합동내역+개요(수정한최종)" xfId="2425" xr:uid="{00000000-0005-0000-0000-000063090000}"/>
    <cellStyle name="_충남대병원_이지케어텍_021604" xfId="2426" xr:uid="{00000000-0005-0000-0000-000064090000}"/>
    <cellStyle name="_코다씨앤씨-09-0730(DL360G5,DL360G6)" xfId="4102" xr:uid="{00000000-0005-0000-0000-000065090000}"/>
    <cellStyle name="_코다씨앤씨-09-0730(DL360G6)" xfId="4103" xr:uid="{00000000-0005-0000-0000-000066090000}"/>
    <cellStyle name="_코리아링크" xfId="2427" xr:uid="{00000000-0005-0000-0000-000067090000}"/>
    <cellStyle name="_코비젼_국민은행@200401015_V0.4" xfId="2428" xr:uid="{00000000-0005-0000-0000-000068090000}"/>
    <cellStyle name="_코스모스씨앤티(손익계산서,제조원가명세서)" xfId="2429" xr:uid="{00000000-0005-0000-0000-000069090000}"/>
    <cellStyle name="_코어체인지 견적서_YNCC_M&amp;S_060309" xfId="154" xr:uid="{00000000-0005-0000-0000-00006A090000}"/>
    <cellStyle name="_콤텍시스템-황상현(880서버)-0719-1" xfId="4232" xr:uid="{00000000-0005-0000-0000-00006B090000}"/>
    <cellStyle name="_콤텍시스템-황상현(880서버)-0729-1" xfId="4233" xr:uid="{00000000-0005-0000-0000-00006C090000}"/>
    <cellStyle name="_콤텍시스템-황상현(880서버)-0806-1" xfId="4234" xr:uid="{00000000-0005-0000-0000-00006D090000}"/>
    <cellStyle name="_클레임 요청한딜 1018" xfId="2430" xr:uid="{00000000-0005-0000-0000-00006E090000}"/>
    <cellStyle name="_클레임 요청한딜 1018 2" xfId="2431" xr:uid="{00000000-0005-0000-0000-00006F090000}"/>
    <cellStyle name="_클레임 요청한딜 1018 3" xfId="2432" xr:uid="{00000000-0005-0000-0000-000070090000}"/>
    <cellStyle name="_클레임 요청한딜 1018 4" xfId="2433" xr:uid="{00000000-0005-0000-0000-000071090000}"/>
    <cellStyle name="_클레임 요청한딜 1018 5" xfId="2434" xr:uid="{00000000-0005-0000-0000-000072090000}"/>
    <cellStyle name="_클레임 요청한딜 1018 6" xfId="2435" xr:uid="{00000000-0005-0000-0000-000073090000}"/>
    <cellStyle name="_클레임 요청한딜 1018 7" xfId="2436" xr:uid="{00000000-0005-0000-0000-000074090000}"/>
    <cellStyle name="_클레임 요청한딜 1018_0808 FY08Q4 HP Low end server 가격표(WS)" xfId="2437" xr:uid="{00000000-0005-0000-0000-000075090000}"/>
    <cellStyle name="_클레임 요청한딜 1018_0808 FY08Q4 HP Low end server 가격표(WS)_090603_현대산업개발_그룹웨어_dl380g5서버_견적서_(송부2)_iLO" xfId="2438" xr:uid="{00000000-0005-0000-0000-000076090000}"/>
    <cellStyle name="_클레임 요청한딜 1018_0808 FY08Q4 HP Low end server 가격표(WS)_090630_노틸러스효성_DL380G6 DL360G6" xfId="2439" xr:uid="{00000000-0005-0000-0000-000077090000}"/>
    <cellStyle name="_클레임 요청한딜 1018_0808 FY08Q4 HP Low end server 가격표(WS)_공지_2009_5월표준견적서_ilo추가" xfId="2440" xr:uid="{00000000-0005-0000-0000-000078090000}"/>
    <cellStyle name="_클레임 요청한딜 1018_2008_5월 100시리즈 HP Low end server 가격표(WS)v1" xfId="2441" xr:uid="{00000000-0005-0000-0000-000079090000}"/>
    <cellStyle name="_클레임 요청한딜 1018_2008_5월 100시리즈 HP Low end server 가격표(WS)v1_090603_현대산업개발_그룹웨어_dl380g5서버_견적서_(송부2)_iLO" xfId="2442" xr:uid="{00000000-0005-0000-0000-00007A090000}"/>
    <cellStyle name="_클레임 요청한딜 1018_2008_5월 100시리즈 HP Low end server 가격표(WS)v1_090630_노틸러스효성_DL380G6 DL360G6" xfId="2443" xr:uid="{00000000-0005-0000-0000-00007B090000}"/>
    <cellStyle name="_클레임 요청한딜 1018_2008_5월 100시리즈 HP Low end server 가격표(WS)v1_공지_2009_5월표준견적서_ilo추가" xfId="2444" xr:uid="{00000000-0005-0000-0000-00007C090000}"/>
    <cellStyle name="_클레임 요청한딜 1018_Book1" xfId="2445" xr:uid="{00000000-0005-0000-0000-00007D090000}"/>
    <cellStyle name="_클레임 요청한딜 1018_Book1_090603_현대산업개발_그룹웨어_dl380g5서버_견적서_(송부2)_iLO" xfId="2446" xr:uid="{00000000-0005-0000-0000-00007E090000}"/>
    <cellStyle name="_클레임 요청한딜 1018_Book1_090630_노틸러스효성_DL380G6 DL360G6" xfId="2447" xr:uid="{00000000-0005-0000-0000-00007F090000}"/>
    <cellStyle name="_클레임 요청한딜 1018_Book1_공지_2009_5월표준견적서_ilo추가" xfId="2448" xr:uid="{00000000-0005-0000-0000-000080090000}"/>
    <cellStyle name="_클레임 요청한딜 1018_hp-0612" xfId="2449" xr:uid="{00000000-0005-0000-0000-000081090000}"/>
    <cellStyle name="_클레임 요청한딜 1018_hp-0701" xfId="2450" xr:uid="{00000000-0005-0000-0000-000082090000}"/>
    <cellStyle name="_클레임 요청한딜 1018_hp-0702" xfId="2451" xr:uid="{00000000-0005-0000-0000-000083090000}"/>
    <cellStyle name="_클레임 요청한딜 1018_ISS 케어팩_07" xfId="2452" xr:uid="{00000000-0005-0000-0000-000084090000}"/>
    <cellStyle name="_클레임 요청한딜 1018_ISS_FY08_10월가격표_final013xls" xfId="2453" xr:uid="{00000000-0005-0000-0000-000085090000}"/>
    <cellStyle name="_클레임 요청한딜 1018_ISS_FY08_10월가격표_final013xls 2" xfId="2454" xr:uid="{00000000-0005-0000-0000-000086090000}"/>
    <cellStyle name="_클레임 요청한딜 1018_ISS_FY08_10월가격표_final013xls 3" xfId="2455" xr:uid="{00000000-0005-0000-0000-000087090000}"/>
    <cellStyle name="_클레임 요청한딜 1018_ISS_FY08_10월가격표_final013xls 4" xfId="2456" xr:uid="{00000000-0005-0000-0000-000088090000}"/>
    <cellStyle name="_클레임 요청한딜 1018_ISS_FY08_10월가격표_final013xls 5" xfId="2457" xr:uid="{00000000-0005-0000-0000-000089090000}"/>
    <cellStyle name="_클레임 요청한딜 1018_ISS_FY08_10월가격표_final013xls 6" xfId="2458" xr:uid="{00000000-0005-0000-0000-00008A090000}"/>
    <cellStyle name="_클레임 요청한딜 1018_ISS_FY08_10월가격표_final013xls 7" xfId="2459" xr:uid="{00000000-0005-0000-0000-00008B090000}"/>
    <cellStyle name="_클레임 요청한딜 1018_ISS_FY08_8월가격표" xfId="2460" xr:uid="{00000000-0005-0000-0000-00008C090000}"/>
    <cellStyle name="_클레임 요청한딜 1018_ISS_FY08_8월가격표_090603_현대산업개발_그룹웨어_dl380g5서버_견적서_(송부2)_iLO" xfId="2461" xr:uid="{00000000-0005-0000-0000-00008D090000}"/>
    <cellStyle name="_클레임 요청한딜 1018_ISS_FY08_8월가격표_090630_노틸러스효성_DL380G6 DL360G6" xfId="2462" xr:uid="{00000000-0005-0000-0000-00008E090000}"/>
    <cellStyle name="_클레임 요청한딜 1018_ISS_FY08_8월가격표_공지_2009_5월표준견적서_ilo추가" xfId="2463" xr:uid="{00000000-0005-0000-0000-00008F090000}"/>
    <cellStyle name="_클레임 요청한딜 1018_화이트박스-09-0430(SZ일체형)" xfId="4104" xr:uid="{00000000-0005-0000-0000-000090090000}"/>
    <cellStyle name="_타사견적5" xfId="2464" xr:uid="{00000000-0005-0000-0000-000091090000}"/>
    <cellStyle name="_테라테크" xfId="4197" xr:uid="{00000000-0005-0000-0000-000092090000}"/>
    <cellStyle name="_통신수량및단가산출서_0523" xfId="2465" xr:uid="{00000000-0005-0000-0000-000093090000}"/>
    <cellStyle name="_통합산출(장비공사)0802" xfId="40" xr:uid="{00000000-0005-0000-0000-000094090000}"/>
    <cellStyle name="_파주 GIS 시스템설계서(도로,상,하수 시스템)_050406" xfId="2466" xr:uid="{00000000-0005-0000-0000-000095090000}"/>
    <cellStyle name="_파주시_도로 및 상,하수 범용 도입_050314" xfId="2467" xr:uid="{00000000-0005-0000-0000-000096090000}"/>
    <cellStyle name="_파주시청(050928)_xw4300_원가" xfId="2468" xr:uid="{00000000-0005-0000-0000-000097090000}"/>
    <cellStyle name="_파주시청(051021)_xw4300_원가" xfId="2469" xr:uid="{00000000-0005-0000-0000-000098090000}"/>
    <cellStyle name="_퓨쳐시스템_신원정보기술견적040219" xfId="2470" xr:uid="{00000000-0005-0000-0000-000099090000}"/>
    <cellStyle name="_피플스튜디오-09-0106(LG PC)" xfId="4105" xr:uid="{00000000-0005-0000-0000-00009A090000}"/>
    <cellStyle name="_피플스튜디오-09-1027(DL320G6,DL160G6)" xfId="4106" xr:uid="{00000000-0005-0000-0000-00009B090000}"/>
    <cellStyle name="_하이트맥주-050314-DL760" xfId="2471" xr:uid="{00000000-0005-0000-0000-00009C090000}"/>
    <cellStyle name="_한겨례커뮤니케이션-030827-방화벽" xfId="4107" xr:uid="{00000000-0005-0000-0000-00009D090000}"/>
    <cellStyle name="_한국수자원기술_NAS Storage 제안_06.11.7" xfId="4108" xr:uid="{00000000-0005-0000-0000-00009E090000}"/>
    <cellStyle name="_한단정보_영림원견적서(20060906)" xfId="155" xr:uid="{00000000-0005-0000-0000-00009F090000}"/>
    <cellStyle name="_한독-CMS-DL580DL380 (2)" xfId="4109" xr:uid="{00000000-0005-0000-0000-0000A0090000}"/>
    <cellStyle name="_한미정보기술" xfId="4198" xr:uid="{00000000-0005-0000-0000-0000A1090000}"/>
    <cellStyle name="_행정공제회 DR구성-SUN" xfId="2472" xr:uid="{00000000-0005-0000-0000-0000A2090000}"/>
    <cellStyle name="_행정중심복합도시 정부청사건립 공간계획 및 설계지침 작성용역_ver3.0_last" xfId="2473" xr:uid="{00000000-0005-0000-0000-0000A3090000}"/>
    <cellStyle name="_현대정보기술-030612-eCrux5000" xfId="4110" xr:uid="{00000000-0005-0000-0000-0000A4090000}"/>
    <cellStyle name="_현장설비(1.VDS)-0411" xfId="2474" xr:uid="{00000000-0005-0000-0000-0000A5090000}"/>
    <cellStyle name="_호남석유 LIMS-LAS견적서(여수공장-LDCC-050624)" xfId="2475" xr:uid="{00000000-0005-0000-0000-0000A6090000}"/>
    <cellStyle name="_호남석유화학(Backup구성)(040712)(1)" xfId="2476" xr:uid="{00000000-0005-0000-0000-0000A7090000}"/>
    <cellStyle name="_화성 동탄 U-City DB견적서_토지공사_HIST_최종본" xfId="2477" xr:uid="{00000000-0005-0000-0000-0000A8090000}"/>
    <cellStyle name="_화성시청(040728)_xw6000_원가" xfId="2478" xr:uid="{00000000-0005-0000-0000-0000A9090000}"/>
    <cellStyle name="_화이트박스-09-0430(SZ일체형)" xfId="4111" xr:uid="{00000000-0005-0000-0000-0000AA090000}"/>
    <cellStyle name="_회선 List 견적용" xfId="2479" xr:uid="{00000000-0005-0000-0000-0000AB090000}"/>
    <cellStyle name="_효성인포메이션시스템(노동연구원 AMS500 " xfId="2480" xr:uid="{00000000-0005-0000-0000-0000AC090000}"/>
    <cellStyle name="_휴엔에스-09-0821(DL360G6,DL380G6)" xfId="4112" xr:uid="{00000000-0005-0000-0000-0000AD090000}"/>
    <cellStyle name="_흙막이공사(일위)" xfId="2481" xr:uid="{00000000-0005-0000-0000-0000AE090000}"/>
    <cellStyle name="’E‰Y [0.00]_laroux" xfId="2482" xr:uid="{00000000-0005-0000-0000-0000AF090000}"/>
    <cellStyle name="’E‰Y_laroux" xfId="2483" xr:uid="{00000000-0005-0000-0000-0000B0090000}"/>
    <cellStyle name="¤@?e_TEST-1 " xfId="2484" xr:uid="{00000000-0005-0000-0000-0000B1090000}"/>
    <cellStyle name="=C:\WINNT\SYSTEM32\COMMAND.COM" xfId="2485" xr:uid="{00000000-0005-0000-0000-0000B2090000}"/>
    <cellStyle name="=C:\WINNT\SYSTEM32\COMMAND.COM 2" xfId="2486" xr:uid="{00000000-0005-0000-0000-0000B3090000}"/>
    <cellStyle name="" xfId="2487" xr:uid="{00000000-0005-0000-0000-0000B4090000}"/>
    <cellStyle name="0 decimals" xfId="2488" xr:uid="{00000000-0005-0000-0000-0000B5090000}"/>
    <cellStyle name="0%" xfId="2489" xr:uid="{00000000-0005-0000-0000-0000B6090000}"/>
    <cellStyle name="0,0_x000d__x000a_NA_x000d__x000a_" xfId="156" xr:uid="{00000000-0005-0000-0000-0000B7090000}"/>
    <cellStyle name="0,0_x000d__x000a_NA_x000d__x000a_ 2" xfId="4235" xr:uid="{00000000-0005-0000-0000-0000B8090000}"/>
    <cellStyle name="0.0" xfId="157" xr:uid="{00000000-0005-0000-0000-0000B9090000}"/>
    <cellStyle name="0.0%" xfId="2490" xr:uid="{00000000-0005-0000-0000-0000BA090000}"/>
    <cellStyle name="0.00" xfId="158" xr:uid="{00000000-0005-0000-0000-0000BB090000}"/>
    <cellStyle name="0.00%" xfId="2491" xr:uid="{00000000-0005-0000-0000-0000BC090000}"/>
    <cellStyle name="0.000%" xfId="2492" xr:uid="{00000000-0005-0000-0000-0000BD090000}"/>
    <cellStyle name="0.0000%" xfId="2493" xr:uid="{00000000-0005-0000-0000-0000BE090000}"/>
    <cellStyle name="¾E°CE¸°e¹yAI" xfId="2494" xr:uid="{00000000-0005-0000-0000-0000BF090000}"/>
    <cellStyle name="¾È°ÇÈ¸°è¹ýÀÎ" xfId="2495" xr:uid="{00000000-0005-0000-0000-0000C0090000}"/>
    <cellStyle name="1000s (0)" xfId="2496" xr:uid="{00000000-0005-0000-0000-0000C1090000}"/>
    <cellStyle name="19990216" xfId="2497" xr:uid="{00000000-0005-0000-0000-0000C2090000}"/>
    <cellStyle name="1월" xfId="2498" xr:uid="{00000000-0005-0000-0000-0000C3090000}"/>
    <cellStyle name="2 decimals" xfId="2499" xr:uid="{00000000-0005-0000-0000-0000C4090000}"/>
    <cellStyle name="20% - Accent1" xfId="2500" xr:uid="{00000000-0005-0000-0000-0000C5090000}"/>
    <cellStyle name="20% - Accent1 2" xfId="4236" xr:uid="{00000000-0005-0000-0000-0000C6090000}"/>
    <cellStyle name="20% - Accent2" xfId="2501" xr:uid="{00000000-0005-0000-0000-0000C7090000}"/>
    <cellStyle name="20% - Accent2 2" xfId="4237" xr:uid="{00000000-0005-0000-0000-0000C8090000}"/>
    <cellStyle name="20% - Accent3" xfId="2502" xr:uid="{00000000-0005-0000-0000-0000C9090000}"/>
    <cellStyle name="20% - Accent3 2" xfId="4238" xr:uid="{00000000-0005-0000-0000-0000CA090000}"/>
    <cellStyle name="20% - Accent4" xfId="2503" xr:uid="{00000000-0005-0000-0000-0000CB090000}"/>
    <cellStyle name="20% - Accent4 2" xfId="4239" xr:uid="{00000000-0005-0000-0000-0000CC090000}"/>
    <cellStyle name="20% - Accent5" xfId="2504" xr:uid="{00000000-0005-0000-0000-0000CD090000}"/>
    <cellStyle name="20% - Accent5 2" xfId="4240" xr:uid="{00000000-0005-0000-0000-0000CE090000}"/>
    <cellStyle name="20% - Accent6" xfId="2505" xr:uid="{00000000-0005-0000-0000-0000CF090000}"/>
    <cellStyle name="20% - Accent6 2" xfId="4241" xr:uid="{00000000-0005-0000-0000-0000D0090000}"/>
    <cellStyle name="20% - 강조색1 2" xfId="2506" xr:uid="{00000000-0005-0000-0000-0000D1090000}"/>
    <cellStyle name="20% - 강조색1 2 2" xfId="2507" xr:uid="{00000000-0005-0000-0000-0000D2090000}"/>
    <cellStyle name="20% - 강조색1 2 3" xfId="2508" xr:uid="{00000000-0005-0000-0000-0000D3090000}"/>
    <cellStyle name="20% - 강조색1 2_Q사업1부3팀_2월 MR" xfId="2509" xr:uid="{00000000-0005-0000-0000-0000D4090000}"/>
    <cellStyle name="20% - 강조색1 3" xfId="2510" xr:uid="{00000000-0005-0000-0000-0000D5090000}"/>
    <cellStyle name="20% - 강조색1 3 2" xfId="2511" xr:uid="{00000000-0005-0000-0000-0000D6090000}"/>
    <cellStyle name="20% - 강조색1 3 3" xfId="2512" xr:uid="{00000000-0005-0000-0000-0000D7090000}"/>
    <cellStyle name="20% - 강조색1 3_Q사업1부3팀_2월 MR" xfId="2513" xr:uid="{00000000-0005-0000-0000-0000D8090000}"/>
    <cellStyle name="20% - 강조색2 2" xfId="2514" xr:uid="{00000000-0005-0000-0000-0000D9090000}"/>
    <cellStyle name="20% - 강조색2 2 2" xfId="2515" xr:uid="{00000000-0005-0000-0000-0000DA090000}"/>
    <cellStyle name="20% - 강조색2 2 3" xfId="2516" xr:uid="{00000000-0005-0000-0000-0000DB090000}"/>
    <cellStyle name="20% - 강조색2 2_Q사업1부3팀_2월 MR" xfId="2517" xr:uid="{00000000-0005-0000-0000-0000DC090000}"/>
    <cellStyle name="20% - 강조색2 3" xfId="2518" xr:uid="{00000000-0005-0000-0000-0000DD090000}"/>
    <cellStyle name="20% - 강조색2 3 2" xfId="2519" xr:uid="{00000000-0005-0000-0000-0000DE090000}"/>
    <cellStyle name="20% - 강조색2 3 3" xfId="2520" xr:uid="{00000000-0005-0000-0000-0000DF090000}"/>
    <cellStyle name="20% - 강조색2 3_Q사업1부3팀_2월 MR" xfId="2521" xr:uid="{00000000-0005-0000-0000-0000E0090000}"/>
    <cellStyle name="20% - 강조색3 2" xfId="2522" xr:uid="{00000000-0005-0000-0000-0000E1090000}"/>
    <cellStyle name="20% - 강조색3 2 2" xfId="2523" xr:uid="{00000000-0005-0000-0000-0000E2090000}"/>
    <cellStyle name="20% - 강조색3 2 3" xfId="2524" xr:uid="{00000000-0005-0000-0000-0000E3090000}"/>
    <cellStyle name="20% - 강조색3 2_Q사업1부3팀_2월 MR" xfId="2525" xr:uid="{00000000-0005-0000-0000-0000E4090000}"/>
    <cellStyle name="20% - 강조색3 3" xfId="2526" xr:uid="{00000000-0005-0000-0000-0000E5090000}"/>
    <cellStyle name="20% - 강조색3 3 2" xfId="2527" xr:uid="{00000000-0005-0000-0000-0000E6090000}"/>
    <cellStyle name="20% - 강조색3 3 3" xfId="2528" xr:uid="{00000000-0005-0000-0000-0000E7090000}"/>
    <cellStyle name="20% - 강조색3 3_Q사업1부3팀_2월 MR" xfId="2529" xr:uid="{00000000-0005-0000-0000-0000E8090000}"/>
    <cellStyle name="20% - 강조색4 2" xfId="2530" xr:uid="{00000000-0005-0000-0000-0000E9090000}"/>
    <cellStyle name="20% - 강조색4 2 2" xfId="2531" xr:uid="{00000000-0005-0000-0000-0000EA090000}"/>
    <cellStyle name="20% - 강조색4 2 3" xfId="2532" xr:uid="{00000000-0005-0000-0000-0000EB090000}"/>
    <cellStyle name="20% - 강조색4 2_Q사업1부3팀_2월 MR" xfId="2533" xr:uid="{00000000-0005-0000-0000-0000EC090000}"/>
    <cellStyle name="20% - 강조색4 3" xfId="2534" xr:uid="{00000000-0005-0000-0000-0000ED090000}"/>
    <cellStyle name="20% - 강조색4 3 2" xfId="2535" xr:uid="{00000000-0005-0000-0000-0000EE090000}"/>
    <cellStyle name="20% - 강조색4 3 3" xfId="2536" xr:uid="{00000000-0005-0000-0000-0000EF090000}"/>
    <cellStyle name="20% - 강조색4 3_Q사업1부3팀_2월 MR" xfId="2537" xr:uid="{00000000-0005-0000-0000-0000F0090000}"/>
    <cellStyle name="20% - 강조색5 2" xfId="2538" xr:uid="{00000000-0005-0000-0000-0000F1090000}"/>
    <cellStyle name="20% - 강조색5 2 2" xfId="2539" xr:uid="{00000000-0005-0000-0000-0000F2090000}"/>
    <cellStyle name="20% - 강조색5 2 3" xfId="2540" xr:uid="{00000000-0005-0000-0000-0000F3090000}"/>
    <cellStyle name="20% - 강조색5 2_Q사업1부3팀_2월 MR" xfId="2541" xr:uid="{00000000-0005-0000-0000-0000F4090000}"/>
    <cellStyle name="20% - 강조색5 3" xfId="2542" xr:uid="{00000000-0005-0000-0000-0000F5090000}"/>
    <cellStyle name="20% - 강조색5 3 2" xfId="2543" xr:uid="{00000000-0005-0000-0000-0000F6090000}"/>
    <cellStyle name="20% - 강조색5 3 3" xfId="2544" xr:uid="{00000000-0005-0000-0000-0000F7090000}"/>
    <cellStyle name="20% - 강조색5 3_Q사업1부3팀_2월 MR" xfId="2545" xr:uid="{00000000-0005-0000-0000-0000F8090000}"/>
    <cellStyle name="20% - 강조색6 2" xfId="2546" xr:uid="{00000000-0005-0000-0000-0000F9090000}"/>
    <cellStyle name="20% - 강조색6 2 2" xfId="2547" xr:uid="{00000000-0005-0000-0000-0000FA090000}"/>
    <cellStyle name="20% - 강조색6 2 3" xfId="2548" xr:uid="{00000000-0005-0000-0000-0000FB090000}"/>
    <cellStyle name="20% - 강조색6 2_Q사업1부3팀_2월 MR" xfId="2549" xr:uid="{00000000-0005-0000-0000-0000FC090000}"/>
    <cellStyle name="20% - 강조색6 3" xfId="2550" xr:uid="{00000000-0005-0000-0000-0000FD090000}"/>
    <cellStyle name="20% - 강조색6 3 2" xfId="2551" xr:uid="{00000000-0005-0000-0000-0000FE090000}"/>
    <cellStyle name="20% - 강조색6 3 3" xfId="2552" xr:uid="{00000000-0005-0000-0000-0000FF090000}"/>
    <cellStyle name="20% - 강조색6 3_Q사업1부3팀_2월 MR" xfId="2553" xr:uid="{00000000-0005-0000-0000-0000000A0000}"/>
    <cellStyle name="3D-Effect" xfId="2554" xr:uid="{00000000-0005-0000-0000-0000010A0000}"/>
    <cellStyle name="3D-Effect 2" xfId="4242" xr:uid="{00000000-0005-0000-0000-0000020A0000}"/>
    <cellStyle name="4 decimals" xfId="2555" xr:uid="{00000000-0005-0000-0000-0000030A0000}"/>
    <cellStyle name="40% - Accent1" xfId="2556" xr:uid="{00000000-0005-0000-0000-0000040A0000}"/>
    <cellStyle name="40% - Accent1 2" xfId="4243" xr:uid="{00000000-0005-0000-0000-0000050A0000}"/>
    <cellStyle name="40% - Accent2" xfId="2557" xr:uid="{00000000-0005-0000-0000-0000060A0000}"/>
    <cellStyle name="40% - Accent2 2" xfId="4244" xr:uid="{00000000-0005-0000-0000-0000070A0000}"/>
    <cellStyle name="40% - Accent3" xfId="2558" xr:uid="{00000000-0005-0000-0000-0000080A0000}"/>
    <cellStyle name="40% - Accent3 2" xfId="4245" xr:uid="{00000000-0005-0000-0000-0000090A0000}"/>
    <cellStyle name="40% - Accent4" xfId="2559" xr:uid="{00000000-0005-0000-0000-00000A0A0000}"/>
    <cellStyle name="40% - Accent4 2" xfId="4246" xr:uid="{00000000-0005-0000-0000-00000B0A0000}"/>
    <cellStyle name="40% - Accent5" xfId="2560" xr:uid="{00000000-0005-0000-0000-00000C0A0000}"/>
    <cellStyle name="40% - Accent5 2" xfId="4247" xr:uid="{00000000-0005-0000-0000-00000D0A0000}"/>
    <cellStyle name="40% - Accent6" xfId="2561" xr:uid="{00000000-0005-0000-0000-00000E0A0000}"/>
    <cellStyle name="40% - Accent6 2" xfId="4248" xr:uid="{00000000-0005-0000-0000-00000F0A0000}"/>
    <cellStyle name="40% - 강조색1 2" xfId="2562" xr:uid="{00000000-0005-0000-0000-0000100A0000}"/>
    <cellStyle name="40% - 강조색1 2 2" xfId="2563" xr:uid="{00000000-0005-0000-0000-0000110A0000}"/>
    <cellStyle name="40% - 강조색1 2 3" xfId="2564" xr:uid="{00000000-0005-0000-0000-0000120A0000}"/>
    <cellStyle name="40% - 강조색1 2_Q사업1부3팀_2월 MR" xfId="2565" xr:uid="{00000000-0005-0000-0000-0000130A0000}"/>
    <cellStyle name="40% - 강조색1 3" xfId="2566" xr:uid="{00000000-0005-0000-0000-0000140A0000}"/>
    <cellStyle name="40% - 강조색1 3 2" xfId="2567" xr:uid="{00000000-0005-0000-0000-0000150A0000}"/>
    <cellStyle name="40% - 강조색1 3 3" xfId="2568" xr:uid="{00000000-0005-0000-0000-0000160A0000}"/>
    <cellStyle name="40% - 강조색1 3_Q사업1부3팀_2월 MR" xfId="2569" xr:uid="{00000000-0005-0000-0000-0000170A0000}"/>
    <cellStyle name="40% - 강조색2 2" xfId="2570" xr:uid="{00000000-0005-0000-0000-0000180A0000}"/>
    <cellStyle name="40% - 강조색2 2 2" xfId="2571" xr:uid="{00000000-0005-0000-0000-0000190A0000}"/>
    <cellStyle name="40% - 강조색2 2 3" xfId="2572" xr:uid="{00000000-0005-0000-0000-00001A0A0000}"/>
    <cellStyle name="40% - 강조색2 2_Q사업1부3팀_2월 MR" xfId="2573" xr:uid="{00000000-0005-0000-0000-00001B0A0000}"/>
    <cellStyle name="40% - 강조색2 3" xfId="2574" xr:uid="{00000000-0005-0000-0000-00001C0A0000}"/>
    <cellStyle name="40% - 강조색2 3 2" xfId="2575" xr:uid="{00000000-0005-0000-0000-00001D0A0000}"/>
    <cellStyle name="40% - 강조색2 3 3" xfId="2576" xr:uid="{00000000-0005-0000-0000-00001E0A0000}"/>
    <cellStyle name="40% - 강조색2 3_Q사업1부3팀_2월 MR" xfId="2577" xr:uid="{00000000-0005-0000-0000-00001F0A0000}"/>
    <cellStyle name="40% - 강조색3 2" xfId="2578" xr:uid="{00000000-0005-0000-0000-0000200A0000}"/>
    <cellStyle name="40% - 강조색3 2 2" xfId="2579" xr:uid="{00000000-0005-0000-0000-0000210A0000}"/>
    <cellStyle name="40% - 강조색3 2 3" xfId="2580" xr:uid="{00000000-0005-0000-0000-0000220A0000}"/>
    <cellStyle name="40% - 강조색3 2_Q사업1부3팀_2월 MR" xfId="2581" xr:uid="{00000000-0005-0000-0000-0000230A0000}"/>
    <cellStyle name="40% - 강조색3 3" xfId="2582" xr:uid="{00000000-0005-0000-0000-0000240A0000}"/>
    <cellStyle name="40% - 강조색3 3 2" xfId="2583" xr:uid="{00000000-0005-0000-0000-0000250A0000}"/>
    <cellStyle name="40% - 강조색3 3 3" xfId="2584" xr:uid="{00000000-0005-0000-0000-0000260A0000}"/>
    <cellStyle name="40% - 강조색3 3_Q사업1부3팀_2월 MR" xfId="2585" xr:uid="{00000000-0005-0000-0000-0000270A0000}"/>
    <cellStyle name="40% - 강조색4 2" xfId="2586" xr:uid="{00000000-0005-0000-0000-0000280A0000}"/>
    <cellStyle name="40% - 강조색4 2 2" xfId="2587" xr:uid="{00000000-0005-0000-0000-0000290A0000}"/>
    <cellStyle name="40% - 강조색4 2 3" xfId="2588" xr:uid="{00000000-0005-0000-0000-00002A0A0000}"/>
    <cellStyle name="40% - 강조색4 2_Q사업1부3팀_2월 MR" xfId="2589" xr:uid="{00000000-0005-0000-0000-00002B0A0000}"/>
    <cellStyle name="40% - 강조색4 3" xfId="2590" xr:uid="{00000000-0005-0000-0000-00002C0A0000}"/>
    <cellStyle name="40% - 강조색4 3 2" xfId="2591" xr:uid="{00000000-0005-0000-0000-00002D0A0000}"/>
    <cellStyle name="40% - 강조색4 3 3" xfId="2592" xr:uid="{00000000-0005-0000-0000-00002E0A0000}"/>
    <cellStyle name="40% - 강조색4 3_Q사업1부3팀_2월 MR" xfId="2593" xr:uid="{00000000-0005-0000-0000-00002F0A0000}"/>
    <cellStyle name="40% - 강조색5 2" xfId="2594" xr:uid="{00000000-0005-0000-0000-0000300A0000}"/>
    <cellStyle name="40% - 강조색5 2 2" xfId="2595" xr:uid="{00000000-0005-0000-0000-0000310A0000}"/>
    <cellStyle name="40% - 강조색5 2 3" xfId="2596" xr:uid="{00000000-0005-0000-0000-0000320A0000}"/>
    <cellStyle name="40% - 강조색5 2_Q사업1부3팀_2월 MR" xfId="2597" xr:uid="{00000000-0005-0000-0000-0000330A0000}"/>
    <cellStyle name="40% - 강조색5 3" xfId="2598" xr:uid="{00000000-0005-0000-0000-0000340A0000}"/>
    <cellStyle name="40% - 강조색5 3 2" xfId="2599" xr:uid="{00000000-0005-0000-0000-0000350A0000}"/>
    <cellStyle name="40% - 강조색5 3 3" xfId="2600" xr:uid="{00000000-0005-0000-0000-0000360A0000}"/>
    <cellStyle name="40% - 강조색5 3_Q사업1부3팀_2월 MR" xfId="2601" xr:uid="{00000000-0005-0000-0000-0000370A0000}"/>
    <cellStyle name="40% - 강조색6 2" xfId="2602" xr:uid="{00000000-0005-0000-0000-0000380A0000}"/>
    <cellStyle name="40% - 강조색6 2 2" xfId="2603" xr:uid="{00000000-0005-0000-0000-0000390A0000}"/>
    <cellStyle name="40% - 강조색6 2 3" xfId="2604" xr:uid="{00000000-0005-0000-0000-00003A0A0000}"/>
    <cellStyle name="40% - 강조색6 2_Q사업1부3팀_2월 MR" xfId="2605" xr:uid="{00000000-0005-0000-0000-00003B0A0000}"/>
    <cellStyle name="40% - 강조색6 3" xfId="2606" xr:uid="{00000000-0005-0000-0000-00003C0A0000}"/>
    <cellStyle name="40% - 강조색6 3 2" xfId="2607" xr:uid="{00000000-0005-0000-0000-00003D0A0000}"/>
    <cellStyle name="40% - 강조색6 3 3" xfId="2608" xr:uid="{00000000-0005-0000-0000-00003E0A0000}"/>
    <cellStyle name="40% - 강조색6 3_Q사업1부3팀_2월 MR" xfId="2609" xr:uid="{00000000-0005-0000-0000-00003F0A0000}"/>
    <cellStyle name="60% - Accent1" xfId="2610" xr:uid="{00000000-0005-0000-0000-0000400A0000}"/>
    <cellStyle name="60% - Accent1 2" xfId="4249" xr:uid="{00000000-0005-0000-0000-0000410A0000}"/>
    <cellStyle name="60% - Accent2" xfId="2611" xr:uid="{00000000-0005-0000-0000-0000420A0000}"/>
    <cellStyle name="60% - Accent2 2" xfId="4250" xr:uid="{00000000-0005-0000-0000-0000430A0000}"/>
    <cellStyle name="60% - Accent3" xfId="2612" xr:uid="{00000000-0005-0000-0000-0000440A0000}"/>
    <cellStyle name="60% - Accent3 2" xfId="4251" xr:uid="{00000000-0005-0000-0000-0000450A0000}"/>
    <cellStyle name="60% - Accent4" xfId="2613" xr:uid="{00000000-0005-0000-0000-0000460A0000}"/>
    <cellStyle name="60% - Accent4 2" xfId="4252" xr:uid="{00000000-0005-0000-0000-0000470A0000}"/>
    <cellStyle name="60% - Accent5" xfId="2614" xr:uid="{00000000-0005-0000-0000-0000480A0000}"/>
    <cellStyle name="60% - Accent5 2" xfId="4253" xr:uid="{00000000-0005-0000-0000-0000490A0000}"/>
    <cellStyle name="60% - Accent6" xfId="2615" xr:uid="{00000000-0005-0000-0000-00004A0A0000}"/>
    <cellStyle name="60% - Accent6 2" xfId="4254" xr:uid="{00000000-0005-0000-0000-00004B0A0000}"/>
    <cellStyle name="60% - 강조색1 2" xfId="2616" xr:uid="{00000000-0005-0000-0000-00004C0A0000}"/>
    <cellStyle name="60% - 강조색1 2 2" xfId="2617" xr:uid="{00000000-0005-0000-0000-00004D0A0000}"/>
    <cellStyle name="60% - 강조색1 2 3" xfId="2618" xr:uid="{00000000-0005-0000-0000-00004E0A0000}"/>
    <cellStyle name="60% - 강조색1 3" xfId="2619" xr:uid="{00000000-0005-0000-0000-00004F0A0000}"/>
    <cellStyle name="60% - 강조색1 3 2" xfId="2620" xr:uid="{00000000-0005-0000-0000-0000500A0000}"/>
    <cellStyle name="60% - 강조색1 3 3" xfId="2621" xr:uid="{00000000-0005-0000-0000-0000510A0000}"/>
    <cellStyle name="60% - 강조색2 2" xfId="2622" xr:uid="{00000000-0005-0000-0000-0000520A0000}"/>
    <cellStyle name="60% - 강조색2 2 2" xfId="2623" xr:uid="{00000000-0005-0000-0000-0000530A0000}"/>
    <cellStyle name="60% - 강조색2 2 3" xfId="2624" xr:uid="{00000000-0005-0000-0000-0000540A0000}"/>
    <cellStyle name="60% - 강조색2 3" xfId="2625" xr:uid="{00000000-0005-0000-0000-0000550A0000}"/>
    <cellStyle name="60% - 강조색2 3 2" xfId="2626" xr:uid="{00000000-0005-0000-0000-0000560A0000}"/>
    <cellStyle name="60% - 강조색2 3 3" xfId="2627" xr:uid="{00000000-0005-0000-0000-0000570A0000}"/>
    <cellStyle name="60% - 강조색3 2" xfId="2628" xr:uid="{00000000-0005-0000-0000-0000580A0000}"/>
    <cellStyle name="60% - 강조색3 2 2" xfId="2629" xr:uid="{00000000-0005-0000-0000-0000590A0000}"/>
    <cellStyle name="60% - 강조색3 2 3" xfId="2630" xr:uid="{00000000-0005-0000-0000-00005A0A0000}"/>
    <cellStyle name="60% - 강조색3 3" xfId="2631" xr:uid="{00000000-0005-0000-0000-00005B0A0000}"/>
    <cellStyle name="60% - 강조색3 3 2" xfId="2632" xr:uid="{00000000-0005-0000-0000-00005C0A0000}"/>
    <cellStyle name="60% - 강조색3 3 3" xfId="2633" xr:uid="{00000000-0005-0000-0000-00005D0A0000}"/>
    <cellStyle name="60% - 강조색4 2" xfId="2634" xr:uid="{00000000-0005-0000-0000-00005E0A0000}"/>
    <cellStyle name="60% - 강조색4 2 2" xfId="2635" xr:uid="{00000000-0005-0000-0000-00005F0A0000}"/>
    <cellStyle name="60% - 강조색4 2 3" xfId="2636" xr:uid="{00000000-0005-0000-0000-0000600A0000}"/>
    <cellStyle name="60% - 강조색4 3" xfId="2637" xr:uid="{00000000-0005-0000-0000-0000610A0000}"/>
    <cellStyle name="60% - 강조색4 3 2" xfId="2638" xr:uid="{00000000-0005-0000-0000-0000620A0000}"/>
    <cellStyle name="60% - 강조색4 3 3" xfId="2639" xr:uid="{00000000-0005-0000-0000-0000630A0000}"/>
    <cellStyle name="60% - 강조색5 2" xfId="2640" xr:uid="{00000000-0005-0000-0000-0000640A0000}"/>
    <cellStyle name="60% - 강조색5 2 2" xfId="2641" xr:uid="{00000000-0005-0000-0000-0000650A0000}"/>
    <cellStyle name="60% - 강조색5 2 3" xfId="2642" xr:uid="{00000000-0005-0000-0000-0000660A0000}"/>
    <cellStyle name="60% - 강조색5 3" xfId="2643" xr:uid="{00000000-0005-0000-0000-0000670A0000}"/>
    <cellStyle name="60% - 강조색5 3 2" xfId="2644" xr:uid="{00000000-0005-0000-0000-0000680A0000}"/>
    <cellStyle name="60% - 강조색5 3 3" xfId="2645" xr:uid="{00000000-0005-0000-0000-0000690A0000}"/>
    <cellStyle name="60% - 강조색6 2" xfId="2646" xr:uid="{00000000-0005-0000-0000-00006A0A0000}"/>
    <cellStyle name="60% - 강조색6 2 2" xfId="2647" xr:uid="{00000000-0005-0000-0000-00006B0A0000}"/>
    <cellStyle name="60% - 강조색6 2 3" xfId="2648" xr:uid="{00000000-0005-0000-0000-00006C0A0000}"/>
    <cellStyle name="60% - 강조색6 3" xfId="2649" xr:uid="{00000000-0005-0000-0000-00006D0A0000}"/>
    <cellStyle name="60% - 강조색6 3 2" xfId="2650" xr:uid="{00000000-0005-0000-0000-00006E0A0000}"/>
    <cellStyle name="60% - 강조색6 3 3" xfId="2651" xr:uid="{00000000-0005-0000-0000-00006F0A0000}"/>
    <cellStyle name="_x0014_7." xfId="2652" xr:uid="{00000000-0005-0000-0000-0000700A0000}"/>
    <cellStyle name="80" xfId="41" xr:uid="{00000000-0005-0000-0000-0000710A0000}"/>
    <cellStyle name="８０" xfId="42" xr:uid="{00000000-0005-0000-0000-0000720A0000}"/>
    <cellStyle name="800" xfId="43" xr:uid="{00000000-0005-0000-0000-0000730A0000}"/>
    <cellStyle name="A¨­￠￢￠O [0]_INQUIRY ￠?￥i¨u¡AAⓒ￢Aⓒª " xfId="2653" xr:uid="{00000000-0005-0000-0000-0000740A0000}"/>
    <cellStyle name="A¨­￠￢￠O_INQUIRY ￠?￥i¨u¡AAⓒ￢Aⓒª " xfId="2654" xr:uid="{00000000-0005-0000-0000-0000750A0000}"/>
    <cellStyle name="Accent1" xfId="2655" xr:uid="{00000000-0005-0000-0000-0000760A0000}"/>
    <cellStyle name="Accent1 - 20%" xfId="4255" xr:uid="{00000000-0005-0000-0000-0000770A0000}"/>
    <cellStyle name="Accent1 - 40%" xfId="4256" xr:uid="{00000000-0005-0000-0000-0000780A0000}"/>
    <cellStyle name="Accent1 - 60%" xfId="4257" xr:uid="{00000000-0005-0000-0000-0000790A0000}"/>
    <cellStyle name="Accent1 2" xfId="4258" xr:uid="{00000000-0005-0000-0000-00007A0A0000}"/>
    <cellStyle name="Accent2" xfId="2656" xr:uid="{00000000-0005-0000-0000-00007B0A0000}"/>
    <cellStyle name="Accent2 - 20%" xfId="4259" xr:uid="{00000000-0005-0000-0000-00007C0A0000}"/>
    <cellStyle name="Accent2 - 40%" xfId="4260" xr:uid="{00000000-0005-0000-0000-00007D0A0000}"/>
    <cellStyle name="Accent2 - 60%" xfId="4261" xr:uid="{00000000-0005-0000-0000-00007E0A0000}"/>
    <cellStyle name="Accent2 2" xfId="4262" xr:uid="{00000000-0005-0000-0000-00007F0A0000}"/>
    <cellStyle name="Accent3" xfId="2657" xr:uid="{00000000-0005-0000-0000-0000800A0000}"/>
    <cellStyle name="Accent3 - 20%" xfId="4263" xr:uid="{00000000-0005-0000-0000-0000810A0000}"/>
    <cellStyle name="Accent3 - 40%" xfId="4264" xr:uid="{00000000-0005-0000-0000-0000820A0000}"/>
    <cellStyle name="Accent3 - 60%" xfId="4265" xr:uid="{00000000-0005-0000-0000-0000830A0000}"/>
    <cellStyle name="Accent3 2" xfId="4266" xr:uid="{00000000-0005-0000-0000-0000840A0000}"/>
    <cellStyle name="Accent4" xfId="2658" xr:uid="{00000000-0005-0000-0000-0000850A0000}"/>
    <cellStyle name="Accent4 - 20%" xfId="4267" xr:uid="{00000000-0005-0000-0000-0000860A0000}"/>
    <cellStyle name="Accent4 - 40%" xfId="4268" xr:uid="{00000000-0005-0000-0000-0000870A0000}"/>
    <cellStyle name="Accent4 - 60%" xfId="4269" xr:uid="{00000000-0005-0000-0000-0000880A0000}"/>
    <cellStyle name="Accent4 2" xfId="4270" xr:uid="{00000000-0005-0000-0000-0000890A0000}"/>
    <cellStyle name="Accent5" xfId="2659" xr:uid="{00000000-0005-0000-0000-00008A0A0000}"/>
    <cellStyle name="Accent5 - 20%" xfId="4271" xr:uid="{00000000-0005-0000-0000-00008B0A0000}"/>
    <cellStyle name="Accent5 - 40%" xfId="4272" xr:uid="{00000000-0005-0000-0000-00008C0A0000}"/>
    <cellStyle name="Accent5 - 60%" xfId="4273" xr:uid="{00000000-0005-0000-0000-00008D0A0000}"/>
    <cellStyle name="Accent5 2" xfId="4274" xr:uid="{00000000-0005-0000-0000-00008E0A0000}"/>
    <cellStyle name="Accent6" xfId="2660" xr:uid="{00000000-0005-0000-0000-00008F0A0000}"/>
    <cellStyle name="Accent6 - 20%" xfId="4275" xr:uid="{00000000-0005-0000-0000-0000900A0000}"/>
    <cellStyle name="Accent6 - 40%" xfId="4276" xr:uid="{00000000-0005-0000-0000-0000910A0000}"/>
    <cellStyle name="Accent6 - 60%" xfId="4277" xr:uid="{00000000-0005-0000-0000-0000920A0000}"/>
    <cellStyle name="Accent6 2" xfId="4278" xr:uid="{00000000-0005-0000-0000-0000930A0000}"/>
    <cellStyle name="Actual Date" xfId="2661" xr:uid="{00000000-0005-0000-0000-0000940A0000}"/>
    <cellStyle name="AeE­ [0]_´eAI" xfId="2662" xr:uid="{00000000-0005-0000-0000-0000950A0000}"/>
    <cellStyle name="ÅëÈ­ [0]_¿ùº¸¼ö·á " xfId="2663" xr:uid="{00000000-0005-0000-0000-0000960A0000}"/>
    <cellStyle name="AeE­ [0]_¿uº¸¼o·a _사장본점" xfId="2664" xr:uid="{00000000-0005-0000-0000-0000970A0000}"/>
    <cellStyle name="ÅëÈ­ [0]_¿ùº¸¼ö·á _사장본점" xfId="2665" xr:uid="{00000000-0005-0000-0000-0000980A0000}"/>
    <cellStyle name="AeE­ [0]_±a¼u¿￢¶o¼­ 2 " xfId="4401" xr:uid="{00000000-0005-0000-0000-0000990A0000}"/>
    <cellStyle name="ÅëÈ­ [0]_AMT " xfId="2666" xr:uid="{00000000-0005-0000-0000-00009A0A0000}"/>
    <cellStyle name="AeE­ [0]_AMT _사장본점" xfId="2667" xr:uid="{00000000-0005-0000-0000-00009B0A0000}"/>
    <cellStyle name="ÅëÈ­ [0]_AMT _사장본점" xfId="2668" xr:uid="{00000000-0005-0000-0000-00009C0A0000}"/>
    <cellStyle name="AeE­ [0]_INQUIRY ¿μ¾÷AßAø " xfId="2669" xr:uid="{00000000-0005-0000-0000-00009D0A0000}"/>
    <cellStyle name="ÅëÈ­ [0]_laroux" xfId="2670" xr:uid="{00000000-0005-0000-0000-00009E0A0000}"/>
    <cellStyle name="AeE­_´eAI" xfId="2671" xr:uid="{00000000-0005-0000-0000-00009F0A0000}"/>
    <cellStyle name="ÅëÈ­_¿ùº¸¼ö·á " xfId="2672" xr:uid="{00000000-0005-0000-0000-0000A00A0000}"/>
    <cellStyle name="AeE­_¿uº¸¼o·a _사장본점" xfId="2673" xr:uid="{00000000-0005-0000-0000-0000A10A0000}"/>
    <cellStyle name="ÅëÈ­_¿ùº¸¼ö·á _사장본점" xfId="2674" xr:uid="{00000000-0005-0000-0000-0000A20A0000}"/>
    <cellStyle name="AeE­_±a¼u¿￢¶o¼­ 2 " xfId="4402" xr:uid="{00000000-0005-0000-0000-0000A30A0000}"/>
    <cellStyle name="ÅëÈ­_AMT " xfId="2675" xr:uid="{00000000-0005-0000-0000-0000A40A0000}"/>
    <cellStyle name="AeE­_AMT _사장본점" xfId="2676" xr:uid="{00000000-0005-0000-0000-0000A50A0000}"/>
    <cellStyle name="ÅëÈ­_AMT _사장본점" xfId="2677" xr:uid="{00000000-0005-0000-0000-0000A60A0000}"/>
    <cellStyle name="AeE­_INQUIRY ¿μ¾÷AßAø " xfId="2678" xr:uid="{00000000-0005-0000-0000-0000A70A0000}"/>
    <cellStyle name="ÅëÈ­_laroux" xfId="2679" xr:uid="{00000000-0005-0000-0000-0000A80A0000}"/>
    <cellStyle name="AeE¡ⓒ [0]_INQUIRY ￠?￥i¨u¡AAⓒ￢Aⓒª " xfId="2680" xr:uid="{00000000-0005-0000-0000-0000A90A0000}"/>
    <cellStyle name="AeE¡ⓒ_INQUIRY ￠?￥i¨u¡AAⓒ￢Aⓒª " xfId="2681" xr:uid="{00000000-0005-0000-0000-0000AA0A0000}"/>
    <cellStyle name="ALIGNMENT" xfId="2682" xr:uid="{00000000-0005-0000-0000-0000AB0A0000}"/>
    <cellStyle name="AÞ¸¶ [0]_´eAI" xfId="2683" xr:uid="{00000000-0005-0000-0000-0000AC0A0000}"/>
    <cellStyle name="ÄÞ¸¶ [0]_¿ùº¸¼ö·á " xfId="2684" xr:uid="{00000000-0005-0000-0000-0000AD0A0000}"/>
    <cellStyle name="AÞ¸¶ [0]_¿uº¸¼o·a _사장본점" xfId="2685" xr:uid="{00000000-0005-0000-0000-0000AE0A0000}"/>
    <cellStyle name="ÄÞ¸¶ [0]_¿ùº¸¼ö·á _사장본점" xfId="2686" xr:uid="{00000000-0005-0000-0000-0000AF0A0000}"/>
    <cellStyle name="AÞ¸¶ [0]_±a¼u¿￢¶o¼­ 2 " xfId="4403" xr:uid="{00000000-0005-0000-0000-0000B00A0000}"/>
    <cellStyle name="ÄÞ¸¶ [0]_Çö´ë0124" xfId="2687" xr:uid="{00000000-0005-0000-0000-0000B10A0000}"/>
    <cellStyle name="AÞ¸¶ [0]_INQUIRY ¿μ¾÷AßAø " xfId="2688" xr:uid="{00000000-0005-0000-0000-0000B20A0000}"/>
    <cellStyle name="ÄÞ¸¶ [0]_laroux" xfId="2689" xr:uid="{00000000-0005-0000-0000-0000B30A0000}"/>
    <cellStyle name="AÞ¸¶_´eAI" xfId="2690" xr:uid="{00000000-0005-0000-0000-0000B40A0000}"/>
    <cellStyle name="ÄÞ¸¶_¿ùº¸¼ö·á " xfId="2691" xr:uid="{00000000-0005-0000-0000-0000B50A0000}"/>
    <cellStyle name="AÞ¸¶_¿uº¸¼o·a _사장본점" xfId="2692" xr:uid="{00000000-0005-0000-0000-0000B60A0000}"/>
    <cellStyle name="ÄÞ¸¶_¿ùº¸¼ö·á _사장본점" xfId="2693" xr:uid="{00000000-0005-0000-0000-0000B70A0000}"/>
    <cellStyle name="AÞ¸¶_±a¼u¿￢¶o¼­ 2 " xfId="4404" xr:uid="{00000000-0005-0000-0000-0000B80A0000}"/>
    <cellStyle name="ÄÞ¸¶_Çö´ë0124" xfId="2694" xr:uid="{00000000-0005-0000-0000-0000B90A0000}"/>
    <cellStyle name="AÞ¸¶_INQUIRY ¿μ¾÷AßAø " xfId="2695" xr:uid="{00000000-0005-0000-0000-0000BA0A0000}"/>
    <cellStyle name="ÄÞ¸¶_laroux" xfId="2696" xr:uid="{00000000-0005-0000-0000-0000BB0A0000}"/>
    <cellStyle name="_x0001_b" xfId="2697" xr:uid="{00000000-0005-0000-0000-0000BC0A0000}"/>
    <cellStyle name="_x0001_b 2" xfId="4370" xr:uid="{00000000-0005-0000-0000-0000BD0A0000}"/>
    <cellStyle name="b?þ?b?þ?b?þ?b?þ?b?þ?b?þ?b?þ?b?þ?b?þ?b?þ?b灌þ?b?þ?&lt;?b?þ?b濬þ?b?þ?b?þ昰_x0018_?þ????_x0008_" xfId="2698" xr:uid="{00000000-0005-0000-0000-0000BE0A0000}"/>
    <cellStyle name="b?þ?b?þ?b?þ?b灌þ?b?þ?&lt;?b?þ?b濬þ?b?þ?b?þ昰_x0018_?þ????_x0008_" xfId="2699" xr:uid="{00000000-0005-0000-0000-0000BF0A0000}"/>
    <cellStyle name="b␌þකb濰þඪb瀠þයb灌þ්b炈þ宐&lt;෢b濈þෲb濬þขb瀐þฒb瀰þ昰_x0018_⋸þ㤕䰀ጤܕ_x0008_" xfId="2700" xr:uid="{00000000-0005-0000-0000-0000C00A0000}"/>
    <cellStyle name="Bad" xfId="2701" xr:uid="{00000000-0005-0000-0000-0000C10A0000}"/>
    <cellStyle name="Bad 2" xfId="4279" xr:uid="{00000000-0005-0000-0000-0000C20A0000}"/>
    <cellStyle name="Blue,Bold,12pt" xfId="4113" xr:uid="{00000000-0005-0000-0000-0000C30A0000}"/>
    <cellStyle name="Border" xfId="2702" xr:uid="{00000000-0005-0000-0000-0000C40A0000}"/>
    <cellStyle name="b嬜þപb嬼þഺb孬þൊb⍜þ൚b⍼þ൪b⎨þൺb⏜þඊb␌þකb濰þඪb瀠þයb灌þ්b炈þ宐&lt;෢b濈þෲb濬þขb瀐þฒb瀰þ昰_x0018_⋸þ㤕䰀ጤܕ_x0008_" xfId="2703" xr:uid="{00000000-0005-0000-0000-0000C50A0000}"/>
    <cellStyle name="C:\Data\MS\Excel" xfId="2704" xr:uid="{00000000-0005-0000-0000-0000C60A0000}"/>
    <cellStyle name="C¡IA¨ª_¡ic¨u¡A¨￢I¨￢¡Æ AN¡Æe " xfId="2705" xr:uid="{00000000-0005-0000-0000-0000C70A0000}"/>
    <cellStyle name="C￥AØ_  FAB AIA¤  " xfId="2706" xr:uid="{00000000-0005-0000-0000-0000C80A0000}"/>
    <cellStyle name="Ç¥ÁØ_¿µ¾÷ÇöÈ² " xfId="2707" xr:uid="{00000000-0005-0000-0000-0000C90A0000}"/>
    <cellStyle name="C￥AØ_¿uº¸¼o·a " xfId="2708" xr:uid="{00000000-0005-0000-0000-0000CA0A0000}"/>
    <cellStyle name="Ç¥ÁØ_¿ùº¸¼ö·á " xfId="2709" xr:uid="{00000000-0005-0000-0000-0000CB0A0000}"/>
    <cellStyle name="C￥AØ_¿μ¾÷CoE² " xfId="2710" xr:uid="{00000000-0005-0000-0000-0000CC0A0000}"/>
    <cellStyle name="Ç¥ÁØ_»ç¾÷ºÎº° ÃÑ°è " xfId="2711" xr:uid="{00000000-0005-0000-0000-0000CD0A0000}"/>
    <cellStyle name="C￥AØ_≫c¾÷ºIº° AN°e " xfId="2712" xr:uid="{00000000-0005-0000-0000-0000CE0A0000}"/>
    <cellStyle name="Ç¥ÁØ_0N-HANDLING " xfId="2713" xr:uid="{00000000-0005-0000-0000-0000CF0A0000}"/>
    <cellStyle name="C￥AØ_5-1±¤°i " xfId="2714" xr:uid="{00000000-0005-0000-0000-0000D00A0000}"/>
    <cellStyle name="Ç¥ÁØ_5-1±¤°í " xfId="2715" xr:uid="{00000000-0005-0000-0000-0000D10A0000}"/>
    <cellStyle name="C￥AØ_Ay°eC￥(2¿u) " xfId="2716" xr:uid="{00000000-0005-0000-0000-0000D20A0000}"/>
    <cellStyle name="Ç¥ÁØ_Áý°èÇ¥(2¿ù) " xfId="2717" xr:uid="{00000000-0005-0000-0000-0000D30A0000}"/>
    <cellStyle name="C￥AØ_CoAo¹yAI °A¾×¿ⓒ½A " xfId="2718" xr:uid="{00000000-0005-0000-0000-0000D40A0000}"/>
    <cellStyle name="Ç¥ÁØ_laroux" xfId="2719" xr:uid="{00000000-0005-0000-0000-0000D50A0000}"/>
    <cellStyle name="C￥AØ_SOON1 " xfId="2720" xr:uid="{00000000-0005-0000-0000-0000D60A0000}"/>
    <cellStyle name="Ç¥ÁØ_SOON1 " xfId="2721" xr:uid="{00000000-0005-0000-0000-0000D70A0000}"/>
    <cellStyle name="Calc" xfId="2722" xr:uid="{00000000-0005-0000-0000-0000D80A0000}"/>
    <cellStyle name="Calc Currency (0)" xfId="5" xr:uid="{00000000-0005-0000-0000-0000D90A0000}"/>
    <cellStyle name="Calc Currency (0) 2" xfId="4114" xr:uid="{00000000-0005-0000-0000-0000DA0A0000}"/>
    <cellStyle name="Calc Currency (0) 2 2" xfId="4280" xr:uid="{00000000-0005-0000-0000-0000DB0A0000}"/>
    <cellStyle name="Calc Currency (2)" xfId="44" xr:uid="{00000000-0005-0000-0000-0000DC0A0000}"/>
    <cellStyle name="Calc Currency (2) 2" xfId="4115" xr:uid="{00000000-0005-0000-0000-0000DD0A0000}"/>
    <cellStyle name="Calc Currency (2) 3" xfId="4281" xr:uid="{00000000-0005-0000-0000-0000DE0A0000}"/>
    <cellStyle name="Calc Percent (0)" xfId="45" xr:uid="{00000000-0005-0000-0000-0000DF0A0000}"/>
    <cellStyle name="Calc Percent (0) 2" xfId="4116" xr:uid="{00000000-0005-0000-0000-0000E00A0000}"/>
    <cellStyle name="Calc Percent (0) 3" xfId="4282" xr:uid="{00000000-0005-0000-0000-0000E10A0000}"/>
    <cellStyle name="Calc Percent (1)" xfId="46" xr:uid="{00000000-0005-0000-0000-0000E20A0000}"/>
    <cellStyle name="Calc Percent (1) 2" xfId="4117" xr:uid="{00000000-0005-0000-0000-0000E30A0000}"/>
    <cellStyle name="Calc Percent (1) 3" xfId="4283" xr:uid="{00000000-0005-0000-0000-0000E40A0000}"/>
    <cellStyle name="Calc Percent (2)" xfId="47" xr:uid="{00000000-0005-0000-0000-0000E50A0000}"/>
    <cellStyle name="Calc Percent (2) 2" xfId="4118" xr:uid="{00000000-0005-0000-0000-0000E60A0000}"/>
    <cellStyle name="Calc Percent (2) 3" xfId="4284" xr:uid="{00000000-0005-0000-0000-0000E70A0000}"/>
    <cellStyle name="Calc Units (0)" xfId="48" xr:uid="{00000000-0005-0000-0000-0000E80A0000}"/>
    <cellStyle name="Calc Units (0) 2" xfId="4119" xr:uid="{00000000-0005-0000-0000-0000E90A0000}"/>
    <cellStyle name="Calc Units (0) 3" xfId="4285" xr:uid="{00000000-0005-0000-0000-0000EA0A0000}"/>
    <cellStyle name="Calc Units (1)" xfId="49" xr:uid="{00000000-0005-0000-0000-0000EB0A0000}"/>
    <cellStyle name="Calc Units (1) 2" xfId="4120" xr:uid="{00000000-0005-0000-0000-0000EC0A0000}"/>
    <cellStyle name="Calc Units (1) 3" xfId="4286" xr:uid="{00000000-0005-0000-0000-0000ED0A0000}"/>
    <cellStyle name="Calc Units (2)" xfId="50" xr:uid="{00000000-0005-0000-0000-0000EE0A0000}"/>
    <cellStyle name="Calc Units (2) 2" xfId="4121" xr:uid="{00000000-0005-0000-0000-0000EF0A0000}"/>
    <cellStyle name="Calc Units (2) 3" xfId="4287" xr:uid="{00000000-0005-0000-0000-0000F00A0000}"/>
    <cellStyle name="Calc_수정본 KR Q407 DPFR_draft v._071122( NMFT HD update)" xfId="2723" xr:uid="{00000000-0005-0000-0000-0000F10A0000}"/>
    <cellStyle name="Calculation" xfId="2724" xr:uid="{00000000-0005-0000-0000-0000F20A0000}"/>
    <cellStyle name="Calculation 2" xfId="4288" xr:uid="{00000000-0005-0000-0000-0000F30A0000}"/>
    <cellStyle name="category" xfId="51" xr:uid="{00000000-0005-0000-0000-0000F40A0000}"/>
    <cellStyle name="Centered" xfId="159" xr:uid="{00000000-0005-0000-0000-0000F50A0000}"/>
    <cellStyle name="Check Cell" xfId="2725" xr:uid="{00000000-0005-0000-0000-0000F60A0000}"/>
    <cellStyle name="Check Cell 2" xfId="4289" xr:uid="{00000000-0005-0000-0000-0000F70A0000}"/>
    <cellStyle name="CIAIÆU¸μAⓒ" xfId="2726" xr:uid="{00000000-0005-0000-0000-0000F80A0000}"/>
    <cellStyle name="ColBlue" xfId="2727" xr:uid="{00000000-0005-0000-0000-0000F90A0000}"/>
    <cellStyle name="ColGreen" xfId="2728" xr:uid="{00000000-0005-0000-0000-0000FA0A0000}"/>
    <cellStyle name="ColRed" xfId="2729" xr:uid="{00000000-0005-0000-0000-0000FB0A0000}"/>
    <cellStyle name="columns_array" xfId="2730" xr:uid="{00000000-0005-0000-0000-0000FC0A0000}"/>
    <cellStyle name="Comma" xfId="6" xr:uid="{00000000-0005-0000-0000-0000FD0A0000}"/>
    <cellStyle name="Comma  - Style1" xfId="2731" xr:uid="{00000000-0005-0000-0000-0000FE0A0000}"/>
    <cellStyle name="Comma  - Style2" xfId="2732" xr:uid="{00000000-0005-0000-0000-0000FF0A0000}"/>
    <cellStyle name="Comma  - Style3" xfId="2733" xr:uid="{00000000-0005-0000-0000-0000000B0000}"/>
    <cellStyle name="Comma  - Style4" xfId="2734" xr:uid="{00000000-0005-0000-0000-0000010B0000}"/>
    <cellStyle name="Comma  - Style5" xfId="2735" xr:uid="{00000000-0005-0000-0000-0000020B0000}"/>
    <cellStyle name="Comma  - Style6" xfId="2736" xr:uid="{00000000-0005-0000-0000-0000030B0000}"/>
    <cellStyle name="Comma  - Style7" xfId="2737" xr:uid="{00000000-0005-0000-0000-0000040B0000}"/>
    <cellStyle name="Comma  - Style8" xfId="2738" xr:uid="{00000000-0005-0000-0000-0000050B0000}"/>
    <cellStyle name="Comma (1)" xfId="2739" xr:uid="{00000000-0005-0000-0000-0000060B0000}"/>
    <cellStyle name="Comma (2)" xfId="2740" xr:uid="{00000000-0005-0000-0000-0000070B0000}"/>
    <cellStyle name="Comma [0]" xfId="3" xr:uid="{00000000-0005-0000-0000-0000080B0000}"/>
    <cellStyle name="Comma [0] 2" xfId="2741" xr:uid="{00000000-0005-0000-0000-0000090B0000}"/>
    <cellStyle name="Comma [0] 2 10" xfId="2742" xr:uid="{00000000-0005-0000-0000-00000A0B0000}"/>
    <cellStyle name="Comma [0] 2 10 2" xfId="4446" xr:uid="{00000000-0005-0000-0000-00000B0B0000}"/>
    <cellStyle name="Comma [0] 2 11" xfId="2743" xr:uid="{00000000-0005-0000-0000-00000C0B0000}"/>
    <cellStyle name="Comma [0] 2 11 2" xfId="4447" xr:uid="{00000000-0005-0000-0000-00000D0B0000}"/>
    <cellStyle name="Comma [0] 2 12" xfId="2744" xr:uid="{00000000-0005-0000-0000-00000E0B0000}"/>
    <cellStyle name="Comma [0] 2 12 2" xfId="4448" xr:uid="{00000000-0005-0000-0000-00000F0B0000}"/>
    <cellStyle name="Comma [0] 2 13" xfId="2745" xr:uid="{00000000-0005-0000-0000-0000100B0000}"/>
    <cellStyle name="Comma [0] 2 13 10" xfId="2746" xr:uid="{00000000-0005-0000-0000-0000110B0000}"/>
    <cellStyle name="Comma [0] 2 13 10 2" xfId="4450" xr:uid="{00000000-0005-0000-0000-0000120B0000}"/>
    <cellStyle name="Comma [0] 2 13 11" xfId="2747" xr:uid="{00000000-0005-0000-0000-0000130B0000}"/>
    <cellStyle name="Comma [0] 2 13 11 2" xfId="4451" xr:uid="{00000000-0005-0000-0000-0000140B0000}"/>
    <cellStyle name="Comma [0] 2 13 12" xfId="2748" xr:uid="{00000000-0005-0000-0000-0000150B0000}"/>
    <cellStyle name="Comma [0] 2 13 12 2" xfId="4452" xr:uid="{00000000-0005-0000-0000-0000160B0000}"/>
    <cellStyle name="Comma [0] 2 13 13" xfId="2749" xr:uid="{00000000-0005-0000-0000-0000170B0000}"/>
    <cellStyle name="Comma [0] 2 13 13 2" xfId="4453" xr:uid="{00000000-0005-0000-0000-0000180B0000}"/>
    <cellStyle name="Comma [0] 2 13 14" xfId="2750" xr:uid="{00000000-0005-0000-0000-0000190B0000}"/>
    <cellStyle name="Comma [0] 2 13 14 2" xfId="4454" xr:uid="{00000000-0005-0000-0000-00001A0B0000}"/>
    <cellStyle name="Comma [0] 2 13 15" xfId="2751" xr:uid="{00000000-0005-0000-0000-00001B0B0000}"/>
    <cellStyle name="Comma [0] 2 13 15 2" xfId="4455" xr:uid="{00000000-0005-0000-0000-00001C0B0000}"/>
    <cellStyle name="Comma [0] 2 13 16" xfId="2752" xr:uid="{00000000-0005-0000-0000-00001D0B0000}"/>
    <cellStyle name="Comma [0] 2 13 16 2" xfId="4456" xr:uid="{00000000-0005-0000-0000-00001E0B0000}"/>
    <cellStyle name="Comma [0] 2 13 17" xfId="2753" xr:uid="{00000000-0005-0000-0000-00001F0B0000}"/>
    <cellStyle name="Comma [0] 2 13 17 2" xfId="4457" xr:uid="{00000000-0005-0000-0000-0000200B0000}"/>
    <cellStyle name="Comma [0] 2 13 18" xfId="2754" xr:uid="{00000000-0005-0000-0000-0000210B0000}"/>
    <cellStyle name="Comma [0] 2 13 18 2" xfId="4458" xr:uid="{00000000-0005-0000-0000-0000220B0000}"/>
    <cellStyle name="Comma [0] 2 13 19" xfId="2755" xr:uid="{00000000-0005-0000-0000-0000230B0000}"/>
    <cellStyle name="Comma [0] 2 13 19 2" xfId="4459" xr:uid="{00000000-0005-0000-0000-0000240B0000}"/>
    <cellStyle name="Comma [0] 2 13 2" xfId="2756" xr:uid="{00000000-0005-0000-0000-0000250B0000}"/>
    <cellStyle name="Comma [0] 2 13 2 2" xfId="4460" xr:uid="{00000000-0005-0000-0000-0000260B0000}"/>
    <cellStyle name="Comma [0] 2 13 20" xfId="2757" xr:uid="{00000000-0005-0000-0000-0000270B0000}"/>
    <cellStyle name="Comma [0] 2 13 20 2" xfId="4461" xr:uid="{00000000-0005-0000-0000-0000280B0000}"/>
    <cellStyle name="Comma [0] 2 13 21" xfId="2758" xr:uid="{00000000-0005-0000-0000-0000290B0000}"/>
    <cellStyle name="Comma [0] 2 13 21 2" xfId="4462" xr:uid="{00000000-0005-0000-0000-00002A0B0000}"/>
    <cellStyle name="Comma [0] 2 13 22" xfId="2759" xr:uid="{00000000-0005-0000-0000-00002B0B0000}"/>
    <cellStyle name="Comma [0] 2 13 22 2" xfId="4463" xr:uid="{00000000-0005-0000-0000-00002C0B0000}"/>
    <cellStyle name="Comma [0] 2 13 23" xfId="2760" xr:uid="{00000000-0005-0000-0000-00002D0B0000}"/>
    <cellStyle name="Comma [0] 2 13 23 2" xfId="4464" xr:uid="{00000000-0005-0000-0000-00002E0B0000}"/>
    <cellStyle name="Comma [0] 2 13 24" xfId="2761" xr:uid="{00000000-0005-0000-0000-00002F0B0000}"/>
    <cellStyle name="Comma [0] 2 13 24 2" xfId="4465" xr:uid="{00000000-0005-0000-0000-0000300B0000}"/>
    <cellStyle name="Comma [0] 2 13 25" xfId="2762" xr:uid="{00000000-0005-0000-0000-0000310B0000}"/>
    <cellStyle name="Comma [0] 2 13 25 2" xfId="4466" xr:uid="{00000000-0005-0000-0000-0000320B0000}"/>
    <cellStyle name="Comma [0] 2 13 26" xfId="2763" xr:uid="{00000000-0005-0000-0000-0000330B0000}"/>
    <cellStyle name="Comma [0] 2 13 26 2" xfId="4467" xr:uid="{00000000-0005-0000-0000-0000340B0000}"/>
    <cellStyle name="Comma [0] 2 13 27" xfId="2764" xr:uid="{00000000-0005-0000-0000-0000350B0000}"/>
    <cellStyle name="Comma [0] 2 13 27 2" xfId="4468" xr:uid="{00000000-0005-0000-0000-0000360B0000}"/>
    <cellStyle name="Comma [0] 2 13 28" xfId="2765" xr:uid="{00000000-0005-0000-0000-0000370B0000}"/>
    <cellStyle name="Comma [0] 2 13 28 2" xfId="4469" xr:uid="{00000000-0005-0000-0000-0000380B0000}"/>
    <cellStyle name="Comma [0] 2 13 29" xfId="2766" xr:uid="{00000000-0005-0000-0000-0000390B0000}"/>
    <cellStyle name="Comma [0] 2 13 29 2" xfId="4470" xr:uid="{00000000-0005-0000-0000-00003A0B0000}"/>
    <cellStyle name="Comma [0] 2 13 3" xfId="2767" xr:uid="{00000000-0005-0000-0000-00003B0B0000}"/>
    <cellStyle name="Comma [0] 2 13 3 2" xfId="4471" xr:uid="{00000000-0005-0000-0000-00003C0B0000}"/>
    <cellStyle name="Comma [0] 2 13 30" xfId="2768" xr:uid="{00000000-0005-0000-0000-00003D0B0000}"/>
    <cellStyle name="Comma [0] 2 13 30 2" xfId="4472" xr:uid="{00000000-0005-0000-0000-00003E0B0000}"/>
    <cellStyle name="Comma [0] 2 13 31" xfId="2769" xr:uid="{00000000-0005-0000-0000-00003F0B0000}"/>
    <cellStyle name="Comma [0] 2 13 31 2" xfId="4473" xr:uid="{00000000-0005-0000-0000-0000400B0000}"/>
    <cellStyle name="Comma [0] 2 13 32" xfId="2770" xr:uid="{00000000-0005-0000-0000-0000410B0000}"/>
    <cellStyle name="Comma [0] 2 13 32 2" xfId="4474" xr:uid="{00000000-0005-0000-0000-0000420B0000}"/>
    <cellStyle name="Comma [0] 2 13 33" xfId="2771" xr:uid="{00000000-0005-0000-0000-0000430B0000}"/>
    <cellStyle name="Comma [0] 2 13 33 2" xfId="4475" xr:uid="{00000000-0005-0000-0000-0000440B0000}"/>
    <cellStyle name="Comma [0] 2 13 34" xfId="2772" xr:uid="{00000000-0005-0000-0000-0000450B0000}"/>
    <cellStyle name="Comma [0] 2 13 34 2" xfId="4476" xr:uid="{00000000-0005-0000-0000-0000460B0000}"/>
    <cellStyle name="Comma [0] 2 13 35" xfId="2773" xr:uid="{00000000-0005-0000-0000-0000470B0000}"/>
    <cellStyle name="Comma [0] 2 13 35 2" xfId="4477" xr:uid="{00000000-0005-0000-0000-0000480B0000}"/>
    <cellStyle name="Comma [0] 2 13 36" xfId="2774" xr:uid="{00000000-0005-0000-0000-0000490B0000}"/>
    <cellStyle name="Comma [0] 2 13 36 2" xfId="4478" xr:uid="{00000000-0005-0000-0000-00004A0B0000}"/>
    <cellStyle name="Comma [0] 2 13 37" xfId="2775" xr:uid="{00000000-0005-0000-0000-00004B0B0000}"/>
    <cellStyle name="Comma [0] 2 13 37 2" xfId="4479" xr:uid="{00000000-0005-0000-0000-00004C0B0000}"/>
    <cellStyle name="Comma [0] 2 13 38" xfId="2776" xr:uid="{00000000-0005-0000-0000-00004D0B0000}"/>
    <cellStyle name="Comma [0] 2 13 38 2" xfId="4480" xr:uid="{00000000-0005-0000-0000-00004E0B0000}"/>
    <cellStyle name="Comma [0] 2 13 39" xfId="2777" xr:uid="{00000000-0005-0000-0000-00004F0B0000}"/>
    <cellStyle name="Comma [0] 2 13 39 2" xfId="4481" xr:uid="{00000000-0005-0000-0000-0000500B0000}"/>
    <cellStyle name="Comma [0] 2 13 4" xfId="2778" xr:uid="{00000000-0005-0000-0000-0000510B0000}"/>
    <cellStyle name="Comma [0] 2 13 4 2" xfId="4482" xr:uid="{00000000-0005-0000-0000-0000520B0000}"/>
    <cellStyle name="Comma [0] 2 13 40" xfId="4449" xr:uid="{00000000-0005-0000-0000-0000530B0000}"/>
    <cellStyle name="Comma [0] 2 13 5" xfId="2779" xr:uid="{00000000-0005-0000-0000-0000540B0000}"/>
    <cellStyle name="Comma [0] 2 13 5 2" xfId="4483" xr:uid="{00000000-0005-0000-0000-0000550B0000}"/>
    <cellStyle name="Comma [0] 2 13 6" xfId="2780" xr:uid="{00000000-0005-0000-0000-0000560B0000}"/>
    <cellStyle name="Comma [0] 2 13 6 2" xfId="4484" xr:uid="{00000000-0005-0000-0000-0000570B0000}"/>
    <cellStyle name="Comma [0] 2 13 7" xfId="2781" xr:uid="{00000000-0005-0000-0000-0000580B0000}"/>
    <cellStyle name="Comma [0] 2 13 7 2" xfId="4485" xr:uid="{00000000-0005-0000-0000-0000590B0000}"/>
    <cellStyle name="Comma [0] 2 13 8" xfId="2782" xr:uid="{00000000-0005-0000-0000-00005A0B0000}"/>
    <cellStyle name="Comma [0] 2 13 8 2" xfId="4486" xr:uid="{00000000-0005-0000-0000-00005B0B0000}"/>
    <cellStyle name="Comma [0] 2 13 9" xfId="2783" xr:uid="{00000000-0005-0000-0000-00005C0B0000}"/>
    <cellStyle name="Comma [0] 2 13 9 2" xfId="4487" xr:uid="{00000000-0005-0000-0000-00005D0B0000}"/>
    <cellStyle name="Comma [0] 2 14" xfId="2784" xr:uid="{00000000-0005-0000-0000-00005E0B0000}"/>
    <cellStyle name="Comma [0] 2 14 2" xfId="4488" xr:uid="{00000000-0005-0000-0000-00005F0B0000}"/>
    <cellStyle name="Comma [0] 2 15" xfId="2785" xr:uid="{00000000-0005-0000-0000-0000600B0000}"/>
    <cellStyle name="Comma [0] 2 15 2" xfId="4489" xr:uid="{00000000-0005-0000-0000-0000610B0000}"/>
    <cellStyle name="Comma [0] 2 16" xfId="2786" xr:uid="{00000000-0005-0000-0000-0000620B0000}"/>
    <cellStyle name="Comma [0] 2 16 2" xfId="4490" xr:uid="{00000000-0005-0000-0000-0000630B0000}"/>
    <cellStyle name="Comma [0] 2 17" xfId="2787" xr:uid="{00000000-0005-0000-0000-0000640B0000}"/>
    <cellStyle name="Comma [0] 2 17 2" xfId="4491" xr:uid="{00000000-0005-0000-0000-0000650B0000}"/>
    <cellStyle name="Comma [0] 2 18" xfId="2788" xr:uid="{00000000-0005-0000-0000-0000660B0000}"/>
    <cellStyle name="Comma [0] 2 18 2" xfId="4492" xr:uid="{00000000-0005-0000-0000-0000670B0000}"/>
    <cellStyle name="Comma [0] 2 19" xfId="4290" xr:uid="{00000000-0005-0000-0000-0000680B0000}"/>
    <cellStyle name="Comma [0] 2 19 2" xfId="4874" xr:uid="{00000000-0005-0000-0000-0000690B0000}"/>
    <cellStyle name="Comma [0] 2 2" xfId="2789" xr:uid="{00000000-0005-0000-0000-00006A0B0000}"/>
    <cellStyle name="Comma [0] 2 2 2" xfId="4493" xr:uid="{00000000-0005-0000-0000-00006B0B0000}"/>
    <cellStyle name="Comma [0] 2 20" xfId="4445" xr:uid="{00000000-0005-0000-0000-00006C0B0000}"/>
    <cellStyle name="Comma [0] 2 3" xfId="2790" xr:uid="{00000000-0005-0000-0000-00006D0B0000}"/>
    <cellStyle name="Comma [0] 2 3 2" xfId="4494" xr:uid="{00000000-0005-0000-0000-00006E0B0000}"/>
    <cellStyle name="Comma [0] 2 4" xfId="2791" xr:uid="{00000000-0005-0000-0000-00006F0B0000}"/>
    <cellStyle name="Comma [0] 2 4 2" xfId="4495" xr:uid="{00000000-0005-0000-0000-0000700B0000}"/>
    <cellStyle name="Comma [0] 2 5" xfId="2792" xr:uid="{00000000-0005-0000-0000-0000710B0000}"/>
    <cellStyle name="Comma [0] 2 5 2" xfId="4496" xr:uid="{00000000-0005-0000-0000-0000720B0000}"/>
    <cellStyle name="Comma [0] 2 6" xfId="2793" xr:uid="{00000000-0005-0000-0000-0000730B0000}"/>
    <cellStyle name="Comma [0] 2 6 2" xfId="4497" xr:uid="{00000000-0005-0000-0000-0000740B0000}"/>
    <cellStyle name="Comma [0] 2 7" xfId="2794" xr:uid="{00000000-0005-0000-0000-0000750B0000}"/>
    <cellStyle name="Comma [0] 2 7 2" xfId="4498" xr:uid="{00000000-0005-0000-0000-0000760B0000}"/>
    <cellStyle name="Comma [0] 2 8" xfId="2795" xr:uid="{00000000-0005-0000-0000-0000770B0000}"/>
    <cellStyle name="Comma [0] 2 8 2" xfId="4499" xr:uid="{00000000-0005-0000-0000-0000780B0000}"/>
    <cellStyle name="Comma [0] 2 9" xfId="2796" xr:uid="{00000000-0005-0000-0000-0000790B0000}"/>
    <cellStyle name="Comma [0] 2 9 2" xfId="4500" xr:uid="{00000000-0005-0000-0000-00007A0B0000}"/>
    <cellStyle name="Comma [0] 26" xfId="2797" xr:uid="{00000000-0005-0000-0000-00007B0B0000}"/>
    <cellStyle name="Comma [0] 26 2" xfId="2798" xr:uid="{00000000-0005-0000-0000-00007C0B0000}"/>
    <cellStyle name="Comma [0] 26 2 2" xfId="4502" xr:uid="{00000000-0005-0000-0000-00007D0B0000}"/>
    <cellStyle name="Comma [0] 26 3" xfId="2799" xr:uid="{00000000-0005-0000-0000-00007E0B0000}"/>
    <cellStyle name="Comma [0] 26 3 2" xfId="4503" xr:uid="{00000000-0005-0000-0000-00007F0B0000}"/>
    <cellStyle name="Comma [0] 26 4" xfId="2800" xr:uid="{00000000-0005-0000-0000-0000800B0000}"/>
    <cellStyle name="Comma [0] 26 4 2" xfId="4504" xr:uid="{00000000-0005-0000-0000-0000810B0000}"/>
    <cellStyle name="Comma [0] 26 5" xfId="4501" xr:uid="{00000000-0005-0000-0000-0000820B0000}"/>
    <cellStyle name="Comma [0] 3" xfId="2801" xr:uid="{00000000-0005-0000-0000-0000830B0000}"/>
    <cellStyle name="Comma [0] 3 2" xfId="4505" xr:uid="{00000000-0005-0000-0000-0000840B0000}"/>
    <cellStyle name="Comma [0] 4" xfId="4291" xr:uid="{00000000-0005-0000-0000-0000850B0000}"/>
    <cellStyle name="Comma [0] 4 3" xfId="4122" xr:uid="{00000000-0005-0000-0000-0000860B0000}"/>
    <cellStyle name="Comma [0] 6" xfId="4123" xr:uid="{00000000-0005-0000-0000-0000870B0000}"/>
    <cellStyle name="Comma [0] 6 2" xfId="4854" xr:uid="{00000000-0005-0000-0000-0000880B0000}"/>
    <cellStyle name="Comma [0]_ SG&amp;A Bridge " xfId="2802" xr:uid="{00000000-0005-0000-0000-0000890B0000}"/>
    <cellStyle name="Comma [00]" xfId="52" xr:uid="{00000000-0005-0000-0000-00008A0B0000}"/>
    <cellStyle name="Comma [00] 2" xfId="4124" xr:uid="{00000000-0005-0000-0000-00008B0B0000}"/>
    <cellStyle name="Comma [00] 3" xfId="4292" xr:uid="{00000000-0005-0000-0000-00008C0B0000}"/>
    <cellStyle name="Comma 2" xfId="4405" xr:uid="{00000000-0005-0000-0000-00008D0B0000}"/>
    <cellStyle name="Comma 3" xfId="4433" xr:uid="{00000000-0005-0000-0000-00008E0B0000}"/>
    <cellStyle name="comma zerodec" xfId="53" xr:uid="{00000000-0005-0000-0000-00008F0B0000}"/>
    <cellStyle name="comma zerodec 2" xfId="4125" xr:uid="{00000000-0005-0000-0000-0000900B0000}"/>
    <cellStyle name="comma zerodec 3" xfId="4293" xr:uid="{00000000-0005-0000-0000-0000910B0000}"/>
    <cellStyle name="Comma_ SG&amp;A Bridge" xfId="54" xr:uid="{00000000-0005-0000-0000-0000920B0000}"/>
    <cellStyle name="Comma0" xfId="55" xr:uid="{00000000-0005-0000-0000-0000930B0000}"/>
    <cellStyle name="Copied" xfId="56" xr:uid="{00000000-0005-0000-0000-0000940B0000}"/>
    <cellStyle name="Curren?_x0012_퐀_x0017_?" xfId="2803" xr:uid="{00000000-0005-0000-0000-0000950B0000}"/>
    <cellStyle name="Currency" xfId="7" xr:uid="{00000000-0005-0000-0000-0000960B0000}"/>
    <cellStyle name="Currency (0)" xfId="2804" xr:uid="{00000000-0005-0000-0000-0000970B0000}"/>
    <cellStyle name="Currency (0.00)" xfId="2805" xr:uid="{00000000-0005-0000-0000-0000980B0000}"/>
    <cellStyle name="Currency (2)" xfId="2806" xr:uid="{00000000-0005-0000-0000-0000990B0000}"/>
    <cellStyle name="Currency [0]" xfId="160" xr:uid="{00000000-0005-0000-0000-00009A0B0000}"/>
    <cellStyle name="Currency [00]" xfId="57" xr:uid="{00000000-0005-0000-0000-00009B0B0000}"/>
    <cellStyle name="Currency [00] 2" xfId="4126" xr:uid="{00000000-0005-0000-0000-00009C0B0000}"/>
    <cellStyle name="Currency [00] 3" xfId="4294" xr:uid="{00000000-0005-0000-0000-00009D0B0000}"/>
    <cellStyle name="Currency 2" xfId="4199" xr:uid="{00000000-0005-0000-0000-00009E0B0000}"/>
    <cellStyle name="Currency 3" xfId="4200" xr:uid="{00000000-0005-0000-0000-00009F0B0000}"/>
    <cellStyle name="currency-$" xfId="2807" xr:uid="{00000000-0005-0000-0000-0000A00B0000}"/>
    <cellStyle name="Currency_ SG&amp;A Bridge " xfId="58" xr:uid="{00000000-0005-0000-0000-0000A10B0000}"/>
    <cellStyle name="Currency0" xfId="2808" xr:uid="{00000000-0005-0000-0000-0000A20B0000}"/>
    <cellStyle name="Currency1" xfId="59" xr:uid="{00000000-0005-0000-0000-0000A30B0000}"/>
    <cellStyle name="Currency1 2" xfId="4127" xr:uid="{00000000-0005-0000-0000-0000A40B0000}"/>
    <cellStyle name="custom" xfId="4128" xr:uid="{00000000-0005-0000-0000-0000A50B0000}"/>
    <cellStyle name="Date" xfId="8" xr:uid="{00000000-0005-0000-0000-0000A60B0000}"/>
    <cellStyle name="Date 2" xfId="4201" xr:uid="{00000000-0005-0000-0000-0000A70B0000}"/>
    <cellStyle name="Date Short" xfId="60" xr:uid="{00000000-0005-0000-0000-0000A80B0000}"/>
    <cellStyle name="Date_(051024)0510PO재고품목_EMC_ERP" xfId="2809" xr:uid="{00000000-0005-0000-0000-0000A90B0000}"/>
    <cellStyle name="DELTA" xfId="2810" xr:uid="{00000000-0005-0000-0000-0000AA0B0000}"/>
    <cellStyle name="Description" xfId="161" xr:uid="{00000000-0005-0000-0000-0000AB0B0000}"/>
    <cellStyle name="Dezimal [0]_Ausdruck RUND (D)" xfId="2811" xr:uid="{00000000-0005-0000-0000-0000AC0B0000}"/>
    <cellStyle name="Dezimal_Ausdruck RUND (D)" xfId="2812" xr:uid="{00000000-0005-0000-0000-0000AD0B0000}"/>
    <cellStyle name="discount" xfId="2813" xr:uid="{00000000-0005-0000-0000-0000AE0B0000}"/>
    <cellStyle name="Dollar (zero dec)" xfId="61" xr:uid="{00000000-0005-0000-0000-0000AF0B0000}"/>
    <cellStyle name="Dollar (zero dec) 2" xfId="4129" xr:uid="{00000000-0005-0000-0000-0000B00B0000}"/>
    <cellStyle name="Dollar (zero dec) 3" xfId="4295" xr:uid="{00000000-0005-0000-0000-0000B10B0000}"/>
    <cellStyle name="Emphasis 1" xfId="4296" xr:uid="{00000000-0005-0000-0000-0000B20B0000}"/>
    <cellStyle name="Emphasis 2" xfId="4297" xr:uid="{00000000-0005-0000-0000-0000B30B0000}"/>
    <cellStyle name="Emphasis 3" xfId="4298" xr:uid="{00000000-0005-0000-0000-0000B40B0000}"/>
    <cellStyle name="Enter Currency (0)" xfId="62" xr:uid="{00000000-0005-0000-0000-0000B50B0000}"/>
    <cellStyle name="Enter Currency (0) 2" xfId="4130" xr:uid="{00000000-0005-0000-0000-0000B60B0000}"/>
    <cellStyle name="Enter Currency (0) 3" xfId="4299" xr:uid="{00000000-0005-0000-0000-0000B70B0000}"/>
    <cellStyle name="Enter Currency (2)" xfId="63" xr:uid="{00000000-0005-0000-0000-0000B80B0000}"/>
    <cellStyle name="Enter Currency (2) 2" xfId="4131" xr:uid="{00000000-0005-0000-0000-0000B90B0000}"/>
    <cellStyle name="Enter Currency (2) 3" xfId="4300" xr:uid="{00000000-0005-0000-0000-0000BA0B0000}"/>
    <cellStyle name="Enter Units (0)" xfId="64" xr:uid="{00000000-0005-0000-0000-0000BB0B0000}"/>
    <cellStyle name="Enter Units (0) 2" xfId="4132" xr:uid="{00000000-0005-0000-0000-0000BC0B0000}"/>
    <cellStyle name="Enter Units (0) 3" xfId="4301" xr:uid="{00000000-0005-0000-0000-0000BD0B0000}"/>
    <cellStyle name="Enter Units (1)" xfId="65" xr:uid="{00000000-0005-0000-0000-0000BE0B0000}"/>
    <cellStyle name="Enter Units (1) 2" xfId="4133" xr:uid="{00000000-0005-0000-0000-0000BF0B0000}"/>
    <cellStyle name="Enter Units (1) 3" xfId="4302" xr:uid="{00000000-0005-0000-0000-0000C00B0000}"/>
    <cellStyle name="Enter Units (2)" xfId="66" xr:uid="{00000000-0005-0000-0000-0000C10B0000}"/>
    <cellStyle name="Enter Units (2) 2" xfId="4134" xr:uid="{00000000-0005-0000-0000-0000C20B0000}"/>
    <cellStyle name="Enter Units (2) 3" xfId="4303" xr:uid="{00000000-0005-0000-0000-0000C30B0000}"/>
    <cellStyle name="Entered" xfId="67" xr:uid="{00000000-0005-0000-0000-0000C40B0000}"/>
    <cellStyle name="Entries" xfId="2814" xr:uid="{00000000-0005-0000-0000-0000C50B0000}"/>
    <cellStyle name="Euro" xfId="2815" xr:uid="{00000000-0005-0000-0000-0000C60B0000}"/>
    <cellStyle name="Explanatory Text" xfId="2816" xr:uid="{00000000-0005-0000-0000-0000C70B0000}"/>
    <cellStyle name="Explanatory Text 2" xfId="4304" xr:uid="{00000000-0005-0000-0000-0000C80B0000}"/>
    <cellStyle name="F2" xfId="162" xr:uid="{00000000-0005-0000-0000-0000C90B0000}"/>
    <cellStyle name="F3" xfId="163" xr:uid="{00000000-0005-0000-0000-0000CA0B0000}"/>
    <cellStyle name="F4" xfId="164" xr:uid="{00000000-0005-0000-0000-0000CB0B0000}"/>
    <cellStyle name="F4 2" xfId="4406" xr:uid="{00000000-0005-0000-0000-0000CC0B0000}"/>
    <cellStyle name="F5" xfId="165" xr:uid="{00000000-0005-0000-0000-0000CD0B0000}"/>
    <cellStyle name="F6" xfId="166" xr:uid="{00000000-0005-0000-0000-0000CE0B0000}"/>
    <cellStyle name="F7" xfId="167" xr:uid="{00000000-0005-0000-0000-0000CF0B0000}"/>
    <cellStyle name="F8" xfId="168" xr:uid="{00000000-0005-0000-0000-0000D00B0000}"/>
    <cellStyle name="F8 2" xfId="4407" xr:uid="{00000000-0005-0000-0000-0000D10B0000}"/>
    <cellStyle name="First" xfId="2817" xr:uid="{00000000-0005-0000-0000-0000D20B0000}"/>
    <cellStyle name="Fixed" xfId="9" xr:uid="{00000000-0005-0000-0000-0000D30B0000}"/>
    <cellStyle name="Fixed 2" xfId="4202" xr:uid="{00000000-0005-0000-0000-0000D40B0000}"/>
    <cellStyle name="Followed Hyperlink" xfId="2818" xr:uid="{00000000-0005-0000-0000-0000D50B0000}"/>
    <cellStyle name="Good" xfId="2819" xr:uid="{00000000-0005-0000-0000-0000D60B0000}"/>
    <cellStyle name="Good 2" xfId="4305" xr:uid="{00000000-0005-0000-0000-0000D70B0000}"/>
    <cellStyle name="Grey" xfId="10" xr:uid="{00000000-0005-0000-0000-0000D80B0000}"/>
    <cellStyle name="Grey 10" xfId="2820" xr:uid="{00000000-0005-0000-0000-0000D90B0000}"/>
    <cellStyle name="Grey 11" xfId="2821" xr:uid="{00000000-0005-0000-0000-0000DA0B0000}"/>
    <cellStyle name="Grey 12" xfId="2822" xr:uid="{00000000-0005-0000-0000-0000DB0B0000}"/>
    <cellStyle name="Grey 13" xfId="2823" xr:uid="{00000000-0005-0000-0000-0000DC0B0000}"/>
    <cellStyle name="Grey 14" xfId="2824" xr:uid="{00000000-0005-0000-0000-0000DD0B0000}"/>
    <cellStyle name="Grey 15" xfId="2825" xr:uid="{00000000-0005-0000-0000-0000DE0B0000}"/>
    <cellStyle name="Grey 16" xfId="2826" xr:uid="{00000000-0005-0000-0000-0000DF0B0000}"/>
    <cellStyle name="Grey 17" xfId="2827" xr:uid="{00000000-0005-0000-0000-0000E00B0000}"/>
    <cellStyle name="Grey 18" xfId="2828" xr:uid="{00000000-0005-0000-0000-0000E10B0000}"/>
    <cellStyle name="Grey 19" xfId="2829" xr:uid="{00000000-0005-0000-0000-0000E20B0000}"/>
    <cellStyle name="Grey 2" xfId="2830" xr:uid="{00000000-0005-0000-0000-0000E30B0000}"/>
    <cellStyle name="Grey 20" xfId="2831" xr:uid="{00000000-0005-0000-0000-0000E40B0000}"/>
    <cellStyle name="Grey 21" xfId="4371" xr:uid="{00000000-0005-0000-0000-0000E50B0000}"/>
    <cellStyle name="Grey 3" xfId="2832" xr:uid="{00000000-0005-0000-0000-0000E60B0000}"/>
    <cellStyle name="Grey 4" xfId="2833" xr:uid="{00000000-0005-0000-0000-0000E70B0000}"/>
    <cellStyle name="Grey 5" xfId="2834" xr:uid="{00000000-0005-0000-0000-0000E80B0000}"/>
    <cellStyle name="Grey 6" xfId="2835" xr:uid="{00000000-0005-0000-0000-0000E90B0000}"/>
    <cellStyle name="Grey 7" xfId="2836" xr:uid="{00000000-0005-0000-0000-0000EA0B0000}"/>
    <cellStyle name="Grey 8" xfId="2837" xr:uid="{00000000-0005-0000-0000-0000EB0B0000}"/>
    <cellStyle name="Grey 9" xfId="2838" xr:uid="{00000000-0005-0000-0000-0000EC0B0000}"/>
    <cellStyle name="Grey_통합 정보시스템 견적서(BDS)" xfId="2839" xr:uid="{00000000-0005-0000-0000-0000ED0B0000}"/>
    <cellStyle name="group" xfId="169" xr:uid="{00000000-0005-0000-0000-0000EE0B0000}"/>
    <cellStyle name="handbook" xfId="2840" xr:uid="{00000000-0005-0000-0000-0000EF0B0000}"/>
    <cellStyle name="HEADER" xfId="68" xr:uid="{00000000-0005-0000-0000-0000F00B0000}"/>
    <cellStyle name="Header1" xfId="11" xr:uid="{00000000-0005-0000-0000-0000F10B0000}"/>
    <cellStyle name="Header2" xfId="12" xr:uid="{00000000-0005-0000-0000-0000F20B0000}"/>
    <cellStyle name="Heading 1" xfId="2841" xr:uid="{00000000-0005-0000-0000-0000F30B0000}"/>
    <cellStyle name="Heading 1 2" xfId="4306" xr:uid="{00000000-0005-0000-0000-0000F40B0000}"/>
    <cellStyle name="Heading 2" xfId="2842" xr:uid="{00000000-0005-0000-0000-0000F50B0000}"/>
    <cellStyle name="Heading 2 2" xfId="4307" xr:uid="{00000000-0005-0000-0000-0000F60B0000}"/>
    <cellStyle name="Heading 3" xfId="2843" xr:uid="{00000000-0005-0000-0000-0000F70B0000}"/>
    <cellStyle name="Heading 3 2" xfId="4308" xr:uid="{00000000-0005-0000-0000-0000F80B0000}"/>
    <cellStyle name="Heading 4" xfId="2844" xr:uid="{00000000-0005-0000-0000-0000F90B0000}"/>
    <cellStyle name="Heading 4 2" xfId="4309" xr:uid="{00000000-0005-0000-0000-0000FA0B0000}"/>
    <cellStyle name="Heading1" xfId="13" xr:uid="{00000000-0005-0000-0000-0000FB0B0000}"/>
    <cellStyle name="Heading1 2" xfId="4203" xr:uid="{00000000-0005-0000-0000-0000FC0B0000}"/>
    <cellStyle name="Heading2" xfId="14" xr:uid="{00000000-0005-0000-0000-0000FD0B0000}"/>
    <cellStyle name="Heading2 2" xfId="4204" xr:uid="{00000000-0005-0000-0000-0000FE0B0000}"/>
    <cellStyle name="HIGHLIGHT" xfId="2845" xr:uid="{00000000-0005-0000-0000-0000FF0B0000}"/>
    <cellStyle name="Hyperlink" xfId="4899" xr:uid="{00000000-0005-0000-0000-0000000C0000}"/>
    <cellStyle name="Hyperlink 2" xfId="4135" xr:uid="{00000000-0005-0000-0000-0000010C0000}"/>
    <cellStyle name="Input" xfId="2846" xr:uid="{00000000-0005-0000-0000-0000020C0000}"/>
    <cellStyle name="Input [yellow]" xfId="15" xr:uid="{00000000-0005-0000-0000-0000030C0000}"/>
    <cellStyle name="Input [yellow] 10" xfId="2847" xr:uid="{00000000-0005-0000-0000-0000040C0000}"/>
    <cellStyle name="Input [yellow] 11" xfId="2848" xr:uid="{00000000-0005-0000-0000-0000050C0000}"/>
    <cellStyle name="Input [yellow] 12" xfId="2849" xr:uid="{00000000-0005-0000-0000-0000060C0000}"/>
    <cellStyle name="Input [yellow] 13" xfId="2850" xr:uid="{00000000-0005-0000-0000-0000070C0000}"/>
    <cellStyle name="Input [yellow] 14" xfId="2851" xr:uid="{00000000-0005-0000-0000-0000080C0000}"/>
    <cellStyle name="Input [yellow] 15" xfId="2852" xr:uid="{00000000-0005-0000-0000-0000090C0000}"/>
    <cellStyle name="Input [yellow] 16" xfId="2853" xr:uid="{00000000-0005-0000-0000-00000A0C0000}"/>
    <cellStyle name="Input [yellow] 17" xfId="2854" xr:uid="{00000000-0005-0000-0000-00000B0C0000}"/>
    <cellStyle name="Input [yellow] 18" xfId="2855" xr:uid="{00000000-0005-0000-0000-00000C0C0000}"/>
    <cellStyle name="Input [yellow] 19" xfId="2856" xr:uid="{00000000-0005-0000-0000-00000D0C0000}"/>
    <cellStyle name="Input [yellow] 2" xfId="2857" xr:uid="{00000000-0005-0000-0000-00000E0C0000}"/>
    <cellStyle name="Input [yellow] 20" xfId="2858" xr:uid="{00000000-0005-0000-0000-00000F0C0000}"/>
    <cellStyle name="Input [yellow] 21" xfId="4372" xr:uid="{00000000-0005-0000-0000-0000100C0000}"/>
    <cellStyle name="Input [yellow] 3" xfId="2859" xr:uid="{00000000-0005-0000-0000-0000110C0000}"/>
    <cellStyle name="Input [yellow] 4" xfId="2860" xr:uid="{00000000-0005-0000-0000-0000120C0000}"/>
    <cellStyle name="Input [yellow] 5" xfId="2861" xr:uid="{00000000-0005-0000-0000-0000130C0000}"/>
    <cellStyle name="Input [yellow] 6" xfId="2862" xr:uid="{00000000-0005-0000-0000-0000140C0000}"/>
    <cellStyle name="Input [yellow] 7" xfId="2863" xr:uid="{00000000-0005-0000-0000-0000150C0000}"/>
    <cellStyle name="Input [yellow] 8" xfId="2864" xr:uid="{00000000-0005-0000-0000-0000160C0000}"/>
    <cellStyle name="Input [yellow] 9" xfId="2865" xr:uid="{00000000-0005-0000-0000-0000170C0000}"/>
    <cellStyle name="Input [yellow]_통합 정보시스템 견적서(BDS)" xfId="2866" xr:uid="{00000000-0005-0000-0000-0000180C0000}"/>
    <cellStyle name="Input 2" xfId="4310" xr:uid="{00000000-0005-0000-0000-0000190C0000}"/>
    <cellStyle name="Input_DS3500 Price Action_0531" xfId="4136" xr:uid="{00000000-0005-0000-0000-00001A0C0000}"/>
    <cellStyle name="jin" xfId="2867" xr:uid="{00000000-0005-0000-0000-00001B0C0000}"/>
    <cellStyle name="Jun" xfId="2868" xr:uid="{00000000-0005-0000-0000-00001C0C0000}"/>
    <cellStyle name="Jun 2" xfId="4311" xr:uid="{00000000-0005-0000-0000-00001D0C0000}"/>
    <cellStyle name="Komma [0]_BINV" xfId="69" xr:uid="{00000000-0005-0000-0000-00001E0C0000}"/>
    <cellStyle name="Komma_BINV" xfId="70" xr:uid="{00000000-0005-0000-0000-00001F0C0000}"/>
    <cellStyle name="Legend" xfId="2869" xr:uid="{00000000-0005-0000-0000-0000200C0000}"/>
    <cellStyle name="Link Currency (0)" xfId="71" xr:uid="{00000000-0005-0000-0000-0000210C0000}"/>
    <cellStyle name="Link Currency (0) 2" xfId="4137" xr:uid="{00000000-0005-0000-0000-0000220C0000}"/>
    <cellStyle name="Link Currency (0) 3" xfId="4312" xr:uid="{00000000-0005-0000-0000-0000230C0000}"/>
    <cellStyle name="Link Currency (2)" xfId="72" xr:uid="{00000000-0005-0000-0000-0000240C0000}"/>
    <cellStyle name="Link Currency (2) 2" xfId="4138" xr:uid="{00000000-0005-0000-0000-0000250C0000}"/>
    <cellStyle name="Link Currency (2) 3" xfId="4313" xr:uid="{00000000-0005-0000-0000-0000260C0000}"/>
    <cellStyle name="Link Units (0)" xfId="73" xr:uid="{00000000-0005-0000-0000-0000270C0000}"/>
    <cellStyle name="Link Units (0) 2" xfId="4139" xr:uid="{00000000-0005-0000-0000-0000280C0000}"/>
    <cellStyle name="Link Units (0) 3" xfId="4314" xr:uid="{00000000-0005-0000-0000-0000290C0000}"/>
    <cellStyle name="Link Units (1)" xfId="74" xr:uid="{00000000-0005-0000-0000-00002A0C0000}"/>
    <cellStyle name="Link Units (1) 2" xfId="4140" xr:uid="{00000000-0005-0000-0000-00002B0C0000}"/>
    <cellStyle name="Link Units (1) 3" xfId="4315" xr:uid="{00000000-0005-0000-0000-00002C0C0000}"/>
    <cellStyle name="Link Units (2)" xfId="75" xr:uid="{00000000-0005-0000-0000-00002D0C0000}"/>
    <cellStyle name="Link Units (2) 2" xfId="4141" xr:uid="{00000000-0005-0000-0000-00002E0C0000}"/>
    <cellStyle name="Link Units (2) 3" xfId="4316" xr:uid="{00000000-0005-0000-0000-00002F0C0000}"/>
    <cellStyle name="Linked Cell" xfId="2870" xr:uid="{00000000-0005-0000-0000-0000300C0000}"/>
    <cellStyle name="Linked Cell 2" xfId="4317" xr:uid="{00000000-0005-0000-0000-0000310C0000}"/>
    <cellStyle name="LongDesc" xfId="2871" xr:uid="{00000000-0005-0000-0000-0000320C0000}"/>
    <cellStyle name="Millares [0]_laroux" xfId="2872" xr:uid="{00000000-0005-0000-0000-0000330C0000}"/>
    <cellStyle name="Millares_laroux" xfId="2873" xr:uid="{00000000-0005-0000-0000-0000340C0000}"/>
    <cellStyle name="Milliers [0]_!!!GO" xfId="4142" xr:uid="{00000000-0005-0000-0000-0000350C0000}"/>
    <cellStyle name="Milliers_!!!GO" xfId="4143" xr:uid="{00000000-0005-0000-0000-0000360C0000}"/>
    <cellStyle name="Model" xfId="76" xr:uid="{00000000-0005-0000-0000-0000370C0000}"/>
    <cellStyle name="Mon?aire [0]_Arabian Spec" xfId="77" xr:uid="{00000000-0005-0000-0000-0000380C0000}"/>
    <cellStyle name="Mon?aire_Arabian Spec" xfId="78" xr:uid="{00000000-0005-0000-0000-0000390C0000}"/>
    <cellStyle name="Moneda [0]_laroux" xfId="2874" xr:uid="{00000000-0005-0000-0000-00003A0C0000}"/>
    <cellStyle name="Moneda_laroux" xfId="2875" xr:uid="{00000000-0005-0000-0000-00003B0C0000}"/>
    <cellStyle name="Monétaire [0]_!!!GO" xfId="4144" xr:uid="{00000000-0005-0000-0000-00003C0C0000}"/>
    <cellStyle name="Monétaire_!!!GO" xfId="4145" xr:uid="{00000000-0005-0000-0000-00003D0C0000}"/>
    <cellStyle name="Mon騁aire [0]_AR1194" xfId="2876" xr:uid="{00000000-0005-0000-0000-00003E0C0000}"/>
    <cellStyle name="Mon騁aire_AR1194" xfId="2877" xr:uid="{00000000-0005-0000-0000-00003F0C0000}"/>
    <cellStyle name="MS Proofing Tools" xfId="2878" xr:uid="{00000000-0005-0000-0000-0000400C0000}"/>
    <cellStyle name="Neutral" xfId="2879" xr:uid="{00000000-0005-0000-0000-0000410C0000}"/>
    <cellStyle name="Neutral 2" xfId="4318" xr:uid="{00000000-0005-0000-0000-0000420C0000}"/>
    <cellStyle name="New" xfId="170" xr:uid="{00000000-0005-0000-0000-0000430C0000}"/>
    <cellStyle name="no dec" xfId="79" xr:uid="{00000000-0005-0000-0000-0000440C0000}"/>
    <cellStyle name="NO." xfId="2880" xr:uid="{00000000-0005-0000-0000-0000450C0000}"/>
    <cellStyle name="Normal - Style1" xfId="16" xr:uid="{00000000-0005-0000-0000-0000470C0000}"/>
    <cellStyle name="Normal - Style1 10" xfId="2881" xr:uid="{00000000-0005-0000-0000-0000480C0000}"/>
    <cellStyle name="Normal - Style1 11" xfId="2882" xr:uid="{00000000-0005-0000-0000-0000490C0000}"/>
    <cellStyle name="Normal - Style1 12" xfId="2883" xr:uid="{00000000-0005-0000-0000-00004A0C0000}"/>
    <cellStyle name="Normal - Style1 13" xfId="2884" xr:uid="{00000000-0005-0000-0000-00004B0C0000}"/>
    <cellStyle name="Normal - Style1 14" xfId="2885" xr:uid="{00000000-0005-0000-0000-00004C0C0000}"/>
    <cellStyle name="Normal - Style1 15" xfId="2886" xr:uid="{00000000-0005-0000-0000-00004D0C0000}"/>
    <cellStyle name="Normal - Style1 16" xfId="2887" xr:uid="{00000000-0005-0000-0000-00004E0C0000}"/>
    <cellStyle name="Normal - Style1 17" xfId="2888" xr:uid="{00000000-0005-0000-0000-00004F0C0000}"/>
    <cellStyle name="Normal - Style1 18" xfId="2889" xr:uid="{00000000-0005-0000-0000-0000500C0000}"/>
    <cellStyle name="Normal - Style1 19" xfId="2890" xr:uid="{00000000-0005-0000-0000-0000510C0000}"/>
    <cellStyle name="Normal - Style1 2" xfId="2891" xr:uid="{00000000-0005-0000-0000-0000520C0000}"/>
    <cellStyle name="Normal - Style1 2 2" xfId="4146" xr:uid="{00000000-0005-0000-0000-0000530C0000}"/>
    <cellStyle name="Normal - Style1 20" xfId="2892" xr:uid="{00000000-0005-0000-0000-0000540C0000}"/>
    <cellStyle name="Normal - Style1 21" xfId="4319" xr:uid="{00000000-0005-0000-0000-0000550C0000}"/>
    <cellStyle name="Normal - Style1 22" xfId="4373" xr:uid="{00000000-0005-0000-0000-0000560C0000}"/>
    <cellStyle name="Normal - Style1 3" xfId="2893" xr:uid="{00000000-0005-0000-0000-0000570C0000}"/>
    <cellStyle name="Normal - Style1 4" xfId="2894" xr:uid="{00000000-0005-0000-0000-0000580C0000}"/>
    <cellStyle name="Normal - Style1 5" xfId="2895" xr:uid="{00000000-0005-0000-0000-0000590C0000}"/>
    <cellStyle name="Normal - Style1 6" xfId="2896" xr:uid="{00000000-0005-0000-0000-00005A0C0000}"/>
    <cellStyle name="Normal - Style1 7" xfId="2897" xr:uid="{00000000-0005-0000-0000-00005B0C0000}"/>
    <cellStyle name="Normal - Style1 8" xfId="2898" xr:uid="{00000000-0005-0000-0000-00005C0C0000}"/>
    <cellStyle name="Normal - Style1 9" xfId="2899" xr:uid="{00000000-0005-0000-0000-00005D0C0000}"/>
    <cellStyle name="Normal - Style1_101021_DL380G7_(발송)(1)" xfId="2900" xr:uid="{00000000-0005-0000-0000-00005E0C0000}"/>
    <cellStyle name="Normal - Style2" xfId="2901" xr:uid="{00000000-0005-0000-0000-00005F0C0000}"/>
    <cellStyle name="Normal - Style3" xfId="2902" xr:uid="{00000000-0005-0000-0000-0000600C0000}"/>
    <cellStyle name="Normal - Style4" xfId="2903" xr:uid="{00000000-0005-0000-0000-0000610C0000}"/>
    <cellStyle name="Normal - Style5" xfId="2904" xr:uid="{00000000-0005-0000-0000-0000620C0000}"/>
    <cellStyle name="Normal - Style6" xfId="2905" xr:uid="{00000000-0005-0000-0000-0000630C0000}"/>
    <cellStyle name="Normal - Style7" xfId="2906" xr:uid="{00000000-0005-0000-0000-0000640C0000}"/>
    <cellStyle name="Normal - Style8" xfId="2907" xr:uid="{00000000-0005-0000-0000-0000650C0000}"/>
    <cellStyle name="Normal - 유형1" xfId="2908" xr:uid="{00000000-0005-0000-0000-0000660C0000}"/>
    <cellStyle name="Normal 1" xfId="4147" xr:uid="{00000000-0005-0000-0000-0000670C0000}"/>
    <cellStyle name="Normal 10" xfId="2909" xr:uid="{00000000-0005-0000-0000-0000680C0000}"/>
    <cellStyle name="Normal 101" xfId="2910" xr:uid="{00000000-0005-0000-0000-0000690C0000}"/>
    <cellStyle name="Normal 11" xfId="2911" xr:uid="{00000000-0005-0000-0000-00006A0C0000}"/>
    <cellStyle name="Normal 11 8" xfId="2912" xr:uid="{00000000-0005-0000-0000-00006B0C0000}"/>
    <cellStyle name="Normal 12" xfId="2913" xr:uid="{00000000-0005-0000-0000-00006C0C0000}"/>
    <cellStyle name="Normal 13" xfId="2914" xr:uid="{00000000-0005-0000-0000-00006D0C0000}"/>
    <cellStyle name="Normal 16" xfId="2915" xr:uid="{00000000-0005-0000-0000-00006E0C0000}"/>
    <cellStyle name="Normal 17" xfId="2916" xr:uid="{00000000-0005-0000-0000-00006F0C0000}"/>
    <cellStyle name="Normal 19" xfId="2917" xr:uid="{00000000-0005-0000-0000-0000700C0000}"/>
    <cellStyle name="Normal 2" xfId="2918" xr:uid="{00000000-0005-0000-0000-0000710C0000}"/>
    <cellStyle name="Normal 2 10" xfId="2919" xr:uid="{00000000-0005-0000-0000-0000720C0000}"/>
    <cellStyle name="Normal 2 12" xfId="2920" xr:uid="{00000000-0005-0000-0000-0000730C0000}"/>
    <cellStyle name="Normal 2 13" xfId="2921" xr:uid="{00000000-0005-0000-0000-0000740C0000}"/>
    <cellStyle name="Normal 2 14" xfId="2922" xr:uid="{00000000-0005-0000-0000-0000750C0000}"/>
    <cellStyle name="Normal 2 15" xfId="2923" xr:uid="{00000000-0005-0000-0000-0000760C0000}"/>
    <cellStyle name="Normal 2 16" xfId="2924" xr:uid="{00000000-0005-0000-0000-0000770C0000}"/>
    <cellStyle name="Normal 2 17" xfId="2925" xr:uid="{00000000-0005-0000-0000-0000780C0000}"/>
    <cellStyle name="Normal 2 18" xfId="2926" xr:uid="{00000000-0005-0000-0000-0000790C0000}"/>
    <cellStyle name="Normal 2 19" xfId="2927" xr:uid="{00000000-0005-0000-0000-00007A0C0000}"/>
    <cellStyle name="Normal 2 20" xfId="2928" xr:uid="{00000000-0005-0000-0000-00007B0C0000}"/>
    <cellStyle name="Normal 2 21" xfId="2929" xr:uid="{00000000-0005-0000-0000-00007C0C0000}"/>
    <cellStyle name="Normal 2 22" xfId="2930" xr:uid="{00000000-0005-0000-0000-00007D0C0000}"/>
    <cellStyle name="Normal 2 23" xfId="2931" xr:uid="{00000000-0005-0000-0000-00007E0C0000}"/>
    <cellStyle name="Normal 2 24" xfId="2932" xr:uid="{00000000-0005-0000-0000-00007F0C0000}"/>
    <cellStyle name="Normal 2 25" xfId="2933" xr:uid="{00000000-0005-0000-0000-0000800C0000}"/>
    <cellStyle name="Normal 2 26" xfId="2934" xr:uid="{00000000-0005-0000-0000-0000810C0000}"/>
    <cellStyle name="Normal 2 29" xfId="2935" xr:uid="{00000000-0005-0000-0000-0000820C0000}"/>
    <cellStyle name="Normal 2 31" xfId="2936" xr:uid="{00000000-0005-0000-0000-0000830C0000}"/>
    <cellStyle name="Normal 2 33" xfId="2937" xr:uid="{00000000-0005-0000-0000-0000840C0000}"/>
    <cellStyle name="Normal 2 34" xfId="2938" xr:uid="{00000000-0005-0000-0000-0000850C0000}"/>
    <cellStyle name="Normal 2 35" xfId="2939" xr:uid="{00000000-0005-0000-0000-0000860C0000}"/>
    <cellStyle name="Normal 2 36" xfId="2940" xr:uid="{00000000-0005-0000-0000-0000870C0000}"/>
    <cellStyle name="Normal 2 37" xfId="2941" xr:uid="{00000000-0005-0000-0000-0000880C0000}"/>
    <cellStyle name="Normal 2 38" xfId="2942" xr:uid="{00000000-0005-0000-0000-0000890C0000}"/>
    <cellStyle name="Normal 2 39" xfId="2943" xr:uid="{00000000-0005-0000-0000-00008A0C0000}"/>
    <cellStyle name="Normal 2 40" xfId="2944" xr:uid="{00000000-0005-0000-0000-00008B0C0000}"/>
    <cellStyle name="Normal 2 41" xfId="2945" xr:uid="{00000000-0005-0000-0000-00008C0C0000}"/>
    <cellStyle name="Normal 2 42" xfId="2946" xr:uid="{00000000-0005-0000-0000-00008D0C0000}"/>
    <cellStyle name="Normal 2 43" xfId="2947" xr:uid="{00000000-0005-0000-0000-00008E0C0000}"/>
    <cellStyle name="Normal 2 45" xfId="2948" xr:uid="{00000000-0005-0000-0000-00008F0C0000}"/>
    <cellStyle name="Normal 2 46" xfId="2949" xr:uid="{00000000-0005-0000-0000-0000900C0000}"/>
    <cellStyle name="Normal 2 47" xfId="2950" xr:uid="{00000000-0005-0000-0000-0000910C0000}"/>
    <cellStyle name="Normal 2 56" xfId="2951" xr:uid="{00000000-0005-0000-0000-0000920C0000}"/>
    <cellStyle name="Normal 20" xfId="2952" xr:uid="{00000000-0005-0000-0000-0000930C0000}"/>
    <cellStyle name="Normal 20 3" xfId="2953" xr:uid="{00000000-0005-0000-0000-0000940C0000}"/>
    <cellStyle name="Normal 21" xfId="2954" xr:uid="{00000000-0005-0000-0000-0000950C0000}"/>
    <cellStyle name="Normal 22" xfId="2955" xr:uid="{00000000-0005-0000-0000-0000960C0000}"/>
    <cellStyle name="Normal 23" xfId="2956" xr:uid="{00000000-0005-0000-0000-0000970C0000}"/>
    <cellStyle name="Normal 23 8" xfId="2957" xr:uid="{00000000-0005-0000-0000-0000980C0000}"/>
    <cellStyle name="Normal 24" xfId="2958" xr:uid="{00000000-0005-0000-0000-0000990C0000}"/>
    <cellStyle name="Normal 24 3" xfId="2959" xr:uid="{00000000-0005-0000-0000-00009A0C0000}"/>
    <cellStyle name="Normal 25" xfId="2960" xr:uid="{00000000-0005-0000-0000-00009B0C0000}"/>
    <cellStyle name="Normal 25 3" xfId="2961" xr:uid="{00000000-0005-0000-0000-00009C0C0000}"/>
    <cellStyle name="Normal 26" xfId="2962" xr:uid="{00000000-0005-0000-0000-00009D0C0000}"/>
    <cellStyle name="Normal 26 8" xfId="2963" xr:uid="{00000000-0005-0000-0000-00009E0C0000}"/>
    <cellStyle name="Normal 27" xfId="2964" xr:uid="{00000000-0005-0000-0000-00009F0C0000}"/>
    <cellStyle name="Normal 27 3" xfId="2965" xr:uid="{00000000-0005-0000-0000-0000A00C0000}"/>
    <cellStyle name="Normal 28" xfId="2966" xr:uid="{00000000-0005-0000-0000-0000A10C0000}"/>
    <cellStyle name="Normal 28 8" xfId="2967" xr:uid="{00000000-0005-0000-0000-0000A20C0000}"/>
    <cellStyle name="Normal 29" xfId="2968" xr:uid="{00000000-0005-0000-0000-0000A30C0000}"/>
    <cellStyle name="Normal 29 3" xfId="2969" xr:uid="{00000000-0005-0000-0000-0000A40C0000}"/>
    <cellStyle name="Normal 3" xfId="2970" xr:uid="{00000000-0005-0000-0000-0000A50C0000}"/>
    <cellStyle name="Normal 32" xfId="2971" xr:uid="{00000000-0005-0000-0000-0000A60C0000}"/>
    <cellStyle name="Normal 39" xfId="2972" xr:uid="{00000000-0005-0000-0000-0000A70C0000}"/>
    <cellStyle name="Normal 4" xfId="2973" xr:uid="{00000000-0005-0000-0000-0000A80C0000}"/>
    <cellStyle name="Normal 4 18" xfId="2974" xr:uid="{00000000-0005-0000-0000-0000A90C0000}"/>
    <cellStyle name="Normal 4 2" xfId="2975" xr:uid="{00000000-0005-0000-0000-0000AA0C0000}"/>
    <cellStyle name="Normal 4 2 21" xfId="2976" xr:uid="{00000000-0005-0000-0000-0000AB0C0000}"/>
    <cellStyle name="Normal 6" xfId="2977" xr:uid="{00000000-0005-0000-0000-0000AC0C0000}"/>
    <cellStyle name="Normal 7" xfId="2978" xr:uid="{00000000-0005-0000-0000-0000AD0C0000}"/>
    <cellStyle name="Normal 8" xfId="2979" xr:uid="{00000000-0005-0000-0000-0000AE0C0000}"/>
    <cellStyle name="Normal 8 8" xfId="2980" xr:uid="{00000000-0005-0000-0000-0000AF0C0000}"/>
    <cellStyle name="Normal 9" xfId="2981" xr:uid="{00000000-0005-0000-0000-0000B00C0000}"/>
    <cellStyle name="normálne_Assets" xfId="2982" xr:uid="{00000000-0005-0000-0000-0000B20C0000}"/>
    <cellStyle name="Note" xfId="2983" xr:uid="{00000000-0005-0000-0000-0000B30C0000}"/>
    <cellStyle name="Note 2" xfId="2984" xr:uid="{00000000-0005-0000-0000-0000B40C0000}"/>
    <cellStyle name="Note 3" xfId="2985" xr:uid="{00000000-0005-0000-0000-0000B50C0000}"/>
    <cellStyle name="Note 4" xfId="2986" xr:uid="{00000000-0005-0000-0000-0000B60C0000}"/>
    <cellStyle name="Note 5" xfId="2987" xr:uid="{00000000-0005-0000-0000-0000B70C0000}"/>
    <cellStyle name="Note 6" xfId="2988" xr:uid="{00000000-0005-0000-0000-0000B80C0000}"/>
    <cellStyle name="Note 7" xfId="2989" xr:uid="{00000000-0005-0000-0000-0000B90C0000}"/>
    <cellStyle name="Note 8" xfId="4320" xr:uid="{00000000-0005-0000-0000-0000BA0C0000}"/>
    <cellStyle name="number-red" xfId="4148" xr:uid="{00000000-0005-0000-0000-0000BB0C0000}"/>
    <cellStyle name="Numk" xfId="2990" xr:uid="{00000000-0005-0000-0000-0000BC0C0000}"/>
    <cellStyle name="NWS" xfId="2991" xr:uid="{00000000-0005-0000-0000-0000BD0C0000}"/>
    <cellStyle name="Œ…?æ맖?e [0.00]_laroux" xfId="2992" xr:uid="{00000000-0005-0000-0000-0000BE0C0000}"/>
    <cellStyle name="Œ…?æ맖?e_laroux" xfId="2993" xr:uid="{00000000-0005-0000-0000-0000BF0C0000}"/>
    <cellStyle name="Œ…‹æØ‚è [0.00]_laroux" xfId="171" xr:uid="{00000000-0005-0000-0000-0000C00C0000}"/>
    <cellStyle name="Œ…‹æØ‚è_laroux" xfId="172" xr:uid="{00000000-0005-0000-0000-0000C10C0000}"/>
    <cellStyle name="oft Excel]_x000d__x000a_Comment=The open=/f lines load custom functions into the Paste Function list._x000d__x000a_Maximized=3_x000d__x000a_AutoFormat=" xfId="2994" xr:uid="{00000000-0005-0000-0000-0000C20C0000}"/>
    <cellStyle name="OneDecPer" xfId="2995" xr:uid="{00000000-0005-0000-0000-0000C30C0000}"/>
    <cellStyle name="Ordering Number" xfId="173" xr:uid="{00000000-0005-0000-0000-0000C40C0000}"/>
    <cellStyle name="Output" xfId="2996" xr:uid="{00000000-0005-0000-0000-0000C50C0000}"/>
    <cellStyle name="Output 2" xfId="4321" xr:uid="{00000000-0005-0000-0000-0000C60C0000}"/>
    <cellStyle name="p/n" xfId="2997" xr:uid="{00000000-0005-0000-0000-0000C70C0000}"/>
    <cellStyle name="Percent" xfId="17" xr:uid="{00000000-0005-0000-0000-0000C80C0000}"/>
    <cellStyle name="Percent (1)" xfId="2998" xr:uid="{00000000-0005-0000-0000-0000C90C0000}"/>
    <cellStyle name="Percent (2)" xfId="2999" xr:uid="{00000000-0005-0000-0000-0000CA0C0000}"/>
    <cellStyle name="Percent [0]" xfId="80" xr:uid="{00000000-0005-0000-0000-0000CB0C0000}"/>
    <cellStyle name="Percent [0] 2" xfId="4149" xr:uid="{00000000-0005-0000-0000-0000CC0C0000}"/>
    <cellStyle name="Percent [0] 3" xfId="4322" xr:uid="{00000000-0005-0000-0000-0000CD0C0000}"/>
    <cellStyle name="Percent [00]" xfId="81" xr:uid="{00000000-0005-0000-0000-0000CE0C0000}"/>
    <cellStyle name="Percent [00] 2" xfId="4150" xr:uid="{00000000-0005-0000-0000-0000CF0C0000}"/>
    <cellStyle name="Percent [00] 3" xfId="4323" xr:uid="{00000000-0005-0000-0000-0000D00C0000}"/>
    <cellStyle name="Percent [2]" xfId="18" xr:uid="{00000000-0005-0000-0000-0000D10C0000}"/>
    <cellStyle name="Percent [2] 2" xfId="3000" xr:uid="{00000000-0005-0000-0000-0000D20C0000}"/>
    <cellStyle name="Percent [2] 3" xfId="3001" xr:uid="{00000000-0005-0000-0000-0000D30C0000}"/>
    <cellStyle name="Percent [2] 4" xfId="3002" xr:uid="{00000000-0005-0000-0000-0000D40C0000}"/>
    <cellStyle name="Percent [2] 5" xfId="3003" xr:uid="{00000000-0005-0000-0000-0000D50C0000}"/>
    <cellStyle name="Percent [2] 6" xfId="3004" xr:uid="{00000000-0005-0000-0000-0000D60C0000}"/>
    <cellStyle name="Percent [2] 7" xfId="3005" xr:uid="{00000000-0005-0000-0000-0000D70C0000}"/>
    <cellStyle name="Percent 2" xfId="4205" xr:uid="{00000000-0005-0000-0000-0000D80C0000}"/>
    <cellStyle name="Percent 3" xfId="3006" xr:uid="{00000000-0005-0000-0000-0000D90C0000}"/>
    <cellStyle name="Percent 3 10" xfId="3007" xr:uid="{00000000-0005-0000-0000-0000DA0C0000}"/>
    <cellStyle name="Percent 3 11" xfId="3008" xr:uid="{00000000-0005-0000-0000-0000DB0C0000}"/>
    <cellStyle name="Percent 3 12" xfId="3009" xr:uid="{00000000-0005-0000-0000-0000DC0C0000}"/>
    <cellStyle name="Percent 3 13" xfId="3010" xr:uid="{00000000-0005-0000-0000-0000DD0C0000}"/>
    <cellStyle name="Percent 3 14" xfId="3011" xr:uid="{00000000-0005-0000-0000-0000DE0C0000}"/>
    <cellStyle name="Percent 3 15" xfId="3012" xr:uid="{00000000-0005-0000-0000-0000DF0C0000}"/>
    <cellStyle name="Percent 3 16" xfId="3013" xr:uid="{00000000-0005-0000-0000-0000E00C0000}"/>
    <cellStyle name="Percent 3 17" xfId="3014" xr:uid="{00000000-0005-0000-0000-0000E10C0000}"/>
    <cellStyle name="Percent 3 18" xfId="3015" xr:uid="{00000000-0005-0000-0000-0000E20C0000}"/>
    <cellStyle name="Percent 3 19" xfId="3016" xr:uid="{00000000-0005-0000-0000-0000E30C0000}"/>
    <cellStyle name="Percent 3 2" xfId="3017" xr:uid="{00000000-0005-0000-0000-0000E40C0000}"/>
    <cellStyle name="Percent 3 2 10" xfId="3018" xr:uid="{00000000-0005-0000-0000-0000E50C0000}"/>
    <cellStyle name="Percent 3 2 11" xfId="3019" xr:uid="{00000000-0005-0000-0000-0000E60C0000}"/>
    <cellStyle name="Percent 3 2 12" xfId="3020" xr:uid="{00000000-0005-0000-0000-0000E70C0000}"/>
    <cellStyle name="Percent 3 2 13" xfId="3021" xr:uid="{00000000-0005-0000-0000-0000E80C0000}"/>
    <cellStyle name="Percent 3 2 14" xfId="3022" xr:uid="{00000000-0005-0000-0000-0000E90C0000}"/>
    <cellStyle name="Percent 3 2 15" xfId="3023" xr:uid="{00000000-0005-0000-0000-0000EA0C0000}"/>
    <cellStyle name="Percent 3 2 16" xfId="3024" xr:uid="{00000000-0005-0000-0000-0000EB0C0000}"/>
    <cellStyle name="Percent 3 2 17" xfId="3025" xr:uid="{00000000-0005-0000-0000-0000EC0C0000}"/>
    <cellStyle name="Percent 3 2 2" xfId="3026" xr:uid="{00000000-0005-0000-0000-0000ED0C0000}"/>
    <cellStyle name="Percent 3 2 3" xfId="3027" xr:uid="{00000000-0005-0000-0000-0000EE0C0000}"/>
    <cellStyle name="Percent 3 2 4" xfId="3028" xr:uid="{00000000-0005-0000-0000-0000EF0C0000}"/>
    <cellStyle name="Percent 3 2 5" xfId="3029" xr:uid="{00000000-0005-0000-0000-0000F00C0000}"/>
    <cellStyle name="Percent 3 2 6" xfId="3030" xr:uid="{00000000-0005-0000-0000-0000F10C0000}"/>
    <cellStyle name="Percent 3 2 7" xfId="3031" xr:uid="{00000000-0005-0000-0000-0000F20C0000}"/>
    <cellStyle name="Percent 3 2 8" xfId="3032" xr:uid="{00000000-0005-0000-0000-0000F30C0000}"/>
    <cellStyle name="Percent 3 2 8 10" xfId="3033" xr:uid="{00000000-0005-0000-0000-0000F40C0000}"/>
    <cellStyle name="Percent 3 2 8 11" xfId="3034" xr:uid="{00000000-0005-0000-0000-0000F50C0000}"/>
    <cellStyle name="Percent 3 2 8 12" xfId="3035" xr:uid="{00000000-0005-0000-0000-0000F60C0000}"/>
    <cellStyle name="Percent 3 2 8 13" xfId="3036" xr:uid="{00000000-0005-0000-0000-0000F70C0000}"/>
    <cellStyle name="Percent 3 2 8 14" xfId="3037" xr:uid="{00000000-0005-0000-0000-0000F80C0000}"/>
    <cellStyle name="Percent 3 2 8 15" xfId="3038" xr:uid="{00000000-0005-0000-0000-0000F90C0000}"/>
    <cellStyle name="Percent 3 2 8 16" xfId="3039" xr:uid="{00000000-0005-0000-0000-0000FA0C0000}"/>
    <cellStyle name="Percent 3 2 8 17" xfId="3040" xr:uid="{00000000-0005-0000-0000-0000FB0C0000}"/>
    <cellStyle name="Percent 3 2 8 18" xfId="3041" xr:uid="{00000000-0005-0000-0000-0000FC0C0000}"/>
    <cellStyle name="Percent 3 2 8 19" xfId="3042" xr:uid="{00000000-0005-0000-0000-0000FD0C0000}"/>
    <cellStyle name="Percent 3 2 8 2" xfId="3043" xr:uid="{00000000-0005-0000-0000-0000FE0C0000}"/>
    <cellStyle name="Percent 3 2 8 20" xfId="3044" xr:uid="{00000000-0005-0000-0000-0000FF0C0000}"/>
    <cellStyle name="Percent 3 2 8 21" xfId="3045" xr:uid="{00000000-0005-0000-0000-0000000D0000}"/>
    <cellStyle name="Percent 3 2 8 22" xfId="3046" xr:uid="{00000000-0005-0000-0000-0000010D0000}"/>
    <cellStyle name="Percent 3 2 8 23" xfId="3047" xr:uid="{00000000-0005-0000-0000-0000020D0000}"/>
    <cellStyle name="Percent 3 2 8 24" xfId="3048" xr:uid="{00000000-0005-0000-0000-0000030D0000}"/>
    <cellStyle name="Percent 3 2 8 25" xfId="3049" xr:uid="{00000000-0005-0000-0000-0000040D0000}"/>
    <cellStyle name="Percent 3 2 8 26" xfId="3050" xr:uid="{00000000-0005-0000-0000-0000050D0000}"/>
    <cellStyle name="Percent 3 2 8 27" xfId="3051" xr:uid="{00000000-0005-0000-0000-0000060D0000}"/>
    <cellStyle name="Percent 3 2 8 28" xfId="3052" xr:uid="{00000000-0005-0000-0000-0000070D0000}"/>
    <cellStyle name="Percent 3 2 8 29" xfId="3053" xr:uid="{00000000-0005-0000-0000-0000080D0000}"/>
    <cellStyle name="Percent 3 2 8 3" xfId="3054" xr:uid="{00000000-0005-0000-0000-0000090D0000}"/>
    <cellStyle name="Percent 3 2 8 30" xfId="3055" xr:uid="{00000000-0005-0000-0000-00000A0D0000}"/>
    <cellStyle name="Percent 3 2 8 31" xfId="3056" xr:uid="{00000000-0005-0000-0000-00000B0D0000}"/>
    <cellStyle name="Percent 3 2 8 32" xfId="3057" xr:uid="{00000000-0005-0000-0000-00000C0D0000}"/>
    <cellStyle name="Percent 3 2 8 33" xfId="3058" xr:uid="{00000000-0005-0000-0000-00000D0D0000}"/>
    <cellStyle name="Percent 3 2 8 34" xfId="3059" xr:uid="{00000000-0005-0000-0000-00000E0D0000}"/>
    <cellStyle name="Percent 3 2 8 35" xfId="3060" xr:uid="{00000000-0005-0000-0000-00000F0D0000}"/>
    <cellStyle name="Percent 3 2 8 36" xfId="3061" xr:uid="{00000000-0005-0000-0000-0000100D0000}"/>
    <cellStyle name="Percent 3 2 8 37" xfId="3062" xr:uid="{00000000-0005-0000-0000-0000110D0000}"/>
    <cellStyle name="Percent 3 2 8 38" xfId="3063" xr:uid="{00000000-0005-0000-0000-0000120D0000}"/>
    <cellStyle name="Percent 3 2 8 39" xfId="3064" xr:uid="{00000000-0005-0000-0000-0000130D0000}"/>
    <cellStyle name="Percent 3 2 8 4" xfId="3065" xr:uid="{00000000-0005-0000-0000-0000140D0000}"/>
    <cellStyle name="Percent 3 2 8 5" xfId="3066" xr:uid="{00000000-0005-0000-0000-0000150D0000}"/>
    <cellStyle name="Percent 3 2 8 6" xfId="3067" xr:uid="{00000000-0005-0000-0000-0000160D0000}"/>
    <cellStyle name="Percent 3 2 8 7" xfId="3068" xr:uid="{00000000-0005-0000-0000-0000170D0000}"/>
    <cellStyle name="Percent 3 2 8 8" xfId="3069" xr:uid="{00000000-0005-0000-0000-0000180D0000}"/>
    <cellStyle name="Percent 3 2 8 9" xfId="3070" xr:uid="{00000000-0005-0000-0000-0000190D0000}"/>
    <cellStyle name="Percent 3 2 9" xfId="3071" xr:uid="{00000000-0005-0000-0000-00001A0D0000}"/>
    <cellStyle name="Percent 3 20" xfId="3072" xr:uid="{00000000-0005-0000-0000-00001B0D0000}"/>
    <cellStyle name="Percent 3 21" xfId="3073" xr:uid="{00000000-0005-0000-0000-00001C0D0000}"/>
    <cellStyle name="Percent 3 22" xfId="3074" xr:uid="{00000000-0005-0000-0000-00001D0D0000}"/>
    <cellStyle name="Percent 3 23" xfId="3075" xr:uid="{00000000-0005-0000-0000-00001E0D0000}"/>
    <cellStyle name="Percent 3 24" xfId="3076" xr:uid="{00000000-0005-0000-0000-00001F0D0000}"/>
    <cellStyle name="Percent 3 25" xfId="3077" xr:uid="{00000000-0005-0000-0000-0000200D0000}"/>
    <cellStyle name="Percent 3 26" xfId="3078" xr:uid="{00000000-0005-0000-0000-0000210D0000}"/>
    <cellStyle name="Percent 3 27" xfId="3079" xr:uid="{00000000-0005-0000-0000-0000220D0000}"/>
    <cellStyle name="Percent 3 28" xfId="3080" xr:uid="{00000000-0005-0000-0000-0000230D0000}"/>
    <cellStyle name="Percent 3 29" xfId="3081" xr:uid="{00000000-0005-0000-0000-0000240D0000}"/>
    <cellStyle name="Percent 3 3" xfId="3082" xr:uid="{00000000-0005-0000-0000-0000250D0000}"/>
    <cellStyle name="Percent 3 30" xfId="3083" xr:uid="{00000000-0005-0000-0000-0000260D0000}"/>
    <cellStyle name="Percent 3 31" xfId="3084" xr:uid="{00000000-0005-0000-0000-0000270D0000}"/>
    <cellStyle name="Percent 3 32" xfId="3085" xr:uid="{00000000-0005-0000-0000-0000280D0000}"/>
    <cellStyle name="Percent 3 33" xfId="3086" xr:uid="{00000000-0005-0000-0000-0000290D0000}"/>
    <cellStyle name="Percent 3 34" xfId="3087" xr:uid="{00000000-0005-0000-0000-00002A0D0000}"/>
    <cellStyle name="Percent 3 35" xfId="3088" xr:uid="{00000000-0005-0000-0000-00002B0D0000}"/>
    <cellStyle name="Percent 3 36" xfId="3089" xr:uid="{00000000-0005-0000-0000-00002C0D0000}"/>
    <cellStyle name="Percent 3 37" xfId="3090" xr:uid="{00000000-0005-0000-0000-00002D0D0000}"/>
    <cellStyle name="Percent 3 38" xfId="3091" xr:uid="{00000000-0005-0000-0000-00002E0D0000}"/>
    <cellStyle name="Percent 3 39" xfId="3092" xr:uid="{00000000-0005-0000-0000-00002F0D0000}"/>
    <cellStyle name="Percent 3 4" xfId="3093" xr:uid="{00000000-0005-0000-0000-0000300D0000}"/>
    <cellStyle name="Percent 3 40" xfId="3094" xr:uid="{00000000-0005-0000-0000-0000310D0000}"/>
    <cellStyle name="Percent 3 5" xfId="3095" xr:uid="{00000000-0005-0000-0000-0000320D0000}"/>
    <cellStyle name="Percent 3 6" xfId="3096" xr:uid="{00000000-0005-0000-0000-0000330D0000}"/>
    <cellStyle name="Percent 3 7" xfId="3097" xr:uid="{00000000-0005-0000-0000-0000340D0000}"/>
    <cellStyle name="Percent 3 8" xfId="3098" xr:uid="{00000000-0005-0000-0000-0000350D0000}"/>
    <cellStyle name="Percent 3 9" xfId="3099" xr:uid="{00000000-0005-0000-0000-0000360D0000}"/>
    <cellStyle name="Percent 4" xfId="4206" xr:uid="{00000000-0005-0000-0000-0000370D0000}"/>
    <cellStyle name="Percent_#6 Temps &amp; Contractors" xfId="82" xr:uid="{00000000-0005-0000-0000-0000380D0000}"/>
    <cellStyle name="percentage" xfId="3100" xr:uid="{00000000-0005-0000-0000-0000390D0000}"/>
    <cellStyle name="PrePop Currency (0)" xfId="83" xr:uid="{00000000-0005-0000-0000-00003A0D0000}"/>
    <cellStyle name="PrePop Currency (0) 2" xfId="4151" xr:uid="{00000000-0005-0000-0000-00003B0D0000}"/>
    <cellStyle name="PrePop Currency (0) 3" xfId="4324" xr:uid="{00000000-0005-0000-0000-00003C0D0000}"/>
    <cellStyle name="PrePop Currency (2)" xfId="84" xr:uid="{00000000-0005-0000-0000-00003D0D0000}"/>
    <cellStyle name="PrePop Currency (2) 2" xfId="4152" xr:uid="{00000000-0005-0000-0000-00003E0D0000}"/>
    <cellStyle name="PrePop Currency (2) 3" xfId="4325" xr:uid="{00000000-0005-0000-0000-00003F0D0000}"/>
    <cellStyle name="PrePop Units (0)" xfId="85" xr:uid="{00000000-0005-0000-0000-0000400D0000}"/>
    <cellStyle name="PrePop Units (0) 2" xfId="4153" xr:uid="{00000000-0005-0000-0000-0000410D0000}"/>
    <cellStyle name="PrePop Units (0) 3" xfId="4326" xr:uid="{00000000-0005-0000-0000-0000420D0000}"/>
    <cellStyle name="PrePop Units (1)" xfId="86" xr:uid="{00000000-0005-0000-0000-0000430D0000}"/>
    <cellStyle name="PrePop Units (1) 2" xfId="4154" xr:uid="{00000000-0005-0000-0000-0000440D0000}"/>
    <cellStyle name="PrePop Units (1) 3" xfId="4327" xr:uid="{00000000-0005-0000-0000-0000450D0000}"/>
    <cellStyle name="PrePop Units (2)" xfId="87" xr:uid="{00000000-0005-0000-0000-0000460D0000}"/>
    <cellStyle name="PrePop Units (2) 2" xfId="4155" xr:uid="{00000000-0005-0000-0000-0000470D0000}"/>
    <cellStyle name="PrePop Units (2) 3" xfId="4328" xr:uid="{00000000-0005-0000-0000-0000480D0000}"/>
    <cellStyle name="Price" xfId="174" xr:uid="{00000000-0005-0000-0000-0000490D0000}"/>
    <cellStyle name="PRICE2" xfId="175" xr:uid="{00000000-0005-0000-0000-00004A0D0000}"/>
    <cellStyle name="Prices" xfId="3101" xr:uid="{00000000-0005-0000-0000-00004B0D0000}"/>
    <cellStyle name="Procent_BINV" xfId="88" xr:uid="{00000000-0005-0000-0000-00004C0D0000}"/>
    <cellStyle name="Product" xfId="3102" xr:uid="{00000000-0005-0000-0000-00004D0D0000}"/>
    <cellStyle name="PropGenCurrencyFormat" xfId="3103" xr:uid="{00000000-0005-0000-0000-00004E0D0000}"/>
    <cellStyle name="PropGenCurrencyFormat 2" xfId="4329" xr:uid="{00000000-0005-0000-0000-00004F0D0000}"/>
    <cellStyle name="protected" xfId="3104" xr:uid="{00000000-0005-0000-0000-0000500D0000}"/>
    <cellStyle name="PSChar" xfId="3105" xr:uid="{00000000-0005-0000-0000-0000510D0000}"/>
    <cellStyle name="PSDate" xfId="3106" xr:uid="{00000000-0005-0000-0000-0000520D0000}"/>
    <cellStyle name="PSDec" xfId="3107" xr:uid="{00000000-0005-0000-0000-0000530D0000}"/>
    <cellStyle name="PSHeading" xfId="3108" xr:uid="{00000000-0005-0000-0000-0000540D0000}"/>
    <cellStyle name="PSInt" xfId="3109" xr:uid="{00000000-0005-0000-0000-0000550D0000}"/>
    <cellStyle name="PSSpacer" xfId="3110" xr:uid="{00000000-0005-0000-0000-0000560D0000}"/>
    <cellStyle name="red" xfId="3111" xr:uid="{00000000-0005-0000-0000-0000570D0000}"/>
    <cellStyle name="Regular Type" xfId="3112" xr:uid="{00000000-0005-0000-0000-0000580D0000}"/>
    <cellStyle name="Released" xfId="3113" xr:uid="{00000000-0005-0000-0000-0000590D0000}"/>
    <cellStyle name="RevList" xfId="89" xr:uid="{00000000-0005-0000-0000-00005A0D0000}"/>
    <cellStyle name="SAPBEXstdItem" xfId="3114" xr:uid="{00000000-0005-0000-0000-00005B0D0000}"/>
    <cellStyle name="sbt2" xfId="3115" xr:uid="{00000000-0005-0000-0000-00005C0D0000}"/>
    <cellStyle name="SectionSubTitle" xfId="3116" xr:uid="{00000000-0005-0000-0000-00005D0D0000}"/>
    <cellStyle name="Shadow" xfId="4330" xr:uid="{00000000-0005-0000-0000-00005E0D0000}"/>
    <cellStyle name="Sheet Title" xfId="4331" xr:uid="{00000000-0005-0000-0000-00005F0D0000}"/>
    <cellStyle name="small descr." xfId="176" xr:uid="{00000000-0005-0000-0000-0000600D0000}"/>
    <cellStyle name="Small Heading" xfId="3117" xr:uid="{00000000-0005-0000-0000-0000610D0000}"/>
    <cellStyle name="Standaard_BINV" xfId="90" xr:uid="{00000000-0005-0000-0000-0000620D0000}"/>
    <cellStyle name="STANDARD" xfId="4156" xr:uid="{00000000-0005-0000-0000-0000630D0000}"/>
    <cellStyle name="Style 1" xfId="3118" xr:uid="{00000000-0005-0000-0000-0000640D0000}"/>
    <cellStyle name="sub" xfId="3119" xr:uid="{00000000-0005-0000-0000-0000650D0000}"/>
    <cellStyle name="subhead" xfId="91" xr:uid="{00000000-0005-0000-0000-0000660D0000}"/>
    <cellStyle name="subt1" xfId="3120" xr:uid="{00000000-0005-0000-0000-0000670D0000}"/>
    <cellStyle name="Subtotal" xfId="92" xr:uid="{00000000-0005-0000-0000-0000680D0000}"/>
    <cellStyle name="Temp" xfId="3121" xr:uid="{00000000-0005-0000-0000-0000690D0000}"/>
    <cellStyle name="text" xfId="177" xr:uid="{00000000-0005-0000-0000-00006A0D0000}"/>
    <cellStyle name="Text Indent A" xfId="93" xr:uid="{00000000-0005-0000-0000-00006B0D0000}"/>
    <cellStyle name="Text Indent B" xfId="94" xr:uid="{00000000-0005-0000-0000-00006C0D0000}"/>
    <cellStyle name="Text Indent B 2" xfId="4157" xr:uid="{00000000-0005-0000-0000-00006D0D0000}"/>
    <cellStyle name="Text Indent B 3" xfId="4332" xr:uid="{00000000-0005-0000-0000-00006E0D0000}"/>
    <cellStyle name="Text Indent C" xfId="95" xr:uid="{00000000-0005-0000-0000-00006F0D0000}"/>
    <cellStyle name="Text Indent C 2" xfId="4158" xr:uid="{00000000-0005-0000-0000-0000700D0000}"/>
    <cellStyle name="Text Indent C 3" xfId="4333" xr:uid="{00000000-0005-0000-0000-0000710D0000}"/>
    <cellStyle name="þ?b?þ?b?þ?b?þ?b?þ?b?þ?b?þ?b灌þ?b?þ?&lt;?b?þ?b濬þ?b?þ?b?þ昰_x0018_?þ????_x0008_" xfId="3122" xr:uid="{00000000-0005-0000-0000-0000720D0000}"/>
    <cellStyle name="þ൚b⍼þ൪b⎨þൺb⏜þඊb␌þකb濰þඪb瀠þයb灌þ්b炈þ宐&lt;෢b濈þෲb濬þขb瀐þฒb瀰þ昰_x0018_⋸þ㤕䰀ጤܕ_x0008_" xfId="3123" xr:uid="{00000000-0005-0000-0000-0000730D0000}"/>
    <cellStyle name="Title" xfId="3124" xr:uid="{00000000-0005-0000-0000-0000740D0000}"/>
    <cellStyle name="title [1]" xfId="3125" xr:uid="{00000000-0005-0000-0000-0000750D0000}"/>
    <cellStyle name="title [2]" xfId="3126" xr:uid="{00000000-0005-0000-0000-0000760D0000}"/>
    <cellStyle name="Title 2" xfId="4334" xr:uid="{00000000-0005-0000-0000-0000770D0000}"/>
    <cellStyle name="Total" xfId="19" xr:uid="{00000000-0005-0000-0000-0000780D0000}"/>
    <cellStyle name="Total 2" xfId="4159" xr:uid="{00000000-0005-0000-0000-0000790D0000}"/>
    <cellStyle name="Total 2 2" xfId="4335" xr:uid="{00000000-0005-0000-0000-00007A0D0000}"/>
    <cellStyle name="Trend_title1" xfId="3127" xr:uid="{00000000-0005-0000-0000-00007B0D0000}"/>
    <cellStyle name="Try1" xfId="3128" xr:uid="{00000000-0005-0000-0000-00007C0D0000}"/>
    <cellStyle name="Tusental (0)_pldt" xfId="4207" xr:uid="{00000000-0005-0000-0000-00007D0D0000}"/>
    <cellStyle name="Tusental_pldt" xfId="4208" xr:uid="{00000000-0005-0000-0000-00007E0D0000}"/>
    <cellStyle name="Unprot" xfId="3129" xr:uid="{00000000-0005-0000-0000-00007F0D0000}"/>
    <cellStyle name="Unprot$" xfId="3130" xr:uid="{00000000-0005-0000-0000-0000800D0000}"/>
    <cellStyle name="Unprotect" xfId="3131" xr:uid="{00000000-0005-0000-0000-0000810D0000}"/>
    <cellStyle name="unprotected" xfId="3132" xr:uid="{00000000-0005-0000-0000-0000820D0000}"/>
    <cellStyle name="Valuta (0)_pldt" xfId="4209" xr:uid="{00000000-0005-0000-0000-0000830D0000}"/>
    <cellStyle name="Valuta [0]_BINV" xfId="96" xr:uid="{00000000-0005-0000-0000-0000840D0000}"/>
    <cellStyle name="Valuta_BINV" xfId="97" xr:uid="{00000000-0005-0000-0000-0000850D0000}"/>
    <cellStyle name="W?rung [0]_Ausdruck RUND (D)" xfId="3133" xr:uid="{00000000-0005-0000-0000-0000860D0000}"/>
    <cellStyle name="W?rung_Ausdruck RUND (D)" xfId="3134" xr:uid="{00000000-0005-0000-0000-0000870D0000}"/>
    <cellStyle name="Währung [0]_TRAHOURS" xfId="3135" xr:uid="{00000000-0005-0000-0000-0000880D0000}"/>
    <cellStyle name="Währung_TRAHOURS" xfId="3136" xr:uid="{00000000-0005-0000-0000-0000890D0000}"/>
    <cellStyle name="Warning Text" xfId="3137" xr:uid="{00000000-0005-0000-0000-00008A0D0000}"/>
    <cellStyle name="Warning Text 2" xfId="4336" xr:uid="{00000000-0005-0000-0000-00008B0D0000}"/>
    <cellStyle name="μU¿¡ ¿A´A CIAIÆU¸μAⓒ" xfId="3138" xr:uid="{00000000-0005-0000-0000-00008C0D0000}"/>
    <cellStyle name="ﾊﾝﾄﾞﾌﾞｯｸ" xfId="3139" xr:uid="{00000000-0005-0000-0000-00008D0D0000}"/>
    <cellStyle name="강조색1 2" xfId="3140" xr:uid="{00000000-0005-0000-0000-00008E0D0000}"/>
    <cellStyle name="강조색1 2 2" xfId="3141" xr:uid="{00000000-0005-0000-0000-00008F0D0000}"/>
    <cellStyle name="강조색1 2 3" xfId="3142" xr:uid="{00000000-0005-0000-0000-0000900D0000}"/>
    <cellStyle name="강조색1 3" xfId="3143" xr:uid="{00000000-0005-0000-0000-0000910D0000}"/>
    <cellStyle name="강조색1 3 2" xfId="3144" xr:uid="{00000000-0005-0000-0000-0000920D0000}"/>
    <cellStyle name="강조색1 3 3" xfId="3145" xr:uid="{00000000-0005-0000-0000-0000930D0000}"/>
    <cellStyle name="강조색2 2" xfId="3146" xr:uid="{00000000-0005-0000-0000-0000940D0000}"/>
    <cellStyle name="강조색2 2 2" xfId="3147" xr:uid="{00000000-0005-0000-0000-0000950D0000}"/>
    <cellStyle name="강조색2 2 3" xfId="3148" xr:uid="{00000000-0005-0000-0000-0000960D0000}"/>
    <cellStyle name="강조색2 3" xfId="3149" xr:uid="{00000000-0005-0000-0000-0000970D0000}"/>
    <cellStyle name="강조색2 3 2" xfId="3150" xr:uid="{00000000-0005-0000-0000-0000980D0000}"/>
    <cellStyle name="강조색2 3 3" xfId="3151" xr:uid="{00000000-0005-0000-0000-0000990D0000}"/>
    <cellStyle name="강조색3 2" xfId="3152" xr:uid="{00000000-0005-0000-0000-00009A0D0000}"/>
    <cellStyle name="강조색3 2 2" xfId="3153" xr:uid="{00000000-0005-0000-0000-00009B0D0000}"/>
    <cellStyle name="강조색3 2 3" xfId="3154" xr:uid="{00000000-0005-0000-0000-00009C0D0000}"/>
    <cellStyle name="강조색3 3" xfId="3155" xr:uid="{00000000-0005-0000-0000-00009D0D0000}"/>
    <cellStyle name="강조색3 3 2" xfId="3156" xr:uid="{00000000-0005-0000-0000-00009E0D0000}"/>
    <cellStyle name="강조색3 3 3" xfId="3157" xr:uid="{00000000-0005-0000-0000-00009F0D0000}"/>
    <cellStyle name="강조색4 2" xfId="3158" xr:uid="{00000000-0005-0000-0000-0000A00D0000}"/>
    <cellStyle name="강조색4 2 2" xfId="3159" xr:uid="{00000000-0005-0000-0000-0000A10D0000}"/>
    <cellStyle name="강조색4 2 3" xfId="3160" xr:uid="{00000000-0005-0000-0000-0000A20D0000}"/>
    <cellStyle name="강조색4 3" xfId="3161" xr:uid="{00000000-0005-0000-0000-0000A30D0000}"/>
    <cellStyle name="강조색4 3 2" xfId="3162" xr:uid="{00000000-0005-0000-0000-0000A40D0000}"/>
    <cellStyle name="강조색4 3 3" xfId="3163" xr:uid="{00000000-0005-0000-0000-0000A50D0000}"/>
    <cellStyle name="강조색5 2" xfId="3164" xr:uid="{00000000-0005-0000-0000-0000A60D0000}"/>
    <cellStyle name="강조색5 2 2" xfId="3165" xr:uid="{00000000-0005-0000-0000-0000A70D0000}"/>
    <cellStyle name="강조색5 2 3" xfId="3166" xr:uid="{00000000-0005-0000-0000-0000A80D0000}"/>
    <cellStyle name="강조색5 3" xfId="3167" xr:uid="{00000000-0005-0000-0000-0000A90D0000}"/>
    <cellStyle name="강조색5 3 2" xfId="3168" xr:uid="{00000000-0005-0000-0000-0000AA0D0000}"/>
    <cellStyle name="강조색5 3 3" xfId="3169" xr:uid="{00000000-0005-0000-0000-0000AB0D0000}"/>
    <cellStyle name="강조색6 2" xfId="3170" xr:uid="{00000000-0005-0000-0000-0000AC0D0000}"/>
    <cellStyle name="강조색6 2 2" xfId="3171" xr:uid="{00000000-0005-0000-0000-0000AD0D0000}"/>
    <cellStyle name="강조색6 2 3" xfId="3172" xr:uid="{00000000-0005-0000-0000-0000AE0D0000}"/>
    <cellStyle name="강조색6 3" xfId="3173" xr:uid="{00000000-0005-0000-0000-0000AF0D0000}"/>
    <cellStyle name="강조색6 3 2" xfId="3174" xr:uid="{00000000-0005-0000-0000-0000B00D0000}"/>
    <cellStyle name="강조색6 3 3" xfId="3175" xr:uid="{00000000-0005-0000-0000-0000B10D0000}"/>
    <cellStyle name="경고문 2" xfId="3176" xr:uid="{00000000-0005-0000-0000-0000B20D0000}"/>
    <cellStyle name="경고문 2 2" xfId="3177" xr:uid="{00000000-0005-0000-0000-0000B30D0000}"/>
    <cellStyle name="경고문 2 3" xfId="3178" xr:uid="{00000000-0005-0000-0000-0000B40D0000}"/>
    <cellStyle name="경고문 3" xfId="3179" xr:uid="{00000000-0005-0000-0000-0000B50D0000}"/>
    <cellStyle name="경고문 3 2" xfId="3180" xr:uid="{00000000-0005-0000-0000-0000B60D0000}"/>
    <cellStyle name="경고문 3 3" xfId="3181" xr:uid="{00000000-0005-0000-0000-0000B70D0000}"/>
    <cellStyle name="계산 2" xfId="3182" xr:uid="{00000000-0005-0000-0000-0000B80D0000}"/>
    <cellStyle name="계산 2 2" xfId="3183" xr:uid="{00000000-0005-0000-0000-0000B90D0000}"/>
    <cellStyle name="계산 2 3" xfId="3184" xr:uid="{00000000-0005-0000-0000-0000BA0D0000}"/>
    <cellStyle name="계산 3" xfId="3185" xr:uid="{00000000-0005-0000-0000-0000BB0D0000}"/>
    <cellStyle name="계산 3 2" xfId="3186" xr:uid="{00000000-0005-0000-0000-0000BC0D0000}"/>
    <cellStyle name="계산 3 3" xfId="3187" xr:uid="{00000000-0005-0000-0000-0000BD0D0000}"/>
    <cellStyle name="고정소숫점" xfId="98" xr:uid="{00000000-0005-0000-0000-0000BE0D0000}"/>
    <cellStyle name="고정소숫점 2" xfId="4337" xr:uid="{00000000-0005-0000-0000-0000BF0D0000}"/>
    <cellStyle name="고정소숫점 3" xfId="4408" xr:uid="{00000000-0005-0000-0000-0000C00D0000}"/>
    <cellStyle name="고정출력1" xfId="99" xr:uid="{00000000-0005-0000-0000-0000C10D0000}"/>
    <cellStyle name="고정출력1 2" xfId="4409" xr:uid="{00000000-0005-0000-0000-0000C20D0000}"/>
    <cellStyle name="고정출력2" xfId="100" xr:uid="{00000000-0005-0000-0000-0000C30D0000}"/>
    <cellStyle name="고정출력2 2" xfId="4410" xr:uid="{00000000-0005-0000-0000-0000C40D0000}"/>
    <cellStyle name="咬訌裝?INCOM1" xfId="3188" xr:uid="{00000000-0005-0000-0000-0000C50D0000}"/>
    <cellStyle name="咬訌裝?INCOM10" xfId="3189" xr:uid="{00000000-0005-0000-0000-0000C60D0000}"/>
    <cellStyle name="咬訌裝?INCOM2" xfId="3190" xr:uid="{00000000-0005-0000-0000-0000C70D0000}"/>
    <cellStyle name="咬訌裝?INCOM3" xfId="3191" xr:uid="{00000000-0005-0000-0000-0000C80D0000}"/>
    <cellStyle name="咬訌裝?INCOM4" xfId="3192" xr:uid="{00000000-0005-0000-0000-0000C90D0000}"/>
    <cellStyle name="咬訌裝?INCOM5" xfId="3193" xr:uid="{00000000-0005-0000-0000-0000CA0D0000}"/>
    <cellStyle name="咬訌裝?INCOM6" xfId="3194" xr:uid="{00000000-0005-0000-0000-0000CB0D0000}"/>
    <cellStyle name="咬訌裝?INCOM7" xfId="3195" xr:uid="{00000000-0005-0000-0000-0000CC0D0000}"/>
    <cellStyle name="咬訌裝?INCOM8" xfId="3196" xr:uid="{00000000-0005-0000-0000-0000CD0D0000}"/>
    <cellStyle name="咬訌裝?INCOM9" xfId="3197" xr:uid="{00000000-0005-0000-0000-0000CE0D0000}"/>
    <cellStyle name="咬訌裝?PRIB11" xfId="3198" xr:uid="{00000000-0005-0000-0000-0000CF0D0000}"/>
    <cellStyle name="咬訌裝?report-2 " xfId="4374" xr:uid="{00000000-0005-0000-0000-0000D00D0000}"/>
    <cellStyle name="나쁨 2" xfId="3199" xr:uid="{00000000-0005-0000-0000-0000D10D0000}"/>
    <cellStyle name="나쁨 2 2" xfId="3200" xr:uid="{00000000-0005-0000-0000-0000D20D0000}"/>
    <cellStyle name="나쁨 2 3" xfId="3201" xr:uid="{00000000-0005-0000-0000-0000D30D0000}"/>
    <cellStyle name="나쁨 3" xfId="3202" xr:uid="{00000000-0005-0000-0000-0000D40D0000}"/>
    <cellStyle name="나쁨 3 2" xfId="3203" xr:uid="{00000000-0005-0000-0000-0000D50D0000}"/>
    <cellStyle name="나쁨 3 3" xfId="3204" xr:uid="{00000000-0005-0000-0000-0000D60D0000}"/>
    <cellStyle name="난제목" xfId="3205" xr:uid="{00000000-0005-0000-0000-0000D70D0000}"/>
    <cellStyle name="날짜" xfId="101" xr:uid="{00000000-0005-0000-0000-0000D80D0000}"/>
    <cellStyle name="내역서" xfId="3206" xr:uid="{00000000-0005-0000-0000-0000D90D0000}"/>
    <cellStyle name="단위(원)" xfId="3207" xr:uid="{00000000-0005-0000-0000-0000DA0D0000}"/>
    <cellStyle name="달러" xfId="102" xr:uid="{00000000-0005-0000-0000-0000DB0D0000}"/>
    <cellStyle name="뒤에 오는 하이퍼링크" xfId="3208" xr:uid="{00000000-0005-0000-0000-0000DC0D0000}"/>
    <cellStyle name="뒤에 오는 하이퍼링크 2" xfId="4338" xr:uid="{00000000-0005-0000-0000-0000DD0D0000}"/>
    <cellStyle name="뒤에 오는 하이퍼링크 3" xfId="4411" xr:uid="{00000000-0005-0000-0000-0000DE0D0000}"/>
    <cellStyle name="뒤에 오는 하이퍼링크_0218_오령(개발용 서버rp5430 견적발송)" xfId="4339" xr:uid="{00000000-0005-0000-0000-0000DF0D0000}"/>
    <cellStyle name="드럼단위" xfId="3209" xr:uid="{00000000-0005-0000-0000-0000E00D0000}"/>
    <cellStyle name="똿뗦먛귟 [0.00]_laroux" xfId="3210" xr:uid="{00000000-0005-0000-0000-0000E10D0000}"/>
    <cellStyle name="똿뗦먛귟_laroux" xfId="3211" xr:uid="{00000000-0005-0000-0000-0000E20D0000}"/>
    <cellStyle name="마감" xfId="3212" xr:uid="{00000000-0005-0000-0000-0000E30D0000}"/>
    <cellStyle name="메모 2" xfId="3213" xr:uid="{00000000-0005-0000-0000-0000E40D0000}"/>
    <cellStyle name="메모 2 2" xfId="3214" xr:uid="{00000000-0005-0000-0000-0000E50D0000}"/>
    <cellStyle name="메모 2 3" xfId="3215" xr:uid="{00000000-0005-0000-0000-0000E60D0000}"/>
    <cellStyle name="메모 2 4" xfId="4340" xr:uid="{00000000-0005-0000-0000-0000E70D0000}"/>
    <cellStyle name="메모 3" xfId="3216" xr:uid="{00000000-0005-0000-0000-0000E80D0000}"/>
    <cellStyle name="메모 3 2" xfId="3217" xr:uid="{00000000-0005-0000-0000-0000E90D0000}"/>
    <cellStyle name="메모 3 3" xfId="3218" xr:uid="{00000000-0005-0000-0000-0000EA0D0000}"/>
    <cellStyle name="메모 4" xfId="4341" xr:uid="{00000000-0005-0000-0000-0000EB0D0000}"/>
    <cellStyle name="묮뎋 [0.00]_PRODUCT DETAIL Q1" xfId="3219" xr:uid="{00000000-0005-0000-0000-0000EC0D0000}"/>
    <cellStyle name="묮뎋_PRODUCT DETAIL Q1" xfId="3220" xr:uid="{00000000-0005-0000-0000-0000ED0D0000}"/>
    <cellStyle name="믅됞 [0.00]_laroux" xfId="3221" xr:uid="{00000000-0005-0000-0000-0000EE0D0000}"/>
    <cellStyle name="믅됞_laroux" xfId="3222" xr:uid="{00000000-0005-0000-0000-0000EF0D0000}"/>
    <cellStyle name="백분율 [0]" xfId="3223" xr:uid="{00000000-0005-0000-0000-0000F00D0000}"/>
    <cellStyle name="백분율 [2]" xfId="3224" xr:uid="{00000000-0005-0000-0000-0000F10D0000}"/>
    <cellStyle name="백분율 10" xfId="3225" xr:uid="{00000000-0005-0000-0000-0000F20D0000}"/>
    <cellStyle name="백분율 11" xfId="3226" xr:uid="{00000000-0005-0000-0000-0000F30D0000}"/>
    <cellStyle name="백분율 12" xfId="3227" xr:uid="{00000000-0005-0000-0000-0000F40D0000}"/>
    <cellStyle name="백분율 13" xfId="3228" xr:uid="{00000000-0005-0000-0000-0000F50D0000}"/>
    <cellStyle name="백분율 14" xfId="3229" xr:uid="{00000000-0005-0000-0000-0000F60D0000}"/>
    <cellStyle name="백분율 15" xfId="3230" xr:uid="{00000000-0005-0000-0000-0000F70D0000}"/>
    <cellStyle name="백분율 16" xfId="3231" xr:uid="{00000000-0005-0000-0000-0000F80D0000}"/>
    <cellStyle name="백분율 17" xfId="3232" xr:uid="{00000000-0005-0000-0000-0000F90D0000}"/>
    <cellStyle name="백분율 18" xfId="3233" xr:uid="{00000000-0005-0000-0000-0000FA0D0000}"/>
    <cellStyle name="백분율 19" xfId="3234" xr:uid="{00000000-0005-0000-0000-0000FB0D0000}"/>
    <cellStyle name="백분율 2" xfId="103" xr:uid="{00000000-0005-0000-0000-0000FC0D0000}"/>
    <cellStyle name="백분율 2 10" xfId="3235" xr:uid="{00000000-0005-0000-0000-0000FD0D0000}"/>
    <cellStyle name="백분율 2 10 2" xfId="3236" xr:uid="{00000000-0005-0000-0000-0000FE0D0000}"/>
    <cellStyle name="백분율 2 11" xfId="3237" xr:uid="{00000000-0005-0000-0000-0000FF0D0000}"/>
    <cellStyle name="백분율 2 12" xfId="3238" xr:uid="{00000000-0005-0000-0000-0000000E0000}"/>
    <cellStyle name="백분율 2 13" xfId="3239" xr:uid="{00000000-0005-0000-0000-0000010E0000}"/>
    <cellStyle name="백분율 2 14" xfId="3240" xr:uid="{00000000-0005-0000-0000-0000020E0000}"/>
    <cellStyle name="백분율 2 15" xfId="3241" xr:uid="{00000000-0005-0000-0000-0000030E0000}"/>
    <cellStyle name="백분율 2 16" xfId="3242" xr:uid="{00000000-0005-0000-0000-0000040E0000}"/>
    <cellStyle name="백분율 2 17" xfId="3243" xr:uid="{00000000-0005-0000-0000-0000050E0000}"/>
    <cellStyle name="백분율 2 18" xfId="3244" xr:uid="{00000000-0005-0000-0000-0000060E0000}"/>
    <cellStyle name="백분율 2 19" xfId="3245" xr:uid="{00000000-0005-0000-0000-0000070E0000}"/>
    <cellStyle name="백분율 2 2" xfId="178" xr:uid="{00000000-0005-0000-0000-0000080E0000}"/>
    <cellStyle name="백분율 2 2 2" xfId="4210" xr:uid="{00000000-0005-0000-0000-0000090E0000}"/>
    <cellStyle name="백분율 2 2 3" xfId="4398" xr:uid="{00000000-0005-0000-0000-00000A0E0000}"/>
    <cellStyle name="백분율 2 20" xfId="3246" xr:uid="{00000000-0005-0000-0000-00000B0E0000}"/>
    <cellStyle name="백분율 2 21" xfId="3247" xr:uid="{00000000-0005-0000-0000-00000C0E0000}"/>
    <cellStyle name="백분율 2 22" xfId="3248" xr:uid="{00000000-0005-0000-0000-00000D0E0000}"/>
    <cellStyle name="백분율 2 23" xfId="3249" xr:uid="{00000000-0005-0000-0000-00000E0E0000}"/>
    <cellStyle name="백분율 2 24" xfId="3250" xr:uid="{00000000-0005-0000-0000-00000F0E0000}"/>
    <cellStyle name="백분율 2 25" xfId="3251" xr:uid="{00000000-0005-0000-0000-0000100E0000}"/>
    <cellStyle name="백분율 2 26" xfId="3252" xr:uid="{00000000-0005-0000-0000-0000110E0000}"/>
    <cellStyle name="백분율 2 27" xfId="3253" xr:uid="{00000000-0005-0000-0000-0000120E0000}"/>
    <cellStyle name="백분율 2 28" xfId="4342" xr:uid="{00000000-0005-0000-0000-0000130E0000}"/>
    <cellStyle name="백분율 2 29" xfId="4375" xr:uid="{00000000-0005-0000-0000-0000140E0000}"/>
    <cellStyle name="백분율 2 3" xfId="3254" xr:uid="{00000000-0005-0000-0000-0000150E0000}"/>
    <cellStyle name="백분율 2 4" xfId="3255" xr:uid="{00000000-0005-0000-0000-0000160E0000}"/>
    <cellStyle name="백분율 2 5" xfId="3256" xr:uid="{00000000-0005-0000-0000-0000170E0000}"/>
    <cellStyle name="백분율 2 6" xfId="3257" xr:uid="{00000000-0005-0000-0000-0000180E0000}"/>
    <cellStyle name="백분율 2 7" xfId="3258" xr:uid="{00000000-0005-0000-0000-0000190E0000}"/>
    <cellStyle name="백분율 2 8" xfId="3259" xr:uid="{00000000-0005-0000-0000-00001A0E0000}"/>
    <cellStyle name="백분율 2 9" xfId="3260" xr:uid="{00000000-0005-0000-0000-00001B0E0000}"/>
    <cellStyle name="백분율 20" xfId="3261" xr:uid="{00000000-0005-0000-0000-00001C0E0000}"/>
    <cellStyle name="백분율 21" xfId="3262" xr:uid="{00000000-0005-0000-0000-00001D0E0000}"/>
    <cellStyle name="백분율 22" xfId="3263" xr:uid="{00000000-0005-0000-0000-00001E0E0000}"/>
    <cellStyle name="백분율 23" xfId="3264" xr:uid="{00000000-0005-0000-0000-00001F0E0000}"/>
    <cellStyle name="백분율 24" xfId="3265" xr:uid="{00000000-0005-0000-0000-0000200E0000}"/>
    <cellStyle name="백분율 25" xfId="3266" xr:uid="{00000000-0005-0000-0000-0000210E0000}"/>
    <cellStyle name="백분율 26" xfId="3267" xr:uid="{00000000-0005-0000-0000-0000220E0000}"/>
    <cellStyle name="백분율 27" xfId="3268" xr:uid="{00000000-0005-0000-0000-0000230E0000}"/>
    <cellStyle name="백분율 28" xfId="3269" xr:uid="{00000000-0005-0000-0000-0000240E0000}"/>
    <cellStyle name="백분율 29" xfId="3270" xr:uid="{00000000-0005-0000-0000-0000250E0000}"/>
    <cellStyle name="백분율 3" xfId="179" xr:uid="{00000000-0005-0000-0000-0000260E0000}"/>
    <cellStyle name="백분율 3 2" xfId="3271" xr:uid="{00000000-0005-0000-0000-0000270E0000}"/>
    <cellStyle name="백분율 3 2 2" xfId="3272" xr:uid="{00000000-0005-0000-0000-0000280E0000}"/>
    <cellStyle name="백분율 3 2 3" xfId="4211" xr:uid="{00000000-0005-0000-0000-0000290E0000}"/>
    <cellStyle name="백분율 3 3" xfId="3273" xr:uid="{00000000-0005-0000-0000-00002A0E0000}"/>
    <cellStyle name="백분율 3 4" xfId="3274" xr:uid="{00000000-0005-0000-0000-00002B0E0000}"/>
    <cellStyle name="백분율 3 5" xfId="3275" xr:uid="{00000000-0005-0000-0000-00002C0E0000}"/>
    <cellStyle name="백분율 3 6" xfId="3276" xr:uid="{00000000-0005-0000-0000-00002D0E0000}"/>
    <cellStyle name="백분율 3 7" xfId="3277" xr:uid="{00000000-0005-0000-0000-00002E0E0000}"/>
    <cellStyle name="백분율 3 8" xfId="3278" xr:uid="{00000000-0005-0000-0000-00002F0E0000}"/>
    <cellStyle name="백분율 3 9" xfId="4400" xr:uid="{00000000-0005-0000-0000-0000300E0000}"/>
    <cellStyle name="백분율 3 9 2" xfId="4891" xr:uid="{00000000-0005-0000-0000-0000310E0000}"/>
    <cellStyle name="백분율 30" xfId="3279" xr:uid="{00000000-0005-0000-0000-0000320E0000}"/>
    <cellStyle name="백분율 31" xfId="3280" xr:uid="{00000000-0005-0000-0000-0000330E0000}"/>
    <cellStyle name="백분율 32" xfId="4160" xr:uid="{00000000-0005-0000-0000-0000340E0000}"/>
    <cellStyle name="백분율 32 2" xfId="4343" xr:uid="{00000000-0005-0000-0000-0000350E0000}"/>
    <cellStyle name="백분율 32 2 2" xfId="4875" xr:uid="{00000000-0005-0000-0000-0000360E0000}"/>
    <cellStyle name="백분율 32 3" xfId="4855" xr:uid="{00000000-0005-0000-0000-0000370E0000}"/>
    <cellStyle name="백분율 33" xfId="4887" xr:uid="{00000000-0005-0000-0000-0000380E0000}"/>
    <cellStyle name="백분율 4" xfId="3281" xr:uid="{00000000-0005-0000-0000-0000390E0000}"/>
    <cellStyle name="백분율 5" xfId="3282" xr:uid="{00000000-0005-0000-0000-00003A0E0000}"/>
    <cellStyle name="백분율 5 10" xfId="3283" xr:uid="{00000000-0005-0000-0000-00003B0E0000}"/>
    <cellStyle name="백분율 5 11" xfId="3284" xr:uid="{00000000-0005-0000-0000-00003C0E0000}"/>
    <cellStyle name="백분율 5 12" xfId="3285" xr:uid="{00000000-0005-0000-0000-00003D0E0000}"/>
    <cellStyle name="백분율 5 13" xfId="3286" xr:uid="{00000000-0005-0000-0000-00003E0E0000}"/>
    <cellStyle name="백분율 5 14" xfId="3287" xr:uid="{00000000-0005-0000-0000-00003F0E0000}"/>
    <cellStyle name="백분율 5 15" xfId="3288" xr:uid="{00000000-0005-0000-0000-0000400E0000}"/>
    <cellStyle name="백분율 5 16" xfId="3289" xr:uid="{00000000-0005-0000-0000-0000410E0000}"/>
    <cellStyle name="백분율 5 2" xfId="3290" xr:uid="{00000000-0005-0000-0000-0000420E0000}"/>
    <cellStyle name="백분율 5 3" xfId="3291" xr:uid="{00000000-0005-0000-0000-0000430E0000}"/>
    <cellStyle name="백분율 5 4" xfId="3292" xr:uid="{00000000-0005-0000-0000-0000440E0000}"/>
    <cellStyle name="백분율 5 5" xfId="3293" xr:uid="{00000000-0005-0000-0000-0000450E0000}"/>
    <cellStyle name="백분율 5 6" xfId="3294" xr:uid="{00000000-0005-0000-0000-0000460E0000}"/>
    <cellStyle name="백분율 5 7" xfId="3295" xr:uid="{00000000-0005-0000-0000-0000470E0000}"/>
    <cellStyle name="백분율 5 8" xfId="3296" xr:uid="{00000000-0005-0000-0000-0000480E0000}"/>
    <cellStyle name="백분율 5 9" xfId="3297" xr:uid="{00000000-0005-0000-0000-0000490E0000}"/>
    <cellStyle name="백분율 6" xfId="3298" xr:uid="{00000000-0005-0000-0000-00004A0E0000}"/>
    <cellStyle name="백분율 7" xfId="3299" xr:uid="{00000000-0005-0000-0000-00004B0E0000}"/>
    <cellStyle name="백분율 8" xfId="3300" xr:uid="{00000000-0005-0000-0000-00004C0E0000}"/>
    <cellStyle name="백분율 9" xfId="3301" xr:uid="{00000000-0005-0000-0000-00004D0E0000}"/>
    <cellStyle name="보통 2" xfId="3302" xr:uid="{00000000-0005-0000-0000-00004E0E0000}"/>
    <cellStyle name="보통 2 2" xfId="3303" xr:uid="{00000000-0005-0000-0000-00004F0E0000}"/>
    <cellStyle name="보통 2 3" xfId="3304" xr:uid="{00000000-0005-0000-0000-0000500E0000}"/>
    <cellStyle name="보통 3" xfId="3305" xr:uid="{00000000-0005-0000-0000-0000510E0000}"/>
    <cellStyle name="보통 3 2" xfId="3306" xr:uid="{00000000-0005-0000-0000-0000520E0000}"/>
    <cellStyle name="보통 3 3" xfId="3307" xr:uid="{00000000-0005-0000-0000-0000530E0000}"/>
    <cellStyle name="부제목" xfId="3308" xr:uid="{00000000-0005-0000-0000-0000540E0000}"/>
    <cellStyle name="뷭?" xfId="3309" xr:uid="{00000000-0005-0000-0000-0000550E0000}"/>
    <cellStyle name="常规_01월구매금액  " xfId="4376" xr:uid="{00000000-0005-0000-0000-0000560E0000}"/>
    <cellStyle name="새귑[0]_laroux" xfId="4412" xr:uid="{00000000-0005-0000-0000-0000570E0000}"/>
    <cellStyle name="새귑_laroux" xfId="4413" xr:uid="{00000000-0005-0000-0000-0000580E0000}"/>
    <cellStyle name="설계서-내용" xfId="3310" xr:uid="{00000000-0005-0000-0000-0000590E0000}"/>
    <cellStyle name="설계서-내용-소수점" xfId="3311" xr:uid="{00000000-0005-0000-0000-00005A0E0000}"/>
    <cellStyle name="설계서-내용-우" xfId="3312" xr:uid="{00000000-0005-0000-0000-00005B0E0000}"/>
    <cellStyle name="설계서-내용-좌" xfId="3313" xr:uid="{00000000-0005-0000-0000-00005C0E0000}"/>
    <cellStyle name="설계서-소제목" xfId="3314" xr:uid="{00000000-0005-0000-0000-00005D0E0000}"/>
    <cellStyle name="설계서-타이틀" xfId="3315" xr:uid="{00000000-0005-0000-0000-00005E0E0000}"/>
    <cellStyle name="설계서-항목" xfId="3316" xr:uid="{00000000-0005-0000-0000-00005F0E0000}"/>
    <cellStyle name="설명 텍스트 2" xfId="3317" xr:uid="{00000000-0005-0000-0000-0000600E0000}"/>
    <cellStyle name="설명 텍스트 2 2" xfId="3318" xr:uid="{00000000-0005-0000-0000-0000610E0000}"/>
    <cellStyle name="설명 텍스트 2 3" xfId="3319" xr:uid="{00000000-0005-0000-0000-0000620E0000}"/>
    <cellStyle name="설명 텍스트 3" xfId="3320" xr:uid="{00000000-0005-0000-0000-0000630E0000}"/>
    <cellStyle name="설명 텍스트 3 2" xfId="3321" xr:uid="{00000000-0005-0000-0000-0000640E0000}"/>
    <cellStyle name="설명 텍스트 3 3" xfId="3322" xr:uid="{00000000-0005-0000-0000-0000650E0000}"/>
    <cellStyle name="셀 확인 2" xfId="3323" xr:uid="{00000000-0005-0000-0000-0000660E0000}"/>
    <cellStyle name="셀 확인 2 2" xfId="3324" xr:uid="{00000000-0005-0000-0000-0000670E0000}"/>
    <cellStyle name="셀 확인 2 3" xfId="3325" xr:uid="{00000000-0005-0000-0000-0000680E0000}"/>
    <cellStyle name="셀 확인 3" xfId="3326" xr:uid="{00000000-0005-0000-0000-0000690E0000}"/>
    <cellStyle name="셀 확인 3 2" xfId="3327" xr:uid="{00000000-0005-0000-0000-00006A0E0000}"/>
    <cellStyle name="셀 확인 3 3" xfId="3328" xr:uid="{00000000-0005-0000-0000-00006B0E0000}"/>
    <cellStyle name="수당" xfId="3329" xr:uid="{00000000-0005-0000-0000-00006C0E0000}"/>
    <cellStyle name="수당2" xfId="3330" xr:uid="{00000000-0005-0000-0000-00006D0E0000}"/>
    <cellStyle name="숫자(R)" xfId="104" xr:uid="{00000000-0005-0000-0000-00006E0E0000}"/>
    <cellStyle name="숫자(R) 2" xfId="4344" xr:uid="{00000000-0005-0000-0000-00006F0E0000}"/>
    <cellStyle name="쉼표 [0] 10" xfId="3331" xr:uid="{00000000-0005-0000-0000-0000710E0000}"/>
    <cellStyle name="쉼표 [0] 10 10" xfId="3332" xr:uid="{00000000-0005-0000-0000-0000720E0000}"/>
    <cellStyle name="쉼표 [0] 10 10 2" xfId="4507" xr:uid="{00000000-0005-0000-0000-0000730E0000}"/>
    <cellStyle name="쉼표 [0] 10 11" xfId="3333" xr:uid="{00000000-0005-0000-0000-0000740E0000}"/>
    <cellStyle name="쉼표 [0] 10 11 2" xfId="4508" xr:uid="{00000000-0005-0000-0000-0000750E0000}"/>
    <cellStyle name="쉼표 [0] 10 12" xfId="3334" xr:uid="{00000000-0005-0000-0000-0000760E0000}"/>
    <cellStyle name="쉼표 [0] 10 12 2" xfId="4509" xr:uid="{00000000-0005-0000-0000-0000770E0000}"/>
    <cellStyle name="쉼표 [0] 10 13" xfId="3335" xr:uid="{00000000-0005-0000-0000-0000780E0000}"/>
    <cellStyle name="쉼표 [0] 10 13 2" xfId="4510" xr:uid="{00000000-0005-0000-0000-0000790E0000}"/>
    <cellStyle name="쉼표 [0] 10 14" xfId="3336" xr:uid="{00000000-0005-0000-0000-00007A0E0000}"/>
    <cellStyle name="쉼표 [0] 10 14 2" xfId="4511" xr:uid="{00000000-0005-0000-0000-00007B0E0000}"/>
    <cellStyle name="쉼표 [0] 10 15" xfId="3337" xr:uid="{00000000-0005-0000-0000-00007C0E0000}"/>
    <cellStyle name="쉼표 [0] 10 15 2" xfId="4512" xr:uid="{00000000-0005-0000-0000-00007D0E0000}"/>
    <cellStyle name="쉼표 [0] 10 16" xfId="3338" xr:uid="{00000000-0005-0000-0000-00007E0E0000}"/>
    <cellStyle name="쉼표 [0] 10 16 2" xfId="4513" xr:uid="{00000000-0005-0000-0000-00007F0E0000}"/>
    <cellStyle name="쉼표 [0] 10 17" xfId="3339" xr:uid="{00000000-0005-0000-0000-0000800E0000}"/>
    <cellStyle name="쉼표 [0] 10 17 2" xfId="4514" xr:uid="{00000000-0005-0000-0000-0000810E0000}"/>
    <cellStyle name="쉼표 [0] 10 18" xfId="3340" xr:uid="{00000000-0005-0000-0000-0000820E0000}"/>
    <cellStyle name="쉼표 [0] 10 18 2" xfId="4515" xr:uid="{00000000-0005-0000-0000-0000830E0000}"/>
    <cellStyle name="쉼표 [0] 10 19" xfId="4506" xr:uid="{00000000-0005-0000-0000-0000840E0000}"/>
    <cellStyle name="쉼표 [0] 10 2" xfId="3341" xr:uid="{00000000-0005-0000-0000-0000850E0000}"/>
    <cellStyle name="쉼표 [0] 10 2 2" xfId="4516" xr:uid="{00000000-0005-0000-0000-0000860E0000}"/>
    <cellStyle name="쉼표 [0] 10 3" xfId="3342" xr:uid="{00000000-0005-0000-0000-0000870E0000}"/>
    <cellStyle name="쉼표 [0] 10 3 2" xfId="4517" xr:uid="{00000000-0005-0000-0000-0000880E0000}"/>
    <cellStyle name="쉼표 [0] 10 4" xfId="3343" xr:uid="{00000000-0005-0000-0000-0000890E0000}"/>
    <cellStyle name="쉼표 [0] 10 4 2" xfId="4518" xr:uid="{00000000-0005-0000-0000-00008A0E0000}"/>
    <cellStyle name="쉼표 [0] 10 5" xfId="3344" xr:uid="{00000000-0005-0000-0000-00008B0E0000}"/>
    <cellStyle name="쉼표 [0] 10 5 2" xfId="4519" xr:uid="{00000000-0005-0000-0000-00008C0E0000}"/>
    <cellStyle name="쉼표 [0] 10 6" xfId="3345" xr:uid="{00000000-0005-0000-0000-00008D0E0000}"/>
    <cellStyle name="쉼표 [0] 10 6 2" xfId="4520" xr:uid="{00000000-0005-0000-0000-00008E0E0000}"/>
    <cellStyle name="쉼표 [0] 10 7" xfId="3346" xr:uid="{00000000-0005-0000-0000-00008F0E0000}"/>
    <cellStyle name="쉼표 [0] 10 7 2" xfId="4521" xr:uid="{00000000-0005-0000-0000-0000900E0000}"/>
    <cellStyle name="쉼표 [0] 10 8" xfId="3347" xr:uid="{00000000-0005-0000-0000-0000910E0000}"/>
    <cellStyle name="쉼표 [0] 10 8 2" xfId="4522" xr:uid="{00000000-0005-0000-0000-0000920E0000}"/>
    <cellStyle name="쉼표 [0] 10 9" xfId="3348" xr:uid="{00000000-0005-0000-0000-0000930E0000}"/>
    <cellStyle name="쉼표 [0] 10 9 2" xfId="4523" xr:uid="{00000000-0005-0000-0000-0000940E0000}"/>
    <cellStyle name="쉼표 [0] 11" xfId="3349" xr:uid="{00000000-0005-0000-0000-0000950E0000}"/>
    <cellStyle name="쉼표 [0] 11 2" xfId="4524" xr:uid="{00000000-0005-0000-0000-0000960E0000}"/>
    <cellStyle name="쉼표 [0] 12" xfId="3350" xr:uid="{00000000-0005-0000-0000-0000970E0000}"/>
    <cellStyle name="쉼표 [0] 12 2" xfId="4525" xr:uid="{00000000-0005-0000-0000-0000980E0000}"/>
    <cellStyle name="쉼표 [0] 13" xfId="3351" xr:uid="{00000000-0005-0000-0000-0000990E0000}"/>
    <cellStyle name="쉼표 [0] 13 2" xfId="4526" xr:uid="{00000000-0005-0000-0000-00009A0E0000}"/>
    <cellStyle name="쉼표 [0] 14" xfId="3352" xr:uid="{00000000-0005-0000-0000-00009B0E0000}"/>
    <cellStyle name="쉼표 [0] 14 2" xfId="4527" xr:uid="{00000000-0005-0000-0000-00009C0E0000}"/>
    <cellStyle name="쉼표 [0] 15" xfId="3353" xr:uid="{00000000-0005-0000-0000-00009D0E0000}"/>
    <cellStyle name="쉼표 [0] 15 2" xfId="4528" xr:uid="{00000000-0005-0000-0000-00009E0E0000}"/>
    <cellStyle name="쉼표 [0] 16" xfId="3354" xr:uid="{00000000-0005-0000-0000-00009F0E0000}"/>
    <cellStyle name="쉼표 [0] 16 2" xfId="4529" xr:uid="{00000000-0005-0000-0000-0000A00E0000}"/>
    <cellStyle name="쉼표 [0] 17" xfId="3355" xr:uid="{00000000-0005-0000-0000-0000A10E0000}"/>
    <cellStyle name="쉼표 [0] 17 2" xfId="4530" xr:uid="{00000000-0005-0000-0000-0000A20E0000}"/>
    <cellStyle name="쉼표 [0] 18" xfId="3356" xr:uid="{00000000-0005-0000-0000-0000A30E0000}"/>
    <cellStyle name="쉼표 [0] 18 2" xfId="4531" xr:uid="{00000000-0005-0000-0000-0000A40E0000}"/>
    <cellStyle name="쉼표 [0] 19" xfId="3357" xr:uid="{00000000-0005-0000-0000-0000A50E0000}"/>
    <cellStyle name="쉼표 [0] 19 2" xfId="4532" xr:uid="{00000000-0005-0000-0000-0000A60E0000}"/>
    <cellStyle name="쉼표 [0] 2" xfId="21" xr:uid="{00000000-0005-0000-0000-0000A70E0000}"/>
    <cellStyle name="쉼표 [0] 2 2" xfId="105" xr:uid="{00000000-0005-0000-0000-0000A80E0000}"/>
    <cellStyle name="쉼표 [0] 2 2 10" xfId="3358" xr:uid="{00000000-0005-0000-0000-0000A90E0000}"/>
    <cellStyle name="쉼표 [0] 2 2 10 2" xfId="4533" xr:uid="{00000000-0005-0000-0000-0000AA0E0000}"/>
    <cellStyle name="쉼표 [0] 2 2 11" xfId="3359" xr:uid="{00000000-0005-0000-0000-0000AB0E0000}"/>
    <cellStyle name="쉼표 [0] 2 2 11 2" xfId="4534" xr:uid="{00000000-0005-0000-0000-0000AC0E0000}"/>
    <cellStyle name="쉼표 [0] 2 2 12" xfId="3360" xr:uid="{00000000-0005-0000-0000-0000AD0E0000}"/>
    <cellStyle name="쉼표 [0] 2 2 12 2" xfId="4535" xr:uid="{00000000-0005-0000-0000-0000AE0E0000}"/>
    <cellStyle name="쉼표 [0] 2 2 13" xfId="3361" xr:uid="{00000000-0005-0000-0000-0000AF0E0000}"/>
    <cellStyle name="쉼표 [0] 2 2 13 2" xfId="4536" xr:uid="{00000000-0005-0000-0000-0000B00E0000}"/>
    <cellStyle name="쉼표 [0] 2 2 14" xfId="3362" xr:uid="{00000000-0005-0000-0000-0000B10E0000}"/>
    <cellStyle name="쉼표 [0] 2 2 14 2" xfId="4537" xr:uid="{00000000-0005-0000-0000-0000B20E0000}"/>
    <cellStyle name="쉼표 [0] 2 2 15" xfId="3363" xr:uid="{00000000-0005-0000-0000-0000B30E0000}"/>
    <cellStyle name="쉼표 [0] 2 2 15 2" xfId="4538" xr:uid="{00000000-0005-0000-0000-0000B40E0000}"/>
    <cellStyle name="쉼표 [0] 2 2 16" xfId="3364" xr:uid="{00000000-0005-0000-0000-0000B50E0000}"/>
    <cellStyle name="쉼표 [0] 2 2 16 2" xfId="4539" xr:uid="{00000000-0005-0000-0000-0000B60E0000}"/>
    <cellStyle name="쉼표 [0] 2 2 17" xfId="3365" xr:uid="{00000000-0005-0000-0000-0000B70E0000}"/>
    <cellStyle name="쉼표 [0] 2 2 17 2" xfId="4540" xr:uid="{00000000-0005-0000-0000-0000B80E0000}"/>
    <cellStyle name="쉼표 [0] 2 2 18" xfId="3366" xr:uid="{00000000-0005-0000-0000-0000B90E0000}"/>
    <cellStyle name="쉼표 [0] 2 2 18 2" xfId="4541" xr:uid="{00000000-0005-0000-0000-0000BA0E0000}"/>
    <cellStyle name="쉼표 [0] 2 2 19" xfId="3367" xr:uid="{00000000-0005-0000-0000-0000BB0E0000}"/>
    <cellStyle name="쉼표 [0] 2 2 19 2" xfId="4542" xr:uid="{00000000-0005-0000-0000-0000BC0E0000}"/>
    <cellStyle name="쉼표 [0] 2 2 2" xfId="3368" xr:uid="{00000000-0005-0000-0000-0000BD0E0000}"/>
    <cellStyle name="쉼표 [0] 2 2 2 2" xfId="3369" xr:uid="{00000000-0005-0000-0000-0000BE0E0000}"/>
    <cellStyle name="쉼표 [0] 2 2 2 2 2" xfId="4544" xr:uid="{00000000-0005-0000-0000-0000BF0E0000}"/>
    <cellStyle name="쉼표 [0] 2 2 2 3" xfId="4345" xr:uid="{00000000-0005-0000-0000-0000C00E0000}"/>
    <cellStyle name="쉼표 [0] 2 2 2 3 2" xfId="4876" xr:uid="{00000000-0005-0000-0000-0000C10E0000}"/>
    <cellStyle name="쉼표 [0] 2 2 2 4" xfId="4543" xr:uid="{00000000-0005-0000-0000-0000C20E0000}"/>
    <cellStyle name="쉼표 [0] 2 2 20" xfId="3370" xr:uid="{00000000-0005-0000-0000-0000C30E0000}"/>
    <cellStyle name="쉼표 [0] 2 2 20 2" xfId="4545" xr:uid="{00000000-0005-0000-0000-0000C40E0000}"/>
    <cellStyle name="쉼표 [0] 2 2 21" xfId="3371" xr:uid="{00000000-0005-0000-0000-0000C50E0000}"/>
    <cellStyle name="쉼표 [0] 2 2 21 2" xfId="4546" xr:uid="{00000000-0005-0000-0000-0000C60E0000}"/>
    <cellStyle name="쉼표 [0] 2 2 22" xfId="3372" xr:uid="{00000000-0005-0000-0000-0000C70E0000}"/>
    <cellStyle name="쉼표 [0] 2 2 22 2" xfId="4547" xr:uid="{00000000-0005-0000-0000-0000C80E0000}"/>
    <cellStyle name="쉼표 [0] 2 2 23" xfId="3373" xr:uid="{00000000-0005-0000-0000-0000C90E0000}"/>
    <cellStyle name="쉼표 [0] 2 2 23 2" xfId="4548" xr:uid="{00000000-0005-0000-0000-0000CA0E0000}"/>
    <cellStyle name="쉼표 [0] 2 2 24" xfId="3374" xr:uid="{00000000-0005-0000-0000-0000CB0E0000}"/>
    <cellStyle name="쉼표 [0] 2 2 24 2" xfId="4549" xr:uid="{00000000-0005-0000-0000-0000CC0E0000}"/>
    <cellStyle name="쉼표 [0] 2 2 25" xfId="3375" xr:uid="{00000000-0005-0000-0000-0000CD0E0000}"/>
    <cellStyle name="쉼표 [0] 2 2 25 2" xfId="4550" xr:uid="{00000000-0005-0000-0000-0000CE0E0000}"/>
    <cellStyle name="쉼표 [0] 2 2 26" xfId="3376" xr:uid="{00000000-0005-0000-0000-0000CF0E0000}"/>
    <cellStyle name="쉼표 [0] 2 2 26 2" xfId="4551" xr:uid="{00000000-0005-0000-0000-0000D00E0000}"/>
    <cellStyle name="쉼표 [0] 2 2 27" xfId="3377" xr:uid="{00000000-0005-0000-0000-0000D10E0000}"/>
    <cellStyle name="쉼표 [0] 2 2 27 2" xfId="4552" xr:uid="{00000000-0005-0000-0000-0000D20E0000}"/>
    <cellStyle name="쉼표 [0] 2 2 28" xfId="3378" xr:uid="{00000000-0005-0000-0000-0000D30E0000}"/>
    <cellStyle name="쉼표 [0] 2 2 28 2" xfId="4553" xr:uid="{00000000-0005-0000-0000-0000D40E0000}"/>
    <cellStyle name="쉼표 [0] 2 2 29" xfId="3379" xr:uid="{00000000-0005-0000-0000-0000D50E0000}"/>
    <cellStyle name="쉼표 [0] 2 2 29 2" xfId="4554" xr:uid="{00000000-0005-0000-0000-0000D60E0000}"/>
    <cellStyle name="쉼표 [0] 2 2 3" xfId="3380" xr:uid="{00000000-0005-0000-0000-0000D70E0000}"/>
    <cellStyle name="쉼표 [0] 2 2 3 2" xfId="4346" xr:uid="{00000000-0005-0000-0000-0000D80E0000}"/>
    <cellStyle name="쉼표 [0] 2 2 3 2 2" xfId="4877" xr:uid="{00000000-0005-0000-0000-0000D90E0000}"/>
    <cellStyle name="쉼표 [0] 2 2 3 3" xfId="4555" xr:uid="{00000000-0005-0000-0000-0000DA0E0000}"/>
    <cellStyle name="쉼표 [0] 2 2 30" xfId="3381" xr:uid="{00000000-0005-0000-0000-0000DB0E0000}"/>
    <cellStyle name="쉼표 [0] 2 2 30 2" xfId="4556" xr:uid="{00000000-0005-0000-0000-0000DC0E0000}"/>
    <cellStyle name="쉼표 [0] 2 2 31" xfId="3382" xr:uid="{00000000-0005-0000-0000-0000DD0E0000}"/>
    <cellStyle name="쉼표 [0] 2 2 31 2" xfId="4557" xr:uid="{00000000-0005-0000-0000-0000DE0E0000}"/>
    <cellStyle name="쉼표 [0] 2 2 32" xfId="3383" xr:uid="{00000000-0005-0000-0000-0000DF0E0000}"/>
    <cellStyle name="쉼표 [0] 2 2 32 2" xfId="4558" xr:uid="{00000000-0005-0000-0000-0000E00E0000}"/>
    <cellStyle name="쉼표 [0] 2 2 33" xfId="3384" xr:uid="{00000000-0005-0000-0000-0000E10E0000}"/>
    <cellStyle name="쉼표 [0] 2 2 33 2" xfId="4559" xr:uid="{00000000-0005-0000-0000-0000E20E0000}"/>
    <cellStyle name="쉼표 [0] 2 2 34" xfId="3385" xr:uid="{00000000-0005-0000-0000-0000E30E0000}"/>
    <cellStyle name="쉼표 [0] 2 2 34 2" xfId="4560" xr:uid="{00000000-0005-0000-0000-0000E40E0000}"/>
    <cellStyle name="쉼표 [0] 2 2 35" xfId="3386" xr:uid="{00000000-0005-0000-0000-0000E50E0000}"/>
    <cellStyle name="쉼표 [0] 2 2 35 2" xfId="4561" xr:uid="{00000000-0005-0000-0000-0000E60E0000}"/>
    <cellStyle name="쉼표 [0] 2 2 36" xfId="3387" xr:uid="{00000000-0005-0000-0000-0000E70E0000}"/>
    <cellStyle name="쉼표 [0] 2 2 36 2" xfId="4562" xr:uid="{00000000-0005-0000-0000-0000E80E0000}"/>
    <cellStyle name="쉼표 [0] 2 2 37" xfId="3388" xr:uid="{00000000-0005-0000-0000-0000E90E0000}"/>
    <cellStyle name="쉼표 [0] 2 2 37 2" xfId="4563" xr:uid="{00000000-0005-0000-0000-0000EA0E0000}"/>
    <cellStyle name="쉼표 [0] 2 2 38" xfId="3389" xr:uid="{00000000-0005-0000-0000-0000EB0E0000}"/>
    <cellStyle name="쉼표 [0] 2 2 38 2" xfId="4564" xr:uid="{00000000-0005-0000-0000-0000EC0E0000}"/>
    <cellStyle name="쉼표 [0] 2 2 39" xfId="3390" xr:uid="{00000000-0005-0000-0000-0000ED0E0000}"/>
    <cellStyle name="쉼표 [0] 2 2 39 2" xfId="4565" xr:uid="{00000000-0005-0000-0000-0000EE0E0000}"/>
    <cellStyle name="쉼표 [0] 2 2 4" xfId="3391" xr:uid="{00000000-0005-0000-0000-0000EF0E0000}"/>
    <cellStyle name="쉼표 [0] 2 2 4 2" xfId="4566" xr:uid="{00000000-0005-0000-0000-0000F00E0000}"/>
    <cellStyle name="쉼표 [0] 2 2 40" xfId="3392" xr:uid="{00000000-0005-0000-0000-0000F10E0000}"/>
    <cellStyle name="쉼표 [0] 2 2 40 2" xfId="4567" xr:uid="{00000000-0005-0000-0000-0000F20E0000}"/>
    <cellStyle name="쉼표 [0] 2 2 41" xfId="3393" xr:uid="{00000000-0005-0000-0000-0000F30E0000}"/>
    <cellStyle name="쉼표 [0] 2 2 41 2" xfId="4568" xr:uid="{00000000-0005-0000-0000-0000F40E0000}"/>
    <cellStyle name="쉼표 [0] 2 2 42" xfId="3394" xr:uid="{00000000-0005-0000-0000-0000F50E0000}"/>
    <cellStyle name="쉼표 [0] 2 2 42 2" xfId="4569" xr:uid="{00000000-0005-0000-0000-0000F60E0000}"/>
    <cellStyle name="쉼표 [0] 2 2 43" xfId="4414" xr:uid="{00000000-0005-0000-0000-0000F70E0000}"/>
    <cellStyle name="쉼표 [0] 2 2 43 2" xfId="4892" xr:uid="{00000000-0005-0000-0000-0000F80E0000}"/>
    <cellStyle name="쉼표 [0] 2 2 44" xfId="4439" xr:uid="{00000000-0005-0000-0000-0000F90E0000}"/>
    <cellStyle name="쉼표 [0] 2 2 5" xfId="3395" xr:uid="{00000000-0005-0000-0000-0000FA0E0000}"/>
    <cellStyle name="쉼표 [0] 2 2 5 2" xfId="4570" xr:uid="{00000000-0005-0000-0000-0000FB0E0000}"/>
    <cellStyle name="쉼표 [0] 2 2 6" xfId="3396" xr:uid="{00000000-0005-0000-0000-0000FC0E0000}"/>
    <cellStyle name="쉼표 [0] 2 2 6 2" xfId="4571" xr:uid="{00000000-0005-0000-0000-0000FD0E0000}"/>
    <cellStyle name="쉼표 [0] 2 2 7" xfId="3397" xr:uid="{00000000-0005-0000-0000-0000FE0E0000}"/>
    <cellStyle name="쉼표 [0] 2 2 7 2" xfId="4572" xr:uid="{00000000-0005-0000-0000-0000FF0E0000}"/>
    <cellStyle name="쉼표 [0] 2 2 8" xfId="3398" xr:uid="{00000000-0005-0000-0000-0000000F0000}"/>
    <cellStyle name="쉼표 [0] 2 2 8 2" xfId="4573" xr:uid="{00000000-0005-0000-0000-0000010F0000}"/>
    <cellStyle name="쉼표 [0] 2 2 9" xfId="3399" xr:uid="{00000000-0005-0000-0000-0000020F0000}"/>
    <cellStyle name="쉼표 [0] 2 2 9 2" xfId="4574" xr:uid="{00000000-0005-0000-0000-0000030F0000}"/>
    <cellStyle name="쉼표 [0] 2 3" xfId="186" xr:uid="{00000000-0005-0000-0000-0000040F0000}"/>
    <cellStyle name="쉼표 [0] 2 3 2" xfId="4161" xr:uid="{00000000-0005-0000-0000-0000050F0000}"/>
    <cellStyle name="쉼표 [0] 2 3 2 2" xfId="4856" xr:uid="{00000000-0005-0000-0000-0000060F0000}"/>
    <cellStyle name="쉼표 [0] 2 3 3" xfId="4444" xr:uid="{00000000-0005-0000-0000-0000070F0000}"/>
    <cellStyle name="쉼표 [0] 2 4" xfId="4162" xr:uid="{00000000-0005-0000-0000-0000080F0000}"/>
    <cellStyle name="쉼표 [0] 2 4 2" xfId="4857" xr:uid="{00000000-0005-0000-0000-0000090F0000}"/>
    <cellStyle name="쉼표 [0] 2 5" xfId="4378" xr:uid="{00000000-0005-0000-0000-00000A0F0000}"/>
    <cellStyle name="쉼표 [0] 2 5 2" xfId="4889" xr:uid="{00000000-0005-0000-0000-00000B0F0000}"/>
    <cellStyle name="쉼표 [0] 2 6" xfId="4163" xr:uid="{00000000-0005-0000-0000-00000C0F0000}"/>
    <cellStyle name="쉼표 [0] 2 6 2" xfId="4858" xr:uid="{00000000-0005-0000-0000-00000D0F0000}"/>
    <cellStyle name="쉼표 [0] 2 7" xfId="4438" xr:uid="{00000000-0005-0000-0000-00000E0F0000}"/>
    <cellStyle name="쉼표 [0] 20" xfId="3400" xr:uid="{00000000-0005-0000-0000-00000F0F0000}"/>
    <cellStyle name="쉼표 [0] 20 2" xfId="4575" xr:uid="{00000000-0005-0000-0000-0000100F0000}"/>
    <cellStyle name="쉼표 [0] 21" xfId="3401" xr:uid="{00000000-0005-0000-0000-0000110F0000}"/>
    <cellStyle name="쉼표 [0] 21 2" xfId="4576" xr:uid="{00000000-0005-0000-0000-0000120F0000}"/>
    <cellStyle name="쉼표 [0] 22" xfId="3402" xr:uid="{00000000-0005-0000-0000-0000130F0000}"/>
    <cellStyle name="쉼표 [0] 22 2" xfId="4577" xr:uid="{00000000-0005-0000-0000-0000140F0000}"/>
    <cellStyle name="쉼표 [0] 23" xfId="3403" xr:uid="{00000000-0005-0000-0000-0000150F0000}"/>
    <cellStyle name="쉼표 [0] 23 2" xfId="4578" xr:uid="{00000000-0005-0000-0000-0000160F0000}"/>
    <cellStyle name="쉼표 [0] 24" xfId="3404" xr:uid="{00000000-0005-0000-0000-0000170F0000}"/>
    <cellStyle name="쉼표 [0] 24 2" xfId="4579" xr:uid="{00000000-0005-0000-0000-0000180F0000}"/>
    <cellStyle name="쉼표 [0] 25" xfId="3405" xr:uid="{00000000-0005-0000-0000-0000190F0000}"/>
    <cellStyle name="쉼표 [0] 25 2" xfId="4580" xr:uid="{00000000-0005-0000-0000-00001A0F0000}"/>
    <cellStyle name="쉼표 [0] 26" xfId="3406" xr:uid="{00000000-0005-0000-0000-00001B0F0000}"/>
    <cellStyle name="쉼표 [0] 26 2" xfId="4581" xr:uid="{00000000-0005-0000-0000-00001C0F0000}"/>
    <cellStyle name="쉼표 [0] 27" xfId="3407" xr:uid="{00000000-0005-0000-0000-00001D0F0000}"/>
    <cellStyle name="쉼표 [0] 27 2" xfId="4582" xr:uid="{00000000-0005-0000-0000-00001E0F0000}"/>
    <cellStyle name="쉼표 [0] 28" xfId="3408" xr:uid="{00000000-0005-0000-0000-00001F0F0000}"/>
    <cellStyle name="쉼표 [0] 28 2" xfId="4583" xr:uid="{00000000-0005-0000-0000-0000200F0000}"/>
    <cellStyle name="쉼표 [0] 29" xfId="3409" xr:uid="{00000000-0005-0000-0000-0000210F0000}"/>
    <cellStyle name="쉼표 [0] 29 2" xfId="4584" xr:uid="{00000000-0005-0000-0000-0000220F0000}"/>
    <cellStyle name="쉼표 [0] 3" xfId="106" xr:uid="{00000000-0005-0000-0000-0000230F0000}"/>
    <cellStyle name="쉼표 [0] 3 10" xfId="3410" xr:uid="{00000000-0005-0000-0000-0000240F0000}"/>
    <cellStyle name="쉼표 [0] 3 10 2" xfId="4585" xr:uid="{00000000-0005-0000-0000-0000250F0000}"/>
    <cellStyle name="쉼표 [0] 3 11" xfId="3411" xr:uid="{00000000-0005-0000-0000-0000260F0000}"/>
    <cellStyle name="쉼표 [0] 3 11 2" xfId="4586" xr:uid="{00000000-0005-0000-0000-0000270F0000}"/>
    <cellStyle name="쉼표 [0] 3 12" xfId="3412" xr:uid="{00000000-0005-0000-0000-0000280F0000}"/>
    <cellStyle name="쉼표 [0] 3 12 2" xfId="4587" xr:uid="{00000000-0005-0000-0000-0000290F0000}"/>
    <cellStyle name="쉼표 [0] 3 13" xfId="3413" xr:uid="{00000000-0005-0000-0000-00002A0F0000}"/>
    <cellStyle name="쉼표 [0] 3 13 2" xfId="4588" xr:uid="{00000000-0005-0000-0000-00002B0F0000}"/>
    <cellStyle name="쉼표 [0] 3 14" xfId="3414" xr:uid="{00000000-0005-0000-0000-00002C0F0000}"/>
    <cellStyle name="쉼표 [0] 3 14 2" xfId="4589" xr:uid="{00000000-0005-0000-0000-00002D0F0000}"/>
    <cellStyle name="쉼표 [0] 3 15" xfId="3415" xr:uid="{00000000-0005-0000-0000-00002E0F0000}"/>
    <cellStyle name="쉼표 [0] 3 15 2" xfId="4590" xr:uid="{00000000-0005-0000-0000-00002F0F0000}"/>
    <cellStyle name="쉼표 [0] 3 16" xfId="3416" xr:uid="{00000000-0005-0000-0000-0000300F0000}"/>
    <cellStyle name="쉼표 [0] 3 16 2" xfId="4591" xr:uid="{00000000-0005-0000-0000-0000310F0000}"/>
    <cellStyle name="쉼표 [0] 3 17" xfId="3417" xr:uid="{00000000-0005-0000-0000-0000320F0000}"/>
    <cellStyle name="쉼표 [0] 3 17 2" xfId="4592" xr:uid="{00000000-0005-0000-0000-0000330F0000}"/>
    <cellStyle name="쉼표 [0] 3 18" xfId="3418" xr:uid="{00000000-0005-0000-0000-0000340F0000}"/>
    <cellStyle name="쉼표 [0] 3 18 2" xfId="4593" xr:uid="{00000000-0005-0000-0000-0000350F0000}"/>
    <cellStyle name="쉼표 [0] 3 19" xfId="3419" xr:uid="{00000000-0005-0000-0000-0000360F0000}"/>
    <cellStyle name="쉼표 [0] 3 19 2" xfId="4594" xr:uid="{00000000-0005-0000-0000-0000370F0000}"/>
    <cellStyle name="쉼표 [0] 3 2" xfId="180" xr:uid="{00000000-0005-0000-0000-0000380F0000}"/>
    <cellStyle name="쉼표 [0] 3 2 2" xfId="4164" xr:uid="{00000000-0005-0000-0000-0000390F0000}"/>
    <cellStyle name="쉼표 [0] 3 2 2 2" xfId="4859" xr:uid="{00000000-0005-0000-0000-00003A0F0000}"/>
    <cellStyle name="쉼표 [0] 3 2 3" xfId="4442" xr:uid="{00000000-0005-0000-0000-00003B0F0000}"/>
    <cellStyle name="쉼표 [0] 3 20" xfId="3420" xr:uid="{00000000-0005-0000-0000-00003C0F0000}"/>
    <cellStyle name="쉼표 [0] 3 20 2" xfId="4595" xr:uid="{00000000-0005-0000-0000-00003D0F0000}"/>
    <cellStyle name="쉼표 [0] 3 21" xfId="3421" xr:uid="{00000000-0005-0000-0000-00003E0F0000}"/>
    <cellStyle name="쉼표 [0] 3 21 2" xfId="4596" xr:uid="{00000000-0005-0000-0000-00003F0F0000}"/>
    <cellStyle name="쉼표 [0] 3 22" xfId="3422" xr:uid="{00000000-0005-0000-0000-0000400F0000}"/>
    <cellStyle name="쉼표 [0] 3 22 2" xfId="4597" xr:uid="{00000000-0005-0000-0000-0000410F0000}"/>
    <cellStyle name="쉼표 [0] 3 23" xfId="3423" xr:uid="{00000000-0005-0000-0000-0000420F0000}"/>
    <cellStyle name="쉼표 [0] 3 23 2" xfId="4598" xr:uid="{00000000-0005-0000-0000-0000430F0000}"/>
    <cellStyle name="쉼표 [0] 3 24" xfId="3424" xr:uid="{00000000-0005-0000-0000-0000440F0000}"/>
    <cellStyle name="쉼표 [0] 3 24 2" xfId="4599" xr:uid="{00000000-0005-0000-0000-0000450F0000}"/>
    <cellStyle name="쉼표 [0] 3 25" xfId="3425" xr:uid="{00000000-0005-0000-0000-0000460F0000}"/>
    <cellStyle name="쉼표 [0] 3 25 2" xfId="4600" xr:uid="{00000000-0005-0000-0000-0000470F0000}"/>
    <cellStyle name="쉼표 [0] 3 26" xfId="3426" xr:uid="{00000000-0005-0000-0000-0000480F0000}"/>
    <cellStyle name="쉼표 [0] 3 26 2" xfId="4601" xr:uid="{00000000-0005-0000-0000-0000490F0000}"/>
    <cellStyle name="쉼표 [0] 3 27" xfId="3427" xr:uid="{00000000-0005-0000-0000-00004A0F0000}"/>
    <cellStyle name="쉼표 [0] 3 27 2" xfId="4602" xr:uid="{00000000-0005-0000-0000-00004B0F0000}"/>
    <cellStyle name="쉼표 [0] 3 28" xfId="3428" xr:uid="{00000000-0005-0000-0000-00004C0F0000}"/>
    <cellStyle name="쉼표 [0] 3 28 2" xfId="4603" xr:uid="{00000000-0005-0000-0000-00004D0F0000}"/>
    <cellStyle name="쉼표 [0] 3 29" xfId="3429" xr:uid="{00000000-0005-0000-0000-00004E0F0000}"/>
    <cellStyle name="쉼표 [0] 3 29 2" xfId="4604" xr:uid="{00000000-0005-0000-0000-00004F0F0000}"/>
    <cellStyle name="쉼표 [0] 3 3" xfId="3430" xr:uid="{00000000-0005-0000-0000-0000500F0000}"/>
    <cellStyle name="쉼표 [0] 3 3 10" xfId="3431" xr:uid="{00000000-0005-0000-0000-0000510F0000}"/>
    <cellStyle name="쉼표 [0] 3 3 10 2" xfId="4606" xr:uid="{00000000-0005-0000-0000-0000520F0000}"/>
    <cellStyle name="쉼표 [0] 3 3 11" xfId="3432" xr:uid="{00000000-0005-0000-0000-0000530F0000}"/>
    <cellStyle name="쉼표 [0] 3 3 11 2" xfId="4607" xr:uid="{00000000-0005-0000-0000-0000540F0000}"/>
    <cellStyle name="쉼표 [0] 3 3 12" xfId="3433" xr:uid="{00000000-0005-0000-0000-0000550F0000}"/>
    <cellStyle name="쉼표 [0] 3 3 12 2" xfId="4608" xr:uid="{00000000-0005-0000-0000-0000560F0000}"/>
    <cellStyle name="쉼표 [0] 3 3 13" xfId="3434" xr:uid="{00000000-0005-0000-0000-0000570F0000}"/>
    <cellStyle name="쉼표 [0] 3 3 13 2" xfId="4609" xr:uid="{00000000-0005-0000-0000-0000580F0000}"/>
    <cellStyle name="쉼표 [0] 3 3 14" xfId="3435" xr:uid="{00000000-0005-0000-0000-0000590F0000}"/>
    <cellStyle name="쉼표 [0] 3 3 14 2" xfId="4610" xr:uid="{00000000-0005-0000-0000-00005A0F0000}"/>
    <cellStyle name="쉼표 [0] 3 3 15" xfId="3436" xr:uid="{00000000-0005-0000-0000-00005B0F0000}"/>
    <cellStyle name="쉼표 [0] 3 3 15 2" xfId="4611" xr:uid="{00000000-0005-0000-0000-00005C0F0000}"/>
    <cellStyle name="쉼표 [0] 3 3 16" xfId="3437" xr:uid="{00000000-0005-0000-0000-00005D0F0000}"/>
    <cellStyle name="쉼표 [0] 3 3 16 2" xfId="4612" xr:uid="{00000000-0005-0000-0000-00005E0F0000}"/>
    <cellStyle name="쉼표 [0] 3 3 17" xfId="4212" xr:uid="{00000000-0005-0000-0000-00005F0F0000}"/>
    <cellStyle name="쉼표 [0] 3 3 17 2" xfId="4868" xr:uid="{00000000-0005-0000-0000-0000600F0000}"/>
    <cellStyle name="쉼표 [0] 3 3 18" xfId="4605" xr:uid="{00000000-0005-0000-0000-0000610F0000}"/>
    <cellStyle name="쉼표 [0] 3 3 2" xfId="3438" xr:uid="{00000000-0005-0000-0000-0000620F0000}"/>
    <cellStyle name="쉼표 [0] 3 3 2 2" xfId="4613" xr:uid="{00000000-0005-0000-0000-0000630F0000}"/>
    <cellStyle name="쉼표 [0] 3 3 3" xfId="3439" xr:uid="{00000000-0005-0000-0000-0000640F0000}"/>
    <cellStyle name="쉼표 [0] 3 3 3 2" xfId="4614" xr:uid="{00000000-0005-0000-0000-0000650F0000}"/>
    <cellStyle name="쉼표 [0] 3 3 4" xfId="3440" xr:uid="{00000000-0005-0000-0000-0000660F0000}"/>
    <cellStyle name="쉼표 [0] 3 3 4 2" xfId="4615" xr:uid="{00000000-0005-0000-0000-0000670F0000}"/>
    <cellStyle name="쉼표 [0] 3 3 5" xfId="3441" xr:uid="{00000000-0005-0000-0000-0000680F0000}"/>
    <cellStyle name="쉼표 [0] 3 3 5 2" xfId="4616" xr:uid="{00000000-0005-0000-0000-0000690F0000}"/>
    <cellStyle name="쉼표 [0] 3 3 6" xfId="3442" xr:uid="{00000000-0005-0000-0000-00006A0F0000}"/>
    <cellStyle name="쉼표 [0] 3 3 6 2" xfId="4617" xr:uid="{00000000-0005-0000-0000-00006B0F0000}"/>
    <cellStyle name="쉼표 [0] 3 3 7" xfId="3443" xr:uid="{00000000-0005-0000-0000-00006C0F0000}"/>
    <cellStyle name="쉼표 [0] 3 3 7 2" xfId="4618" xr:uid="{00000000-0005-0000-0000-00006D0F0000}"/>
    <cellStyle name="쉼표 [0] 3 3 8" xfId="3444" xr:uid="{00000000-0005-0000-0000-00006E0F0000}"/>
    <cellStyle name="쉼표 [0] 3 3 8 2" xfId="4619" xr:uid="{00000000-0005-0000-0000-00006F0F0000}"/>
    <cellStyle name="쉼표 [0] 3 3 9" xfId="3445" xr:uid="{00000000-0005-0000-0000-0000700F0000}"/>
    <cellStyle name="쉼표 [0] 3 3 9 2" xfId="4620" xr:uid="{00000000-0005-0000-0000-0000710F0000}"/>
    <cellStyle name="쉼표 [0] 3 30" xfId="3446" xr:uid="{00000000-0005-0000-0000-0000720F0000}"/>
    <cellStyle name="쉼표 [0] 3 30 2" xfId="4621" xr:uid="{00000000-0005-0000-0000-0000730F0000}"/>
    <cellStyle name="쉼표 [0] 3 31" xfId="3447" xr:uid="{00000000-0005-0000-0000-0000740F0000}"/>
    <cellStyle name="쉼표 [0] 3 31 2" xfId="4622" xr:uid="{00000000-0005-0000-0000-0000750F0000}"/>
    <cellStyle name="쉼표 [0] 3 32" xfId="3448" xr:uid="{00000000-0005-0000-0000-0000760F0000}"/>
    <cellStyle name="쉼표 [0] 3 32 2" xfId="4623" xr:uid="{00000000-0005-0000-0000-0000770F0000}"/>
    <cellStyle name="쉼표 [0] 3 33" xfId="3449" xr:uid="{00000000-0005-0000-0000-0000780F0000}"/>
    <cellStyle name="쉼표 [0] 3 33 2" xfId="4624" xr:uid="{00000000-0005-0000-0000-0000790F0000}"/>
    <cellStyle name="쉼표 [0] 3 34" xfId="3450" xr:uid="{00000000-0005-0000-0000-00007A0F0000}"/>
    <cellStyle name="쉼표 [0] 3 34 2" xfId="4625" xr:uid="{00000000-0005-0000-0000-00007B0F0000}"/>
    <cellStyle name="쉼표 [0] 3 35" xfId="3451" xr:uid="{00000000-0005-0000-0000-00007C0F0000}"/>
    <cellStyle name="쉼표 [0] 3 35 2" xfId="4626" xr:uid="{00000000-0005-0000-0000-00007D0F0000}"/>
    <cellStyle name="쉼표 [0] 3 36" xfId="3452" xr:uid="{00000000-0005-0000-0000-00007E0F0000}"/>
    <cellStyle name="쉼표 [0] 3 36 2" xfId="4627" xr:uid="{00000000-0005-0000-0000-00007F0F0000}"/>
    <cellStyle name="쉼표 [0] 3 37" xfId="3453" xr:uid="{00000000-0005-0000-0000-0000800F0000}"/>
    <cellStyle name="쉼표 [0] 3 37 2" xfId="4628" xr:uid="{00000000-0005-0000-0000-0000810F0000}"/>
    <cellStyle name="쉼표 [0] 3 38" xfId="3454" xr:uid="{00000000-0005-0000-0000-0000820F0000}"/>
    <cellStyle name="쉼표 [0] 3 38 2" xfId="4629" xr:uid="{00000000-0005-0000-0000-0000830F0000}"/>
    <cellStyle name="쉼표 [0] 3 39" xfId="3455" xr:uid="{00000000-0005-0000-0000-0000840F0000}"/>
    <cellStyle name="쉼표 [0] 3 39 2" xfId="4630" xr:uid="{00000000-0005-0000-0000-0000850F0000}"/>
    <cellStyle name="쉼표 [0] 3 4" xfId="3456" xr:uid="{00000000-0005-0000-0000-0000860F0000}"/>
    <cellStyle name="쉼표 [0] 3 4 2" xfId="4213" xr:uid="{00000000-0005-0000-0000-0000870F0000}"/>
    <cellStyle name="쉼표 [0] 3 4 2 2" xfId="4869" xr:uid="{00000000-0005-0000-0000-0000880F0000}"/>
    <cellStyle name="쉼표 [0] 3 4 3" xfId="4631" xr:uid="{00000000-0005-0000-0000-0000890F0000}"/>
    <cellStyle name="쉼표 [0] 3 40" xfId="3457" xr:uid="{00000000-0005-0000-0000-00008A0F0000}"/>
    <cellStyle name="쉼표 [0] 3 40 2" xfId="4632" xr:uid="{00000000-0005-0000-0000-00008B0F0000}"/>
    <cellStyle name="쉼표 [0] 3 41" xfId="3458" xr:uid="{00000000-0005-0000-0000-00008C0F0000}"/>
    <cellStyle name="쉼표 [0] 3 41 2" xfId="4633" xr:uid="{00000000-0005-0000-0000-00008D0F0000}"/>
    <cellStyle name="쉼표 [0] 3 42" xfId="3459" xr:uid="{00000000-0005-0000-0000-00008E0F0000}"/>
    <cellStyle name="쉼표 [0] 3 42 2" xfId="4634" xr:uid="{00000000-0005-0000-0000-00008F0F0000}"/>
    <cellStyle name="쉼표 [0] 3 43" xfId="3460" xr:uid="{00000000-0005-0000-0000-0000900F0000}"/>
    <cellStyle name="쉼표 [0] 3 43 2" xfId="4635" xr:uid="{00000000-0005-0000-0000-0000910F0000}"/>
    <cellStyle name="쉼표 [0] 3 44" xfId="4379" xr:uid="{00000000-0005-0000-0000-0000920F0000}"/>
    <cellStyle name="쉼표 [0] 3 44 2" xfId="4890" xr:uid="{00000000-0005-0000-0000-0000930F0000}"/>
    <cellStyle name="쉼표 [0] 3 45" xfId="4440" xr:uid="{00000000-0005-0000-0000-0000940F0000}"/>
    <cellStyle name="쉼표 [0] 3 46" xfId="4902" xr:uid="{5B81B561-1536-406C-83C3-A1E8247D31D7}"/>
    <cellStyle name="쉼표 [0] 3 5" xfId="3461" xr:uid="{00000000-0005-0000-0000-0000950F0000}"/>
    <cellStyle name="쉼표 [0] 3 5 2" xfId="4636" xr:uid="{00000000-0005-0000-0000-0000960F0000}"/>
    <cellStyle name="쉼표 [0] 3 6" xfId="3462" xr:uid="{00000000-0005-0000-0000-0000970F0000}"/>
    <cellStyle name="쉼표 [0] 3 6 2" xfId="4637" xr:uid="{00000000-0005-0000-0000-0000980F0000}"/>
    <cellStyle name="쉼표 [0] 3 7" xfId="3463" xr:uid="{00000000-0005-0000-0000-0000990F0000}"/>
    <cellStyle name="쉼표 [0] 3 7 2" xfId="4638" xr:uid="{00000000-0005-0000-0000-00009A0F0000}"/>
    <cellStyle name="쉼표 [0] 3 8" xfId="3464" xr:uid="{00000000-0005-0000-0000-00009B0F0000}"/>
    <cellStyle name="쉼표 [0] 3 8 2" xfId="4639" xr:uid="{00000000-0005-0000-0000-00009C0F0000}"/>
    <cellStyle name="쉼표 [0] 3 9" xfId="3465" xr:uid="{00000000-0005-0000-0000-00009D0F0000}"/>
    <cellStyle name="쉼표 [0] 3 9 2" xfId="4640" xr:uid="{00000000-0005-0000-0000-00009E0F0000}"/>
    <cellStyle name="쉼표 [0] 30" xfId="3466" xr:uid="{00000000-0005-0000-0000-00009F0F0000}"/>
    <cellStyle name="쉼표 [0] 30 2" xfId="4641" xr:uid="{00000000-0005-0000-0000-0000A00F0000}"/>
    <cellStyle name="쉼표 [0] 31" xfId="3467" xr:uid="{00000000-0005-0000-0000-0000A10F0000}"/>
    <cellStyle name="쉼표 [0] 31 2" xfId="4642" xr:uid="{00000000-0005-0000-0000-0000A20F0000}"/>
    <cellStyle name="쉼표 [0] 32" xfId="4165" xr:uid="{00000000-0005-0000-0000-0000A30F0000}"/>
    <cellStyle name="쉼표 [0] 32 2" xfId="4347" xr:uid="{00000000-0005-0000-0000-0000A40F0000}"/>
    <cellStyle name="쉼표 [0] 32 2 2" xfId="4878" xr:uid="{00000000-0005-0000-0000-0000A50F0000}"/>
    <cellStyle name="쉼표 [0] 32 3" xfId="4860" xr:uid="{00000000-0005-0000-0000-0000A60F0000}"/>
    <cellStyle name="쉼표 [0] 33" xfId="4377" xr:uid="{00000000-0005-0000-0000-0000A70F0000}"/>
    <cellStyle name="쉼표 [0] 33 2" xfId="4888" xr:uid="{00000000-0005-0000-0000-0000A80F0000}"/>
    <cellStyle name="쉼표 [0] 34" xfId="4437" xr:uid="{00000000-0005-0000-0000-0000A90F0000}"/>
    <cellStyle name="쉼표 [0] 35" xfId="4435" xr:uid="{00000000-0005-0000-0000-0000AA0F0000}"/>
    <cellStyle name="쉼표 [0] 36" xfId="4897" xr:uid="{F69D83B4-F1DA-40FC-A1F7-689C4F5439DF}"/>
    <cellStyle name="쉼표 [0] 4" xfId="181" xr:uid="{00000000-0005-0000-0000-0000AB0F0000}"/>
    <cellStyle name="쉼표 [0] 4 10" xfId="3468" xr:uid="{00000000-0005-0000-0000-0000AC0F0000}"/>
    <cellStyle name="쉼표 [0] 4 10 2" xfId="4643" xr:uid="{00000000-0005-0000-0000-0000AD0F0000}"/>
    <cellStyle name="쉼표 [0] 4 11" xfId="3469" xr:uid="{00000000-0005-0000-0000-0000AE0F0000}"/>
    <cellStyle name="쉼표 [0] 4 11 2" xfId="4644" xr:uid="{00000000-0005-0000-0000-0000AF0F0000}"/>
    <cellStyle name="쉼표 [0] 4 12" xfId="3470" xr:uid="{00000000-0005-0000-0000-0000B00F0000}"/>
    <cellStyle name="쉼표 [0] 4 12 2" xfId="4645" xr:uid="{00000000-0005-0000-0000-0000B10F0000}"/>
    <cellStyle name="쉼표 [0] 4 13" xfId="3471" xr:uid="{00000000-0005-0000-0000-0000B20F0000}"/>
    <cellStyle name="쉼표 [0] 4 13 2" xfId="4646" xr:uid="{00000000-0005-0000-0000-0000B30F0000}"/>
    <cellStyle name="쉼표 [0] 4 14" xfId="3472" xr:uid="{00000000-0005-0000-0000-0000B40F0000}"/>
    <cellStyle name="쉼표 [0] 4 14 2" xfId="4647" xr:uid="{00000000-0005-0000-0000-0000B50F0000}"/>
    <cellStyle name="쉼표 [0] 4 15" xfId="3473" xr:uid="{00000000-0005-0000-0000-0000B60F0000}"/>
    <cellStyle name="쉼표 [0] 4 15 2" xfId="4648" xr:uid="{00000000-0005-0000-0000-0000B70F0000}"/>
    <cellStyle name="쉼표 [0] 4 16" xfId="3474" xr:uid="{00000000-0005-0000-0000-0000B80F0000}"/>
    <cellStyle name="쉼표 [0] 4 16 2" xfId="4649" xr:uid="{00000000-0005-0000-0000-0000B90F0000}"/>
    <cellStyle name="쉼표 [0] 4 17" xfId="3475" xr:uid="{00000000-0005-0000-0000-0000BA0F0000}"/>
    <cellStyle name="쉼표 [0] 4 17 2" xfId="4650" xr:uid="{00000000-0005-0000-0000-0000BB0F0000}"/>
    <cellStyle name="쉼표 [0] 4 18" xfId="3476" xr:uid="{00000000-0005-0000-0000-0000BC0F0000}"/>
    <cellStyle name="쉼표 [0] 4 18 2" xfId="4651" xr:uid="{00000000-0005-0000-0000-0000BD0F0000}"/>
    <cellStyle name="쉼표 [0] 4 19" xfId="3477" xr:uid="{00000000-0005-0000-0000-0000BE0F0000}"/>
    <cellStyle name="쉼표 [0] 4 19 2" xfId="4652" xr:uid="{00000000-0005-0000-0000-0000BF0F0000}"/>
    <cellStyle name="쉼표 [0] 4 2" xfId="3478" xr:uid="{00000000-0005-0000-0000-0000C00F0000}"/>
    <cellStyle name="쉼표 [0] 4 2 2" xfId="4214" xr:uid="{00000000-0005-0000-0000-0000C10F0000}"/>
    <cellStyle name="쉼표 [0] 4 2 2 2" xfId="4870" xr:uid="{00000000-0005-0000-0000-0000C20F0000}"/>
    <cellStyle name="쉼표 [0] 4 2 3" xfId="4348" xr:uid="{00000000-0005-0000-0000-0000C30F0000}"/>
    <cellStyle name="쉼표 [0] 4 2 4" xfId="4653" xr:uid="{00000000-0005-0000-0000-0000C40F0000}"/>
    <cellStyle name="쉼표 [0] 4 20" xfId="3479" xr:uid="{00000000-0005-0000-0000-0000C50F0000}"/>
    <cellStyle name="쉼표 [0] 4 20 2" xfId="4654" xr:uid="{00000000-0005-0000-0000-0000C60F0000}"/>
    <cellStyle name="쉼표 [0] 4 21" xfId="3480" xr:uid="{00000000-0005-0000-0000-0000C70F0000}"/>
    <cellStyle name="쉼표 [0] 4 21 2" xfId="4655" xr:uid="{00000000-0005-0000-0000-0000C80F0000}"/>
    <cellStyle name="쉼표 [0] 4 22" xfId="3481" xr:uid="{00000000-0005-0000-0000-0000C90F0000}"/>
    <cellStyle name="쉼표 [0] 4 22 2" xfId="4656" xr:uid="{00000000-0005-0000-0000-0000CA0F0000}"/>
    <cellStyle name="쉼표 [0] 4 23" xfId="3482" xr:uid="{00000000-0005-0000-0000-0000CB0F0000}"/>
    <cellStyle name="쉼표 [0] 4 23 2" xfId="4657" xr:uid="{00000000-0005-0000-0000-0000CC0F0000}"/>
    <cellStyle name="쉼표 [0] 4 24" xfId="3483" xr:uid="{00000000-0005-0000-0000-0000CD0F0000}"/>
    <cellStyle name="쉼표 [0] 4 24 2" xfId="4658" xr:uid="{00000000-0005-0000-0000-0000CE0F0000}"/>
    <cellStyle name="쉼표 [0] 4 25" xfId="3484" xr:uid="{00000000-0005-0000-0000-0000CF0F0000}"/>
    <cellStyle name="쉼표 [0] 4 25 2" xfId="4659" xr:uid="{00000000-0005-0000-0000-0000D00F0000}"/>
    <cellStyle name="쉼표 [0] 4 26" xfId="3485" xr:uid="{00000000-0005-0000-0000-0000D10F0000}"/>
    <cellStyle name="쉼표 [0] 4 26 2" xfId="4660" xr:uid="{00000000-0005-0000-0000-0000D20F0000}"/>
    <cellStyle name="쉼표 [0] 4 27" xfId="3486" xr:uid="{00000000-0005-0000-0000-0000D30F0000}"/>
    <cellStyle name="쉼표 [0] 4 27 2" xfId="4661" xr:uid="{00000000-0005-0000-0000-0000D40F0000}"/>
    <cellStyle name="쉼표 [0] 4 28" xfId="3487" xr:uid="{00000000-0005-0000-0000-0000D50F0000}"/>
    <cellStyle name="쉼표 [0] 4 28 2" xfId="4662" xr:uid="{00000000-0005-0000-0000-0000D60F0000}"/>
    <cellStyle name="쉼표 [0] 4 29" xfId="3488" xr:uid="{00000000-0005-0000-0000-0000D70F0000}"/>
    <cellStyle name="쉼표 [0] 4 29 2" xfId="4663" xr:uid="{00000000-0005-0000-0000-0000D80F0000}"/>
    <cellStyle name="쉼표 [0] 4 3" xfId="3489" xr:uid="{00000000-0005-0000-0000-0000D90F0000}"/>
    <cellStyle name="쉼표 [0] 4 3 2" xfId="4664" xr:uid="{00000000-0005-0000-0000-0000DA0F0000}"/>
    <cellStyle name="쉼표 [0] 4 30" xfId="3490" xr:uid="{00000000-0005-0000-0000-0000DB0F0000}"/>
    <cellStyle name="쉼표 [0] 4 30 2" xfId="4665" xr:uid="{00000000-0005-0000-0000-0000DC0F0000}"/>
    <cellStyle name="쉼표 [0] 4 31" xfId="3491" xr:uid="{00000000-0005-0000-0000-0000DD0F0000}"/>
    <cellStyle name="쉼표 [0] 4 31 2" xfId="4666" xr:uid="{00000000-0005-0000-0000-0000DE0F0000}"/>
    <cellStyle name="쉼표 [0] 4 32" xfId="3492" xr:uid="{00000000-0005-0000-0000-0000DF0F0000}"/>
    <cellStyle name="쉼표 [0] 4 32 2" xfId="4667" xr:uid="{00000000-0005-0000-0000-0000E00F0000}"/>
    <cellStyle name="쉼표 [0] 4 33" xfId="3493" xr:uid="{00000000-0005-0000-0000-0000E10F0000}"/>
    <cellStyle name="쉼표 [0] 4 33 2" xfId="4668" xr:uid="{00000000-0005-0000-0000-0000E20F0000}"/>
    <cellStyle name="쉼표 [0] 4 34" xfId="3494" xr:uid="{00000000-0005-0000-0000-0000E30F0000}"/>
    <cellStyle name="쉼표 [0] 4 34 2" xfId="4669" xr:uid="{00000000-0005-0000-0000-0000E40F0000}"/>
    <cellStyle name="쉼표 [0] 4 35" xfId="3495" xr:uid="{00000000-0005-0000-0000-0000E50F0000}"/>
    <cellStyle name="쉼표 [0] 4 35 2" xfId="4670" xr:uid="{00000000-0005-0000-0000-0000E60F0000}"/>
    <cellStyle name="쉼표 [0] 4 36" xfId="3496" xr:uid="{00000000-0005-0000-0000-0000E70F0000}"/>
    <cellStyle name="쉼표 [0] 4 36 2" xfId="4671" xr:uid="{00000000-0005-0000-0000-0000E80F0000}"/>
    <cellStyle name="쉼표 [0] 4 37" xfId="3497" xr:uid="{00000000-0005-0000-0000-0000E90F0000}"/>
    <cellStyle name="쉼표 [0] 4 37 2" xfId="4672" xr:uid="{00000000-0005-0000-0000-0000EA0F0000}"/>
    <cellStyle name="쉼표 [0] 4 38" xfId="3498" xr:uid="{00000000-0005-0000-0000-0000EB0F0000}"/>
    <cellStyle name="쉼표 [0] 4 38 2" xfId="4673" xr:uid="{00000000-0005-0000-0000-0000EC0F0000}"/>
    <cellStyle name="쉼표 [0] 4 39" xfId="3499" xr:uid="{00000000-0005-0000-0000-0000ED0F0000}"/>
    <cellStyle name="쉼표 [0] 4 39 2" xfId="4674" xr:uid="{00000000-0005-0000-0000-0000EE0F0000}"/>
    <cellStyle name="쉼표 [0] 4 4" xfId="3500" xr:uid="{00000000-0005-0000-0000-0000EF0F0000}"/>
    <cellStyle name="쉼표 [0] 4 4 2" xfId="4675" xr:uid="{00000000-0005-0000-0000-0000F00F0000}"/>
    <cellStyle name="쉼표 [0] 4 40" xfId="3501" xr:uid="{00000000-0005-0000-0000-0000F10F0000}"/>
    <cellStyle name="쉼표 [0] 4 40 2" xfId="4676" xr:uid="{00000000-0005-0000-0000-0000F20F0000}"/>
    <cellStyle name="쉼표 [0] 4 41" xfId="3502" xr:uid="{00000000-0005-0000-0000-0000F30F0000}"/>
    <cellStyle name="쉼표 [0] 4 41 2" xfId="4677" xr:uid="{00000000-0005-0000-0000-0000F40F0000}"/>
    <cellStyle name="쉼표 [0] 4 42" xfId="4166" xr:uid="{00000000-0005-0000-0000-0000F50F0000}"/>
    <cellStyle name="쉼표 [0] 4 42 2" xfId="4861" xr:uid="{00000000-0005-0000-0000-0000F60F0000}"/>
    <cellStyle name="쉼표 [0] 4 43" xfId="4443" xr:uid="{00000000-0005-0000-0000-0000F70F0000}"/>
    <cellStyle name="쉼표 [0] 4 5" xfId="3503" xr:uid="{00000000-0005-0000-0000-0000F80F0000}"/>
    <cellStyle name="쉼표 [0] 4 5 2" xfId="4678" xr:uid="{00000000-0005-0000-0000-0000F90F0000}"/>
    <cellStyle name="쉼표 [0] 4 6" xfId="3504" xr:uid="{00000000-0005-0000-0000-0000FA0F0000}"/>
    <cellStyle name="쉼표 [0] 4 6 2" xfId="4679" xr:uid="{00000000-0005-0000-0000-0000FB0F0000}"/>
    <cellStyle name="쉼표 [0] 4 7" xfId="3505" xr:uid="{00000000-0005-0000-0000-0000FC0F0000}"/>
    <cellStyle name="쉼표 [0] 4 7 2" xfId="4680" xr:uid="{00000000-0005-0000-0000-0000FD0F0000}"/>
    <cellStyle name="쉼표 [0] 4 8" xfId="3506" xr:uid="{00000000-0005-0000-0000-0000FE0F0000}"/>
    <cellStyle name="쉼표 [0] 4 8 2" xfId="4681" xr:uid="{00000000-0005-0000-0000-0000FF0F0000}"/>
    <cellStyle name="쉼표 [0] 4 9" xfId="3507" xr:uid="{00000000-0005-0000-0000-000000100000}"/>
    <cellStyle name="쉼표 [0] 4 9 2" xfId="4682" xr:uid="{00000000-0005-0000-0000-000001100000}"/>
    <cellStyle name="쉼표 [0] 4_루트로닉 정보시스템 견적서2차" xfId="3508" xr:uid="{00000000-0005-0000-0000-000002100000}"/>
    <cellStyle name="쉼표 [0] 5" xfId="3509" xr:uid="{00000000-0005-0000-0000-000003100000}"/>
    <cellStyle name="쉼표 [0] 5 2" xfId="4167" xr:uid="{00000000-0005-0000-0000-000004100000}"/>
    <cellStyle name="쉼표 [0] 5 2 2" xfId="4862" xr:uid="{00000000-0005-0000-0000-000005100000}"/>
    <cellStyle name="쉼표 [0] 5 3" xfId="4683" xr:uid="{00000000-0005-0000-0000-000006100000}"/>
    <cellStyle name="쉼표 [0] 6" xfId="3510" xr:uid="{00000000-0005-0000-0000-000007100000}"/>
    <cellStyle name="쉼표 [0] 6 2" xfId="4684" xr:uid="{00000000-0005-0000-0000-000008100000}"/>
    <cellStyle name="쉼표 [0] 7" xfId="3511" xr:uid="{00000000-0005-0000-0000-000009100000}"/>
    <cellStyle name="쉼표 [0] 7 2" xfId="3512" xr:uid="{00000000-0005-0000-0000-00000A100000}"/>
    <cellStyle name="쉼표 [0] 7 2 2" xfId="4686" xr:uid="{00000000-0005-0000-0000-00000B100000}"/>
    <cellStyle name="쉼표 [0] 7 3" xfId="4685" xr:uid="{00000000-0005-0000-0000-00000C100000}"/>
    <cellStyle name="쉼표 [0] 8" xfId="3513" xr:uid="{00000000-0005-0000-0000-00000D100000}"/>
    <cellStyle name="쉼표 [0] 9" xfId="3514" xr:uid="{00000000-0005-0000-0000-00000E100000}"/>
    <cellStyle name="쉼표 [0] 9 2" xfId="4168" xr:uid="{00000000-0005-0000-0000-00000F100000}"/>
    <cellStyle name="쉼표 [0] 9 2 2" xfId="4863" xr:uid="{00000000-0005-0000-0000-000010100000}"/>
    <cellStyle name="쉼표 [0] 9 3" xfId="4687" xr:uid="{00000000-0005-0000-0000-000011100000}"/>
    <cellStyle name="쉼표 2" xfId="3515" xr:uid="{00000000-0005-0000-0000-000012100000}"/>
    <cellStyle name="쉼표 2 10" xfId="3516" xr:uid="{00000000-0005-0000-0000-000013100000}"/>
    <cellStyle name="쉼표 2 10 2" xfId="3517" xr:uid="{00000000-0005-0000-0000-000014100000}"/>
    <cellStyle name="쉼표 2 10 2 2" xfId="3518" xr:uid="{00000000-0005-0000-0000-000015100000}"/>
    <cellStyle name="쉼표 2 10 2 2 2" xfId="4691" xr:uid="{00000000-0005-0000-0000-000016100000}"/>
    <cellStyle name="쉼표 2 10 2 3" xfId="3519" xr:uid="{00000000-0005-0000-0000-000017100000}"/>
    <cellStyle name="쉼표 2 10 2 3 2" xfId="4692" xr:uid="{00000000-0005-0000-0000-000018100000}"/>
    <cellStyle name="쉼표 2 10 2 4" xfId="3520" xr:uid="{00000000-0005-0000-0000-000019100000}"/>
    <cellStyle name="쉼표 2 10 2 4 2" xfId="4693" xr:uid="{00000000-0005-0000-0000-00001A100000}"/>
    <cellStyle name="쉼표 2 10 2 5" xfId="4690" xr:uid="{00000000-0005-0000-0000-00001B100000}"/>
    <cellStyle name="쉼표 2 10 3" xfId="4689" xr:uid="{00000000-0005-0000-0000-00001C100000}"/>
    <cellStyle name="쉼표 2 11" xfId="3521" xr:uid="{00000000-0005-0000-0000-00001D100000}"/>
    <cellStyle name="쉼표 2 11 2" xfId="4694" xr:uid="{00000000-0005-0000-0000-00001E100000}"/>
    <cellStyle name="쉼표 2 12" xfId="3522" xr:uid="{00000000-0005-0000-0000-00001F100000}"/>
    <cellStyle name="쉼표 2 12 2" xfId="4695" xr:uid="{00000000-0005-0000-0000-000020100000}"/>
    <cellStyle name="쉼표 2 13" xfId="3523" xr:uid="{00000000-0005-0000-0000-000021100000}"/>
    <cellStyle name="쉼표 2 13 2" xfId="4696" xr:uid="{00000000-0005-0000-0000-000022100000}"/>
    <cellStyle name="쉼표 2 14" xfId="3524" xr:uid="{00000000-0005-0000-0000-000023100000}"/>
    <cellStyle name="쉼표 2 14 2" xfId="4697" xr:uid="{00000000-0005-0000-0000-000024100000}"/>
    <cellStyle name="쉼표 2 15" xfId="3525" xr:uid="{00000000-0005-0000-0000-000025100000}"/>
    <cellStyle name="쉼표 2 15 2" xfId="4698" xr:uid="{00000000-0005-0000-0000-000026100000}"/>
    <cellStyle name="쉼표 2 16" xfId="3526" xr:uid="{00000000-0005-0000-0000-000027100000}"/>
    <cellStyle name="쉼표 2 16 2" xfId="4699" xr:uid="{00000000-0005-0000-0000-000028100000}"/>
    <cellStyle name="쉼표 2 17" xfId="3527" xr:uid="{00000000-0005-0000-0000-000029100000}"/>
    <cellStyle name="쉼표 2 17 2" xfId="4700" xr:uid="{00000000-0005-0000-0000-00002A100000}"/>
    <cellStyle name="쉼표 2 18" xfId="3528" xr:uid="{00000000-0005-0000-0000-00002B100000}"/>
    <cellStyle name="쉼표 2 18 2" xfId="4701" xr:uid="{00000000-0005-0000-0000-00002C100000}"/>
    <cellStyle name="쉼표 2 19" xfId="3529" xr:uid="{00000000-0005-0000-0000-00002D100000}"/>
    <cellStyle name="쉼표 2 19 2" xfId="4702" xr:uid="{00000000-0005-0000-0000-00002E100000}"/>
    <cellStyle name="쉼표 2 2" xfId="3530" xr:uid="{00000000-0005-0000-0000-00002F100000}"/>
    <cellStyle name="쉼표 2 2 4" xfId="3531" xr:uid="{00000000-0005-0000-0000-000030100000}"/>
    <cellStyle name="쉼표 2 2 4 10" xfId="3532" xr:uid="{00000000-0005-0000-0000-000031100000}"/>
    <cellStyle name="쉼표 2 2 4 10 2" xfId="4704" xr:uid="{00000000-0005-0000-0000-000032100000}"/>
    <cellStyle name="쉼표 2 2 4 11" xfId="3533" xr:uid="{00000000-0005-0000-0000-000033100000}"/>
    <cellStyle name="쉼표 2 2 4 11 2" xfId="4705" xr:uid="{00000000-0005-0000-0000-000034100000}"/>
    <cellStyle name="쉼표 2 2 4 12" xfId="3534" xr:uid="{00000000-0005-0000-0000-000035100000}"/>
    <cellStyle name="쉼표 2 2 4 12 2" xfId="4706" xr:uid="{00000000-0005-0000-0000-000036100000}"/>
    <cellStyle name="쉼표 2 2 4 13" xfId="3535" xr:uid="{00000000-0005-0000-0000-000037100000}"/>
    <cellStyle name="쉼표 2 2 4 13 2" xfId="4707" xr:uid="{00000000-0005-0000-0000-000038100000}"/>
    <cellStyle name="쉼표 2 2 4 14" xfId="3536" xr:uid="{00000000-0005-0000-0000-000039100000}"/>
    <cellStyle name="쉼표 2 2 4 14 2" xfId="4708" xr:uid="{00000000-0005-0000-0000-00003A100000}"/>
    <cellStyle name="쉼표 2 2 4 15" xfId="3537" xr:uid="{00000000-0005-0000-0000-00003B100000}"/>
    <cellStyle name="쉼표 2 2 4 15 2" xfId="4709" xr:uid="{00000000-0005-0000-0000-00003C100000}"/>
    <cellStyle name="쉼표 2 2 4 16" xfId="3538" xr:uid="{00000000-0005-0000-0000-00003D100000}"/>
    <cellStyle name="쉼표 2 2 4 16 2" xfId="4710" xr:uid="{00000000-0005-0000-0000-00003E100000}"/>
    <cellStyle name="쉼표 2 2 4 17" xfId="3539" xr:uid="{00000000-0005-0000-0000-00003F100000}"/>
    <cellStyle name="쉼표 2 2 4 17 2" xfId="4711" xr:uid="{00000000-0005-0000-0000-000040100000}"/>
    <cellStyle name="쉼표 2 2 4 18" xfId="3540" xr:uid="{00000000-0005-0000-0000-000041100000}"/>
    <cellStyle name="쉼표 2 2 4 18 2" xfId="4712" xr:uid="{00000000-0005-0000-0000-000042100000}"/>
    <cellStyle name="쉼표 2 2 4 19" xfId="3541" xr:uid="{00000000-0005-0000-0000-000043100000}"/>
    <cellStyle name="쉼표 2 2 4 19 2" xfId="4713" xr:uid="{00000000-0005-0000-0000-000044100000}"/>
    <cellStyle name="쉼표 2 2 4 2" xfId="3542" xr:uid="{00000000-0005-0000-0000-000045100000}"/>
    <cellStyle name="쉼표 2 2 4 2 2" xfId="4714" xr:uid="{00000000-0005-0000-0000-000046100000}"/>
    <cellStyle name="쉼표 2 2 4 20" xfId="3543" xr:uid="{00000000-0005-0000-0000-000047100000}"/>
    <cellStyle name="쉼표 2 2 4 20 2" xfId="4715" xr:uid="{00000000-0005-0000-0000-000048100000}"/>
    <cellStyle name="쉼표 2 2 4 21" xfId="3544" xr:uid="{00000000-0005-0000-0000-000049100000}"/>
    <cellStyle name="쉼표 2 2 4 21 2" xfId="4716" xr:uid="{00000000-0005-0000-0000-00004A100000}"/>
    <cellStyle name="쉼표 2 2 4 22" xfId="3545" xr:uid="{00000000-0005-0000-0000-00004B100000}"/>
    <cellStyle name="쉼표 2 2 4 22 2" xfId="4717" xr:uid="{00000000-0005-0000-0000-00004C100000}"/>
    <cellStyle name="쉼표 2 2 4 23" xfId="3546" xr:uid="{00000000-0005-0000-0000-00004D100000}"/>
    <cellStyle name="쉼표 2 2 4 23 2" xfId="4718" xr:uid="{00000000-0005-0000-0000-00004E100000}"/>
    <cellStyle name="쉼표 2 2 4 24" xfId="3547" xr:uid="{00000000-0005-0000-0000-00004F100000}"/>
    <cellStyle name="쉼표 2 2 4 24 2" xfId="4719" xr:uid="{00000000-0005-0000-0000-000050100000}"/>
    <cellStyle name="쉼표 2 2 4 25" xfId="3548" xr:uid="{00000000-0005-0000-0000-000051100000}"/>
    <cellStyle name="쉼표 2 2 4 25 2" xfId="4720" xr:uid="{00000000-0005-0000-0000-000052100000}"/>
    <cellStyle name="쉼표 2 2 4 26" xfId="3549" xr:uid="{00000000-0005-0000-0000-000053100000}"/>
    <cellStyle name="쉼표 2 2 4 26 2" xfId="4721" xr:uid="{00000000-0005-0000-0000-000054100000}"/>
    <cellStyle name="쉼표 2 2 4 27" xfId="3550" xr:uid="{00000000-0005-0000-0000-000055100000}"/>
    <cellStyle name="쉼표 2 2 4 27 2" xfId="4722" xr:uid="{00000000-0005-0000-0000-000056100000}"/>
    <cellStyle name="쉼표 2 2 4 28" xfId="3551" xr:uid="{00000000-0005-0000-0000-000057100000}"/>
    <cellStyle name="쉼표 2 2 4 28 2" xfId="4723" xr:uid="{00000000-0005-0000-0000-000058100000}"/>
    <cellStyle name="쉼표 2 2 4 29" xfId="3552" xr:uid="{00000000-0005-0000-0000-000059100000}"/>
    <cellStyle name="쉼표 2 2 4 29 2" xfId="4724" xr:uid="{00000000-0005-0000-0000-00005A100000}"/>
    <cellStyle name="쉼표 2 2 4 3" xfId="3553" xr:uid="{00000000-0005-0000-0000-00005B100000}"/>
    <cellStyle name="쉼표 2 2 4 3 2" xfId="4725" xr:uid="{00000000-0005-0000-0000-00005C100000}"/>
    <cellStyle name="쉼표 2 2 4 30" xfId="3554" xr:uid="{00000000-0005-0000-0000-00005D100000}"/>
    <cellStyle name="쉼표 2 2 4 30 2" xfId="4726" xr:uid="{00000000-0005-0000-0000-00005E100000}"/>
    <cellStyle name="쉼표 2 2 4 31" xfId="3555" xr:uid="{00000000-0005-0000-0000-00005F100000}"/>
    <cellStyle name="쉼표 2 2 4 31 2" xfId="4727" xr:uid="{00000000-0005-0000-0000-000060100000}"/>
    <cellStyle name="쉼표 2 2 4 32" xfId="3556" xr:uid="{00000000-0005-0000-0000-000061100000}"/>
    <cellStyle name="쉼표 2 2 4 32 2" xfId="4728" xr:uid="{00000000-0005-0000-0000-000062100000}"/>
    <cellStyle name="쉼표 2 2 4 33" xfId="3557" xr:uid="{00000000-0005-0000-0000-000063100000}"/>
    <cellStyle name="쉼표 2 2 4 33 2" xfId="4729" xr:uid="{00000000-0005-0000-0000-000064100000}"/>
    <cellStyle name="쉼표 2 2 4 34" xfId="3558" xr:uid="{00000000-0005-0000-0000-000065100000}"/>
    <cellStyle name="쉼표 2 2 4 34 2" xfId="4730" xr:uid="{00000000-0005-0000-0000-000066100000}"/>
    <cellStyle name="쉼표 2 2 4 35" xfId="3559" xr:uid="{00000000-0005-0000-0000-000067100000}"/>
    <cellStyle name="쉼표 2 2 4 35 2" xfId="4731" xr:uid="{00000000-0005-0000-0000-000068100000}"/>
    <cellStyle name="쉼표 2 2 4 36" xfId="3560" xr:uid="{00000000-0005-0000-0000-000069100000}"/>
    <cellStyle name="쉼표 2 2 4 36 2" xfId="4732" xr:uid="{00000000-0005-0000-0000-00006A100000}"/>
    <cellStyle name="쉼표 2 2 4 37" xfId="3561" xr:uid="{00000000-0005-0000-0000-00006B100000}"/>
    <cellStyle name="쉼표 2 2 4 37 2" xfId="4733" xr:uid="{00000000-0005-0000-0000-00006C100000}"/>
    <cellStyle name="쉼표 2 2 4 38" xfId="3562" xr:uid="{00000000-0005-0000-0000-00006D100000}"/>
    <cellStyle name="쉼표 2 2 4 38 2" xfId="4734" xr:uid="{00000000-0005-0000-0000-00006E100000}"/>
    <cellStyle name="쉼표 2 2 4 39" xfId="3563" xr:uid="{00000000-0005-0000-0000-00006F100000}"/>
    <cellStyle name="쉼표 2 2 4 39 2" xfId="4735" xr:uid="{00000000-0005-0000-0000-000070100000}"/>
    <cellStyle name="쉼표 2 2 4 4" xfId="3564" xr:uid="{00000000-0005-0000-0000-000071100000}"/>
    <cellStyle name="쉼표 2 2 4 4 2" xfId="4736" xr:uid="{00000000-0005-0000-0000-000072100000}"/>
    <cellStyle name="쉼표 2 2 4 40" xfId="3565" xr:uid="{00000000-0005-0000-0000-000073100000}"/>
    <cellStyle name="쉼표 2 2 4 40 2" xfId="4737" xr:uid="{00000000-0005-0000-0000-000074100000}"/>
    <cellStyle name="쉼표 2 2 4 41" xfId="3566" xr:uid="{00000000-0005-0000-0000-000075100000}"/>
    <cellStyle name="쉼표 2 2 4 41 2" xfId="4738" xr:uid="{00000000-0005-0000-0000-000076100000}"/>
    <cellStyle name="쉼표 2 2 4 42" xfId="4703" xr:uid="{00000000-0005-0000-0000-000077100000}"/>
    <cellStyle name="쉼표 2 2 4 5" xfId="3567" xr:uid="{00000000-0005-0000-0000-000078100000}"/>
    <cellStyle name="쉼표 2 2 4 5 2" xfId="4739" xr:uid="{00000000-0005-0000-0000-000079100000}"/>
    <cellStyle name="쉼표 2 2 4 6" xfId="3568" xr:uid="{00000000-0005-0000-0000-00007A100000}"/>
    <cellStyle name="쉼표 2 2 4 6 2" xfId="4740" xr:uid="{00000000-0005-0000-0000-00007B100000}"/>
    <cellStyle name="쉼표 2 2 4 7" xfId="3569" xr:uid="{00000000-0005-0000-0000-00007C100000}"/>
    <cellStyle name="쉼표 2 2 4 7 2" xfId="4741" xr:uid="{00000000-0005-0000-0000-00007D100000}"/>
    <cellStyle name="쉼표 2 2 4 8" xfId="3570" xr:uid="{00000000-0005-0000-0000-00007E100000}"/>
    <cellStyle name="쉼표 2 2 4 8 2" xfId="4742" xr:uid="{00000000-0005-0000-0000-00007F100000}"/>
    <cellStyle name="쉼표 2 2 4 9" xfId="3571" xr:uid="{00000000-0005-0000-0000-000080100000}"/>
    <cellStyle name="쉼표 2 2 4 9 2" xfId="4743" xr:uid="{00000000-0005-0000-0000-000081100000}"/>
    <cellStyle name="쉼표 2 20" xfId="3572" xr:uid="{00000000-0005-0000-0000-000082100000}"/>
    <cellStyle name="쉼표 2 20 2" xfId="4744" xr:uid="{00000000-0005-0000-0000-000083100000}"/>
    <cellStyle name="쉼표 2 21" xfId="3573" xr:uid="{00000000-0005-0000-0000-000084100000}"/>
    <cellStyle name="쉼표 2 21 2" xfId="4745" xr:uid="{00000000-0005-0000-0000-000085100000}"/>
    <cellStyle name="쉼표 2 22" xfId="3574" xr:uid="{00000000-0005-0000-0000-000086100000}"/>
    <cellStyle name="쉼표 2 22 2" xfId="4746" xr:uid="{00000000-0005-0000-0000-000087100000}"/>
    <cellStyle name="쉼표 2 23" xfId="3575" xr:uid="{00000000-0005-0000-0000-000088100000}"/>
    <cellStyle name="쉼표 2 23 2" xfId="4747" xr:uid="{00000000-0005-0000-0000-000089100000}"/>
    <cellStyle name="쉼표 2 24" xfId="3576" xr:uid="{00000000-0005-0000-0000-00008A100000}"/>
    <cellStyle name="쉼표 2 24 2" xfId="4748" xr:uid="{00000000-0005-0000-0000-00008B100000}"/>
    <cellStyle name="쉼표 2 25" xfId="3577" xr:uid="{00000000-0005-0000-0000-00008C100000}"/>
    <cellStyle name="쉼표 2 25 2" xfId="4749" xr:uid="{00000000-0005-0000-0000-00008D100000}"/>
    <cellStyle name="쉼표 2 26" xfId="3578" xr:uid="{00000000-0005-0000-0000-00008E100000}"/>
    <cellStyle name="쉼표 2 26 2" xfId="4750" xr:uid="{00000000-0005-0000-0000-00008F100000}"/>
    <cellStyle name="쉼표 2 27" xfId="3579" xr:uid="{00000000-0005-0000-0000-000090100000}"/>
    <cellStyle name="쉼표 2 27 2" xfId="4751" xr:uid="{00000000-0005-0000-0000-000091100000}"/>
    <cellStyle name="쉼표 2 28" xfId="3580" xr:uid="{00000000-0005-0000-0000-000092100000}"/>
    <cellStyle name="쉼표 2 28 2" xfId="4752" xr:uid="{00000000-0005-0000-0000-000093100000}"/>
    <cellStyle name="쉼표 2 29" xfId="3581" xr:uid="{00000000-0005-0000-0000-000094100000}"/>
    <cellStyle name="쉼표 2 29 10" xfId="3582" xr:uid="{00000000-0005-0000-0000-000095100000}"/>
    <cellStyle name="쉼표 2 29 10 2" xfId="4753" xr:uid="{00000000-0005-0000-0000-000096100000}"/>
    <cellStyle name="쉼표 2 29 11" xfId="3583" xr:uid="{00000000-0005-0000-0000-000097100000}"/>
    <cellStyle name="쉼표 2 29 11 2" xfId="4754" xr:uid="{00000000-0005-0000-0000-000098100000}"/>
    <cellStyle name="쉼표 2 29 12" xfId="3584" xr:uid="{00000000-0005-0000-0000-000099100000}"/>
    <cellStyle name="쉼표 2 29 12 2" xfId="4755" xr:uid="{00000000-0005-0000-0000-00009A100000}"/>
    <cellStyle name="쉼표 2 29 13" xfId="3585" xr:uid="{00000000-0005-0000-0000-00009B100000}"/>
    <cellStyle name="쉼표 2 29 13 2" xfId="4756" xr:uid="{00000000-0005-0000-0000-00009C100000}"/>
    <cellStyle name="쉼표 2 29 14" xfId="3586" xr:uid="{00000000-0005-0000-0000-00009D100000}"/>
    <cellStyle name="쉼표 2 29 14 2" xfId="4757" xr:uid="{00000000-0005-0000-0000-00009E100000}"/>
    <cellStyle name="쉼표 2 29 15" xfId="3587" xr:uid="{00000000-0005-0000-0000-00009F100000}"/>
    <cellStyle name="쉼표 2 29 15 2" xfId="4758" xr:uid="{00000000-0005-0000-0000-0000A0100000}"/>
    <cellStyle name="쉼표 2 29 16" xfId="3588" xr:uid="{00000000-0005-0000-0000-0000A1100000}"/>
    <cellStyle name="쉼표 2 29 16 2" xfId="4759" xr:uid="{00000000-0005-0000-0000-0000A2100000}"/>
    <cellStyle name="쉼표 2 29 17" xfId="3589" xr:uid="{00000000-0005-0000-0000-0000A3100000}"/>
    <cellStyle name="쉼표 2 29 17 2" xfId="4760" xr:uid="{00000000-0005-0000-0000-0000A4100000}"/>
    <cellStyle name="쉼표 2 29 18" xfId="3590" xr:uid="{00000000-0005-0000-0000-0000A5100000}"/>
    <cellStyle name="쉼표 2 29 18 2" xfId="4761" xr:uid="{00000000-0005-0000-0000-0000A6100000}"/>
    <cellStyle name="쉼표 2 29 19" xfId="3591" xr:uid="{00000000-0005-0000-0000-0000A7100000}"/>
    <cellStyle name="쉼표 2 29 19 2" xfId="4762" xr:uid="{00000000-0005-0000-0000-0000A8100000}"/>
    <cellStyle name="쉼표 2 29 2" xfId="3592" xr:uid="{00000000-0005-0000-0000-0000A9100000}"/>
    <cellStyle name="쉼표 2 29 2 2" xfId="4763" xr:uid="{00000000-0005-0000-0000-0000AA100000}"/>
    <cellStyle name="쉼표 2 29 20" xfId="3593" xr:uid="{00000000-0005-0000-0000-0000AB100000}"/>
    <cellStyle name="쉼표 2 29 20 2" xfId="4764" xr:uid="{00000000-0005-0000-0000-0000AC100000}"/>
    <cellStyle name="쉼표 2 29 21" xfId="3594" xr:uid="{00000000-0005-0000-0000-0000AD100000}"/>
    <cellStyle name="쉼표 2 29 21 2" xfId="4765" xr:uid="{00000000-0005-0000-0000-0000AE100000}"/>
    <cellStyle name="쉼표 2 29 22" xfId="3595" xr:uid="{00000000-0005-0000-0000-0000AF100000}"/>
    <cellStyle name="쉼표 2 29 22 2" xfId="4766" xr:uid="{00000000-0005-0000-0000-0000B0100000}"/>
    <cellStyle name="쉼표 2 29 23" xfId="3596" xr:uid="{00000000-0005-0000-0000-0000B1100000}"/>
    <cellStyle name="쉼표 2 29 23 2" xfId="4767" xr:uid="{00000000-0005-0000-0000-0000B2100000}"/>
    <cellStyle name="쉼표 2 29 24" xfId="3597" xr:uid="{00000000-0005-0000-0000-0000B3100000}"/>
    <cellStyle name="쉼표 2 29 24 2" xfId="4768" xr:uid="{00000000-0005-0000-0000-0000B4100000}"/>
    <cellStyle name="쉼표 2 29 25" xfId="3598" xr:uid="{00000000-0005-0000-0000-0000B5100000}"/>
    <cellStyle name="쉼표 2 29 25 2" xfId="4769" xr:uid="{00000000-0005-0000-0000-0000B6100000}"/>
    <cellStyle name="쉼표 2 29 26" xfId="3599" xr:uid="{00000000-0005-0000-0000-0000B7100000}"/>
    <cellStyle name="쉼표 2 29 26 2" xfId="4770" xr:uid="{00000000-0005-0000-0000-0000B8100000}"/>
    <cellStyle name="쉼표 2 29 27" xfId="3600" xr:uid="{00000000-0005-0000-0000-0000B9100000}"/>
    <cellStyle name="쉼표 2 29 27 2" xfId="4771" xr:uid="{00000000-0005-0000-0000-0000BA100000}"/>
    <cellStyle name="쉼표 2 29 28" xfId="3601" xr:uid="{00000000-0005-0000-0000-0000BB100000}"/>
    <cellStyle name="쉼표 2 29 28 2" xfId="4772" xr:uid="{00000000-0005-0000-0000-0000BC100000}"/>
    <cellStyle name="쉼표 2 29 29" xfId="3602" xr:uid="{00000000-0005-0000-0000-0000BD100000}"/>
    <cellStyle name="쉼표 2 29 29 2" xfId="4773" xr:uid="{00000000-0005-0000-0000-0000BE100000}"/>
    <cellStyle name="쉼표 2 29 3" xfId="3603" xr:uid="{00000000-0005-0000-0000-0000BF100000}"/>
    <cellStyle name="쉼표 2 29 3 2" xfId="4774" xr:uid="{00000000-0005-0000-0000-0000C0100000}"/>
    <cellStyle name="쉼표 2 29 30" xfId="3604" xr:uid="{00000000-0005-0000-0000-0000C1100000}"/>
    <cellStyle name="쉼표 2 29 30 2" xfId="4775" xr:uid="{00000000-0005-0000-0000-0000C2100000}"/>
    <cellStyle name="쉼표 2 29 31" xfId="3605" xr:uid="{00000000-0005-0000-0000-0000C3100000}"/>
    <cellStyle name="쉼표 2 29 31 2" xfId="4776" xr:uid="{00000000-0005-0000-0000-0000C4100000}"/>
    <cellStyle name="쉼표 2 29 32" xfId="3606" xr:uid="{00000000-0005-0000-0000-0000C5100000}"/>
    <cellStyle name="쉼표 2 29 32 2" xfId="4777" xr:uid="{00000000-0005-0000-0000-0000C6100000}"/>
    <cellStyle name="쉼표 2 29 33" xfId="3607" xr:uid="{00000000-0005-0000-0000-0000C7100000}"/>
    <cellStyle name="쉼표 2 29 33 2" xfId="4778" xr:uid="{00000000-0005-0000-0000-0000C8100000}"/>
    <cellStyle name="쉼표 2 29 34" xfId="3608" xr:uid="{00000000-0005-0000-0000-0000C9100000}"/>
    <cellStyle name="쉼표 2 29 34 2" xfId="4779" xr:uid="{00000000-0005-0000-0000-0000CA100000}"/>
    <cellStyle name="쉼표 2 29 35" xfId="3609" xr:uid="{00000000-0005-0000-0000-0000CB100000}"/>
    <cellStyle name="쉼표 2 29 35 2" xfId="4780" xr:uid="{00000000-0005-0000-0000-0000CC100000}"/>
    <cellStyle name="쉼표 2 29 36" xfId="3610" xr:uid="{00000000-0005-0000-0000-0000CD100000}"/>
    <cellStyle name="쉼표 2 29 36 2" xfId="4781" xr:uid="{00000000-0005-0000-0000-0000CE100000}"/>
    <cellStyle name="쉼표 2 29 37" xfId="3611" xr:uid="{00000000-0005-0000-0000-0000CF100000}"/>
    <cellStyle name="쉼표 2 29 37 2" xfId="4782" xr:uid="{00000000-0005-0000-0000-0000D0100000}"/>
    <cellStyle name="쉼표 2 29 38" xfId="3612" xr:uid="{00000000-0005-0000-0000-0000D1100000}"/>
    <cellStyle name="쉼표 2 29 38 2" xfId="4783" xr:uid="{00000000-0005-0000-0000-0000D2100000}"/>
    <cellStyle name="쉼표 2 29 39" xfId="3613" xr:uid="{00000000-0005-0000-0000-0000D3100000}"/>
    <cellStyle name="쉼표 2 29 39 2" xfId="4784" xr:uid="{00000000-0005-0000-0000-0000D4100000}"/>
    <cellStyle name="쉼표 2 29 4" xfId="3614" xr:uid="{00000000-0005-0000-0000-0000D5100000}"/>
    <cellStyle name="쉼표 2 29 4 2" xfId="4785" xr:uid="{00000000-0005-0000-0000-0000D6100000}"/>
    <cellStyle name="쉼표 2 29 40" xfId="3615" xr:uid="{00000000-0005-0000-0000-0000D7100000}"/>
    <cellStyle name="쉼표 2 29 40 2" xfId="4786" xr:uid="{00000000-0005-0000-0000-0000D8100000}"/>
    <cellStyle name="쉼표 2 29 41" xfId="3616" xr:uid="{00000000-0005-0000-0000-0000D9100000}"/>
    <cellStyle name="쉼표 2 29 41 2" xfId="4787" xr:uid="{00000000-0005-0000-0000-0000DA100000}"/>
    <cellStyle name="쉼표 2 29 5" xfId="3617" xr:uid="{00000000-0005-0000-0000-0000DB100000}"/>
    <cellStyle name="쉼표 2 29 5 2" xfId="4788" xr:uid="{00000000-0005-0000-0000-0000DC100000}"/>
    <cellStyle name="쉼표 2 29 6" xfId="3618" xr:uid="{00000000-0005-0000-0000-0000DD100000}"/>
    <cellStyle name="쉼표 2 29 6 2" xfId="4789" xr:uid="{00000000-0005-0000-0000-0000DE100000}"/>
    <cellStyle name="쉼표 2 29 7" xfId="3619" xr:uid="{00000000-0005-0000-0000-0000DF100000}"/>
    <cellStyle name="쉼표 2 29 7 2" xfId="4790" xr:uid="{00000000-0005-0000-0000-0000E0100000}"/>
    <cellStyle name="쉼표 2 29 8" xfId="3620" xr:uid="{00000000-0005-0000-0000-0000E1100000}"/>
    <cellStyle name="쉼표 2 29 8 2" xfId="4791" xr:uid="{00000000-0005-0000-0000-0000E2100000}"/>
    <cellStyle name="쉼표 2 29 9" xfId="3621" xr:uid="{00000000-0005-0000-0000-0000E3100000}"/>
    <cellStyle name="쉼표 2 29 9 2" xfId="4792" xr:uid="{00000000-0005-0000-0000-0000E4100000}"/>
    <cellStyle name="쉼표 2 3" xfId="3622" xr:uid="{00000000-0005-0000-0000-0000E5100000}"/>
    <cellStyle name="쉼표 2 3 2" xfId="4793" xr:uid="{00000000-0005-0000-0000-0000E6100000}"/>
    <cellStyle name="쉼표 2 30" xfId="4688" xr:uid="{00000000-0005-0000-0000-0000E7100000}"/>
    <cellStyle name="쉼표 2 4" xfId="3623" xr:uid="{00000000-0005-0000-0000-0000E8100000}"/>
    <cellStyle name="쉼표 2 4 2" xfId="4794" xr:uid="{00000000-0005-0000-0000-0000E9100000}"/>
    <cellStyle name="쉼표 2 41" xfId="3624" xr:uid="{00000000-0005-0000-0000-0000EA100000}"/>
    <cellStyle name="쉼표 2 41 2" xfId="4795" xr:uid="{00000000-0005-0000-0000-0000EB100000}"/>
    <cellStyle name="쉼표 2 5" xfId="3625" xr:uid="{00000000-0005-0000-0000-0000EC100000}"/>
    <cellStyle name="쉼표 2 5 2" xfId="4796" xr:uid="{00000000-0005-0000-0000-0000ED100000}"/>
    <cellStyle name="쉼표 2 6" xfId="3626" xr:uid="{00000000-0005-0000-0000-0000EE100000}"/>
    <cellStyle name="쉼표 2 6 2" xfId="4797" xr:uid="{00000000-0005-0000-0000-0000EF100000}"/>
    <cellStyle name="쉼표 2 7" xfId="3627" xr:uid="{00000000-0005-0000-0000-0000F0100000}"/>
    <cellStyle name="쉼표 2 7 2" xfId="4798" xr:uid="{00000000-0005-0000-0000-0000F1100000}"/>
    <cellStyle name="쉼표 2 8" xfId="3628" xr:uid="{00000000-0005-0000-0000-0000F2100000}"/>
    <cellStyle name="쉼표 2 8 2" xfId="4799" xr:uid="{00000000-0005-0000-0000-0000F3100000}"/>
    <cellStyle name="쉼표 2 9" xfId="3629" xr:uid="{00000000-0005-0000-0000-0000F4100000}"/>
    <cellStyle name="쉼표 2 9 2" xfId="4800" xr:uid="{00000000-0005-0000-0000-0000F5100000}"/>
    <cellStyle name="쉼표 2_루트로닉 정보시스템 견적서2차" xfId="3630" xr:uid="{00000000-0005-0000-0000-0000F6100000}"/>
    <cellStyle name="쉼표 28 10" xfId="3631" xr:uid="{00000000-0005-0000-0000-0000F7100000}"/>
    <cellStyle name="쉼표 28 10 2" xfId="4801" xr:uid="{00000000-0005-0000-0000-0000F8100000}"/>
    <cellStyle name="쉼표 28 11" xfId="3632" xr:uid="{00000000-0005-0000-0000-0000F9100000}"/>
    <cellStyle name="쉼표 28 11 2" xfId="4802" xr:uid="{00000000-0005-0000-0000-0000FA100000}"/>
    <cellStyle name="쉼표 28 12" xfId="3633" xr:uid="{00000000-0005-0000-0000-0000FB100000}"/>
    <cellStyle name="쉼표 28 12 2" xfId="4803" xr:uid="{00000000-0005-0000-0000-0000FC100000}"/>
    <cellStyle name="쉼표 28 13" xfId="3634" xr:uid="{00000000-0005-0000-0000-0000FD100000}"/>
    <cellStyle name="쉼표 28 13 2" xfId="4804" xr:uid="{00000000-0005-0000-0000-0000FE100000}"/>
    <cellStyle name="쉼표 28 14" xfId="3635" xr:uid="{00000000-0005-0000-0000-0000FF100000}"/>
    <cellStyle name="쉼표 28 14 2" xfId="4805" xr:uid="{00000000-0005-0000-0000-000000110000}"/>
    <cellStyle name="쉼표 28 15" xfId="3636" xr:uid="{00000000-0005-0000-0000-000001110000}"/>
    <cellStyle name="쉼표 28 15 2" xfId="4806" xr:uid="{00000000-0005-0000-0000-000002110000}"/>
    <cellStyle name="쉼표 28 16" xfId="3637" xr:uid="{00000000-0005-0000-0000-000003110000}"/>
    <cellStyle name="쉼표 28 16 2" xfId="4807" xr:uid="{00000000-0005-0000-0000-000004110000}"/>
    <cellStyle name="쉼표 28 2" xfId="3638" xr:uid="{00000000-0005-0000-0000-000005110000}"/>
    <cellStyle name="쉼표 28 2 2" xfId="4808" xr:uid="{00000000-0005-0000-0000-000006110000}"/>
    <cellStyle name="쉼표 28 3" xfId="3639" xr:uid="{00000000-0005-0000-0000-000007110000}"/>
    <cellStyle name="쉼표 28 3 2" xfId="4809" xr:uid="{00000000-0005-0000-0000-000008110000}"/>
    <cellStyle name="쉼표 28 4" xfId="3640" xr:uid="{00000000-0005-0000-0000-000009110000}"/>
    <cellStyle name="쉼표 28 4 2" xfId="4810" xr:uid="{00000000-0005-0000-0000-00000A110000}"/>
    <cellStyle name="쉼표 28 5" xfId="3641" xr:uid="{00000000-0005-0000-0000-00000B110000}"/>
    <cellStyle name="쉼표 28 5 2" xfId="4811" xr:uid="{00000000-0005-0000-0000-00000C110000}"/>
    <cellStyle name="쉼표 28 6" xfId="3642" xr:uid="{00000000-0005-0000-0000-00000D110000}"/>
    <cellStyle name="쉼표 28 6 2" xfId="4812" xr:uid="{00000000-0005-0000-0000-00000E110000}"/>
    <cellStyle name="쉼표 28 7" xfId="3643" xr:uid="{00000000-0005-0000-0000-00000F110000}"/>
    <cellStyle name="쉼표 28 7 2" xfId="4813" xr:uid="{00000000-0005-0000-0000-000010110000}"/>
    <cellStyle name="쉼표 28 8" xfId="3644" xr:uid="{00000000-0005-0000-0000-000011110000}"/>
    <cellStyle name="쉼표 28 8 2" xfId="4814" xr:uid="{00000000-0005-0000-0000-000012110000}"/>
    <cellStyle name="쉼표 28 9" xfId="3645" xr:uid="{00000000-0005-0000-0000-000013110000}"/>
    <cellStyle name="쉼표 28 9 2" xfId="4815" xr:uid="{00000000-0005-0000-0000-000014110000}"/>
    <cellStyle name="쉼표 3" xfId="3646" xr:uid="{00000000-0005-0000-0000-000015110000}"/>
    <cellStyle name="쉼표 3 2" xfId="3647" xr:uid="{00000000-0005-0000-0000-000016110000}"/>
    <cellStyle name="쉼표 3 2 2" xfId="4817" xr:uid="{00000000-0005-0000-0000-000017110000}"/>
    <cellStyle name="쉼표 3 3" xfId="3648" xr:uid="{00000000-0005-0000-0000-000018110000}"/>
    <cellStyle name="쉼표 3 3 2" xfId="4818" xr:uid="{00000000-0005-0000-0000-000019110000}"/>
    <cellStyle name="쉼표 3 4" xfId="3649" xr:uid="{00000000-0005-0000-0000-00001A110000}"/>
    <cellStyle name="쉼표 3 4 2" xfId="4819" xr:uid="{00000000-0005-0000-0000-00001B110000}"/>
    <cellStyle name="쉼표 3 5" xfId="3650" xr:uid="{00000000-0005-0000-0000-00001C110000}"/>
    <cellStyle name="쉼표 3 5 2" xfId="4820" xr:uid="{00000000-0005-0000-0000-00001D110000}"/>
    <cellStyle name="쉼표 3 6" xfId="3651" xr:uid="{00000000-0005-0000-0000-00001E110000}"/>
    <cellStyle name="쉼표 3 6 2" xfId="4821" xr:uid="{00000000-0005-0000-0000-00001F110000}"/>
    <cellStyle name="쉼표 3 7" xfId="3652" xr:uid="{00000000-0005-0000-0000-000020110000}"/>
    <cellStyle name="쉼표 3 7 2" xfId="4822" xr:uid="{00000000-0005-0000-0000-000021110000}"/>
    <cellStyle name="쉼표 3 8" xfId="4816" xr:uid="{00000000-0005-0000-0000-000022110000}"/>
    <cellStyle name="쉼표 4" xfId="3653" xr:uid="{00000000-0005-0000-0000-000023110000}"/>
    <cellStyle name="쉼표 4 2" xfId="4823" xr:uid="{00000000-0005-0000-0000-000024110000}"/>
    <cellStyle name="쉼표 5" xfId="3654" xr:uid="{00000000-0005-0000-0000-000025110000}"/>
    <cellStyle name="쉼표 5 2" xfId="3655" xr:uid="{00000000-0005-0000-0000-000026110000}"/>
    <cellStyle name="쉼표 5 2 2" xfId="3656" xr:uid="{00000000-0005-0000-0000-000027110000}"/>
    <cellStyle name="쉼표 5 2 2 2" xfId="4826" xr:uid="{00000000-0005-0000-0000-000028110000}"/>
    <cellStyle name="쉼표 5 2 3" xfId="3657" xr:uid="{00000000-0005-0000-0000-000029110000}"/>
    <cellStyle name="쉼표 5 2 3 2" xfId="4827" xr:uid="{00000000-0005-0000-0000-00002A110000}"/>
    <cellStyle name="쉼표 5 2 4" xfId="3658" xr:uid="{00000000-0005-0000-0000-00002B110000}"/>
    <cellStyle name="쉼표 5 2 4 2" xfId="4828" xr:uid="{00000000-0005-0000-0000-00002C110000}"/>
    <cellStyle name="쉼표 5 2 5" xfId="4825" xr:uid="{00000000-0005-0000-0000-00002D110000}"/>
    <cellStyle name="쉼표 5 3" xfId="4824" xr:uid="{00000000-0005-0000-0000-00002E110000}"/>
    <cellStyle name="쉼표 6" xfId="3659" xr:uid="{00000000-0005-0000-0000-00002F110000}"/>
    <cellStyle name="쉼표 6 2" xfId="3660" xr:uid="{00000000-0005-0000-0000-000030110000}"/>
    <cellStyle name="쉼표 6 2 2" xfId="4830" xr:uid="{00000000-0005-0000-0000-000031110000}"/>
    <cellStyle name="쉼표 6 3" xfId="3661" xr:uid="{00000000-0005-0000-0000-000032110000}"/>
    <cellStyle name="쉼표 6 3 2" xfId="4831" xr:uid="{00000000-0005-0000-0000-000033110000}"/>
    <cellStyle name="쉼표 6 4" xfId="3662" xr:uid="{00000000-0005-0000-0000-000034110000}"/>
    <cellStyle name="쉼표 6 4 2" xfId="4832" xr:uid="{00000000-0005-0000-0000-000035110000}"/>
    <cellStyle name="쉼표 6 5" xfId="3663" xr:uid="{00000000-0005-0000-0000-000036110000}"/>
    <cellStyle name="쉼표 6 5 2" xfId="4833" xr:uid="{00000000-0005-0000-0000-000037110000}"/>
    <cellStyle name="쉼표 6 6" xfId="3664" xr:uid="{00000000-0005-0000-0000-000038110000}"/>
    <cellStyle name="쉼표 6 6 2" xfId="4834" xr:uid="{00000000-0005-0000-0000-000039110000}"/>
    <cellStyle name="쉼표 6 7" xfId="4829" xr:uid="{00000000-0005-0000-0000-00003A110000}"/>
    <cellStyle name="쉼표 7" xfId="3665" xr:uid="{00000000-0005-0000-0000-00003B110000}"/>
    <cellStyle name="스타일 1" xfId="1" xr:uid="{00000000-0005-0000-0000-00003C110000}"/>
    <cellStyle name="스타일 1 2" xfId="119" xr:uid="{00000000-0005-0000-0000-00003D110000}"/>
    <cellStyle name="스타일 1 2 2" xfId="4169" xr:uid="{00000000-0005-0000-0000-00003E110000}"/>
    <cellStyle name="스타일 1 3" xfId="4170" xr:uid="{00000000-0005-0000-0000-00003F110000}"/>
    <cellStyle name="스타일 2" xfId="3666" xr:uid="{00000000-0005-0000-0000-000040110000}"/>
    <cellStyle name="스타일 3" xfId="3667" xr:uid="{00000000-0005-0000-0000-000041110000}"/>
    <cellStyle name="스타일 4" xfId="3668" xr:uid="{00000000-0005-0000-0000-000042110000}"/>
    <cellStyle name="실선" xfId="3669" xr:uid="{00000000-0005-0000-0000-000043110000}"/>
    <cellStyle name="안건회계법인" xfId="4" xr:uid="{00000000-0005-0000-0000-000044110000}"/>
    <cellStyle name="안건회계법인⁬⸵⼰⸷‰o" xfId="107" xr:uid="{00000000-0005-0000-0000-000045110000}"/>
    <cellStyle name="연결된 셀 2" xfId="3670" xr:uid="{00000000-0005-0000-0000-000046110000}"/>
    <cellStyle name="연결된 셀 2 2" xfId="3671" xr:uid="{00000000-0005-0000-0000-000047110000}"/>
    <cellStyle name="연결된 셀 2 3" xfId="3672" xr:uid="{00000000-0005-0000-0000-000048110000}"/>
    <cellStyle name="연결된 셀 3" xfId="3673" xr:uid="{00000000-0005-0000-0000-000049110000}"/>
    <cellStyle name="연결된 셀 3 2" xfId="3674" xr:uid="{00000000-0005-0000-0000-00004A110000}"/>
    <cellStyle name="연결된 셀 3 3" xfId="3675" xr:uid="{00000000-0005-0000-0000-00004B110000}"/>
    <cellStyle name="열어본 하이퍼링크" xfId="4171" xr:uid="{00000000-0005-0000-0000-00004C110000}"/>
    <cellStyle name="요약 2" xfId="3676" xr:uid="{00000000-0005-0000-0000-00004D110000}"/>
    <cellStyle name="요약 2 2" xfId="3677" xr:uid="{00000000-0005-0000-0000-00004E110000}"/>
    <cellStyle name="요약 2 3" xfId="3678" xr:uid="{00000000-0005-0000-0000-00004F110000}"/>
    <cellStyle name="요약 2_Q사업1부3팀_2월 MR" xfId="3679" xr:uid="{00000000-0005-0000-0000-000050110000}"/>
    <cellStyle name="요약 3" xfId="3680" xr:uid="{00000000-0005-0000-0000-000051110000}"/>
    <cellStyle name="요약 3 2" xfId="3681" xr:uid="{00000000-0005-0000-0000-000052110000}"/>
    <cellStyle name="요약 3 3" xfId="3682" xr:uid="{00000000-0005-0000-0000-000053110000}"/>
    <cellStyle name="요약 3_Q사업1부3팀_2월 MR" xfId="3683" xr:uid="{00000000-0005-0000-0000-000054110000}"/>
    <cellStyle name="원" xfId="108" xr:uid="{00000000-0005-0000-0000-000055110000}"/>
    <cellStyle name="원_0009김포공항LED교체공사(광일)" xfId="3684" xr:uid="{00000000-0005-0000-0000-000056110000}"/>
    <cellStyle name="원_0011KIST소각설비제작설치" xfId="3685" xr:uid="{00000000-0005-0000-0000-000057110000}"/>
    <cellStyle name="원_0011긴급전화기정산(99년형광일)" xfId="3686" xr:uid="{00000000-0005-0000-0000-000058110000}"/>
    <cellStyle name="원_0011부산종합경기장전광판" xfId="3687" xr:uid="{00000000-0005-0000-0000-000059110000}"/>
    <cellStyle name="원_0012문화유적지표석제작설치" xfId="3688" xr:uid="{00000000-0005-0000-0000-00005A110000}"/>
    <cellStyle name="원_0102국제조명신공항분수조명" xfId="3689" xr:uid="{00000000-0005-0000-0000-00005B110000}"/>
    <cellStyle name="원_0105담배자판기개조원가" xfId="3690" xr:uid="{00000000-0005-0000-0000-00005C110000}"/>
    <cellStyle name="원_0106LG인버터냉난방기제작-1" xfId="3691" xr:uid="{00000000-0005-0000-0000-00005D110000}"/>
    <cellStyle name="원_0107광전송장비구매설치" xfId="3692" xr:uid="{00000000-0005-0000-0000-00005E110000}"/>
    <cellStyle name="원_0107도공IBS설비SW부문(참조)" xfId="3693" xr:uid="{00000000-0005-0000-0000-00005F110000}"/>
    <cellStyle name="원_0107문화재복원용목재-8월6일" xfId="3694" xr:uid="{00000000-0005-0000-0000-000060110000}"/>
    <cellStyle name="원_0107포천영중수배전반(제조,설치)" xfId="3695" xr:uid="{00000000-0005-0000-0000-000061110000}"/>
    <cellStyle name="원_0108한국전기교통-LED교통신호등((원본))" xfId="3696" xr:uid="{00000000-0005-0000-0000-000062110000}"/>
    <cellStyle name="원_0111해양수산부등명기제작" xfId="3697" xr:uid="{00000000-0005-0000-0000-000063110000}"/>
    <cellStyle name="원_0112금감원사무자동화시스템" xfId="3698" xr:uid="{00000000-0005-0000-0000-000064110000}"/>
    <cellStyle name="원_0112수도권매립지SW원가" xfId="3699" xr:uid="{00000000-0005-0000-0000-000065110000}"/>
    <cellStyle name="원_0201종합예술회관의자제작설치" xfId="3700" xr:uid="{00000000-0005-0000-0000-000066110000}"/>
    <cellStyle name="원_0202마사회근무복" xfId="3701" xr:uid="{00000000-0005-0000-0000-000067110000}"/>
    <cellStyle name="원_0202부경교재-승강칠판" xfId="3702" xr:uid="{00000000-0005-0000-0000-000068110000}"/>
    <cellStyle name="원_0204한국석묘납골함-1규격" xfId="3703" xr:uid="{00000000-0005-0000-0000-000069110000}"/>
    <cellStyle name="원_2002결과표" xfId="3704" xr:uid="{00000000-0005-0000-0000-00006A110000}"/>
    <cellStyle name="원_내역서_0525" xfId="3705" xr:uid="{00000000-0005-0000-0000-00006B110000}"/>
    <cellStyle name="원_동산용사촌수현(원본)" xfId="3706" xr:uid="{00000000-0005-0000-0000-00006C110000}"/>
    <cellStyle name="원_설치위치별세부내역(VMS)-0323" xfId="3707" xr:uid="{00000000-0005-0000-0000-00006D110000}"/>
    <cellStyle name="원_설치위치별세부내역_AVI_1(new)" xfId="3708" xr:uid="{00000000-0005-0000-0000-00006E110000}"/>
    <cellStyle name="원_센터설비총괄(금액풀)1-전송용" xfId="3709" xr:uid="{00000000-0005-0000-0000-00006F110000}"/>
    <cellStyle name="원_수량산출서" xfId="3710" xr:uid="{00000000-0005-0000-0000-000070110000}"/>
    <cellStyle name="원_수초제거기(대양기계)" xfId="3711" xr:uid="{00000000-0005-0000-0000-000071110000}"/>
    <cellStyle name="원_원본 - 한국전기교통-개선형신호등 4종" xfId="3712" xr:uid="{00000000-0005-0000-0000-000072110000}"/>
    <cellStyle name="원_일동후디스_견적서(20060930)계약용" xfId="3713" xr:uid="{00000000-0005-0000-0000-000073110000}"/>
    <cellStyle name="원_장비유지보수대상LIST_080225 (2)" xfId="3714" xr:uid="{00000000-0005-0000-0000-000074110000}"/>
    <cellStyle name="원_전기단가산출서" xfId="3715" xr:uid="{00000000-0005-0000-0000-000075110000}"/>
    <cellStyle name="원_전기수량및단가산출서" xfId="3716" xr:uid="{00000000-0005-0000-0000-000076110000}"/>
    <cellStyle name="원_전기수량및단가산출서_0607" xfId="3717" xr:uid="{00000000-0005-0000-0000-000077110000}"/>
    <cellStyle name="원_전기수량및단가산출서_0714" xfId="3718" xr:uid="{00000000-0005-0000-0000-000078110000}"/>
    <cellStyle name="원_조선무약_견적서(20070702)" xfId="3719" xr:uid="{00000000-0005-0000-0000-000079110000}"/>
    <cellStyle name="원_중앙선관위(투표,개표)" xfId="3720" xr:uid="{00000000-0005-0000-0000-00007A110000}"/>
    <cellStyle name="원_진영산업_견적서_ver1" xfId="3721" xr:uid="{00000000-0005-0000-0000-00007B110000}"/>
    <cellStyle name="원_최종-한국전기교통-개선형신호등 4종(공수조정)" xfId="3722" xr:uid="{00000000-0005-0000-0000-00007C110000}"/>
    <cellStyle name="원_통신수량및단가산출서_0523" xfId="3723" xr:uid="{00000000-0005-0000-0000-00007D110000}"/>
    <cellStyle name="원_현장설비(1.VDS)-0411" xfId="3724" xr:uid="{00000000-0005-0000-0000-00007E110000}"/>
    <cellStyle name="유영" xfId="3725" xr:uid="{00000000-0005-0000-0000-00007F110000}"/>
    <cellStyle name="일" xfId="3726" xr:uid="{00000000-0005-0000-0000-000080110000}"/>
    <cellStyle name="일_2003년TD교정공사" xfId="3727" xr:uid="{00000000-0005-0000-0000-000081110000}"/>
    <cellStyle name="일_2003년TD교정공사설계서" xfId="3728" xr:uid="{00000000-0005-0000-0000-000082110000}"/>
    <cellStyle name="일_2003년TD교정최종" xfId="3729" xr:uid="{00000000-0005-0000-0000-000083110000}"/>
    <cellStyle name="일_SCADA 보안 보강 견적서" xfId="3730" xr:uid="{00000000-0005-0000-0000-000084110000}"/>
    <cellStyle name="일_SCADA 보안설비 견적 비교 (KDN과 퓨처)" xfId="3731" xr:uid="{00000000-0005-0000-0000-000085110000}"/>
    <cellStyle name="일_SCADA 보안설비 견적비교 및 견적서" xfId="3732" xr:uid="{00000000-0005-0000-0000-000086110000}"/>
    <cellStyle name="일_SCADA 보안설비 견적서_Future" xfId="3733" xr:uid="{00000000-0005-0000-0000-000087110000}"/>
    <cellStyle name="일_견적_SCADA 시스템 정보보호설비 1식_KDN" xfId="3734" xr:uid="{00000000-0005-0000-0000-000088110000}"/>
    <cellStyle name="일_견적_SCADA 시스템 정보보호설비 1식_브레인즈스퀘어" xfId="3735" xr:uid="{00000000-0005-0000-0000-000089110000}"/>
    <cellStyle name="일_교정기준변경" xfId="3736" xr:uid="{00000000-0005-0000-0000-00008A110000}"/>
    <cellStyle name="일_발주설계서" xfId="3737" xr:uid="{00000000-0005-0000-0000-00008B110000}"/>
    <cellStyle name="일_변전소자료" xfId="3738" xr:uid="{00000000-0005-0000-0000-00008C110000}"/>
    <cellStyle name="일_변전소자료_SCADA 보안 보강 견적서" xfId="3739" xr:uid="{00000000-0005-0000-0000-00008D110000}"/>
    <cellStyle name="일_변전소자료_SCADA 보안설비 견적 비교 (KDN과 퓨처)" xfId="3740" xr:uid="{00000000-0005-0000-0000-00008E110000}"/>
    <cellStyle name="일_변전소자료_SCADA 보안설비 견적비교 및 견적서" xfId="3741" xr:uid="{00000000-0005-0000-0000-00008F110000}"/>
    <cellStyle name="일_변전소자료_SCADA 보안설비 견적서_Future" xfId="3742" xr:uid="{00000000-0005-0000-0000-000090110000}"/>
    <cellStyle name="일_변전소자료_견적_SCADA 시스템 정보보호설비 1식_KDN" xfId="3743" xr:uid="{00000000-0005-0000-0000-000091110000}"/>
    <cellStyle name="일_변전소자료_견적_SCADA 시스템 정보보호설비 1식_브레인즈스퀘어" xfId="3744" xr:uid="{00000000-0005-0000-0000-000092110000}"/>
    <cellStyle name="일_변전소자료_발주설계서" xfId="3745" xr:uid="{00000000-0005-0000-0000-000093110000}"/>
    <cellStyle name="일_변전소자료_붙임_종합" xfId="3746" xr:uid="{00000000-0005-0000-0000-000094110000}"/>
    <cellStyle name="일_변전소자료_붙임_종합_원본" xfId="3747" xr:uid="{00000000-0005-0000-0000-000095110000}"/>
    <cellStyle name="일_변전소자료_붙임4 견적 비교" xfId="3748" xr:uid="{00000000-0005-0000-0000-000096110000}"/>
    <cellStyle name="일_변전소자료_사본 - 사본 - SCADA 보안설비 견적서_KDN" xfId="3749" xr:uid="{00000000-0005-0000-0000-000097110000}"/>
    <cellStyle name="일_변전소자료_설계서" xfId="3750" xr:uid="{00000000-0005-0000-0000-000098110000}"/>
    <cellStyle name="일_변전소자료_설계서(부산, 창원 조1023)" xfId="3751" xr:uid="{00000000-0005-0000-0000-000099110000}"/>
    <cellStyle name="일_변전소자료_설계서부산창원 조1023" xfId="3752" xr:uid="{00000000-0005-0000-0000-00009A110000}"/>
    <cellStyle name="일_변전소자료_원가조사" xfId="3753" xr:uid="{00000000-0005-0000-0000-00009B110000}"/>
    <cellStyle name="일_변전소자료_참조용 자료_미완성" xfId="3754" xr:uid="{00000000-0005-0000-0000-00009C110000}"/>
    <cellStyle name="일_변전소자료_한전 원가조사_050000" xfId="3755" xr:uid="{00000000-0005-0000-0000-00009D110000}"/>
    <cellStyle name="일_변전소자료_한전 통신부문 노무임 산출" xfId="3756" xr:uid="{00000000-0005-0000-0000-00009E110000}"/>
    <cellStyle name="일_붙임_종합" xfId="3757" xr:uid="{00000000-0005-0000-0000-00009F110000}"/>
    <cellStyle name="일_붙임_종합_원본" xfId="3758" xr:uid="{00000000-0005-0000-0000-0000A0110000}"/>
    <cellStyle name="일_붙임4 견적 비교" xfId="3759" xr:uid="{00000000-0005-0000-0000-0000A1110000}"/>
    <cellStyle name="일_사본 - 사본 - SCADA 보안설비 견적서_KDN" xfId="3760" xr:uid="{00000000-0005-0000-0000-0000A2110000}"/>
    <cellStyle name="일_설계서" xfId="3761" xr:uid="{00000000-0005-0000-0000-0000A3110000}"/>
    <cellStyle name="일_설계서(부산, 창원 조1023)" xfId="3762" xr:uid="{00000000-0005-0000-0000-0000A4110000}"/>
    <cellStyle name="일_설계서부산창원 조1023" xfId="3763" xr:uid="{00000000-0005-0000-0000-0000A5110000}"/>
    <cellStyle name="일_설계지침변경1" xfId="3764" xr:uid="{00000000-0005-0000-0000-0000A6110000}"/>
    <cellStyle name="일_시스템 운용 수량" xfId="3765" xr:uid="{00000000-0005-0000-0000-0000A7110000}"/>
    <cellStyle name="일_원가조사" xfId="3766" xr:uid="{00000000-0005-0000-0000-0000A8110000}"/>
    <cellStyle name="일_참조용 자료_미완성" xfId="3767" xr:uid="{00000000-0005-0000-0000-0000A9110000}"/>
    <cellStyle name="일_한전 원가조사_050000" xfId="3768" xr:uid="{00000000-0005-0000-0000-0000AA110000}"/>
    <cellStyle name="일_한전 통신부문 노무임 산출" xfId="3769" xr:uid="{00000000-0005-0000-0000-0000AB110000}"/>
    <cellStyle name="一般_DPFR exceptional approval proposal" xfId="3770" xr:uid="{00000000-0005-0000-0000-0000AC110000}"/>
    <cellStyle name="입력 2" xfId="3771" xr:uid="{00000000-0005-0000-0000-0000AD110000}"/>
    <cellStyle name="입력 2 2" xfId="3772" xr:uid="{00000000-0005-0000-0000-0000AE110000}"/>
    <cellStyle name="입력 2 3" xfId="3773" xr:uid="{00000000-0005-0000-0000-0000AF110000}"/>
    <cellStyle name="입력 3" xfId="3774" xr:uid="{00000000-0005-0000-0000-0000B0110000}"/>
    <cellStyle name="입력 3 2" xfId="3775" xr:uid="{00000000-0005-0000-0000-0000B1110000}"/>
    <cellStyle name="입력 3 3" xfId="3776" xr:uid="{00000000-0005-0000-0000-0000B2110000}"/>
    <cellStyle name="자리수" xfId="109" xr:uid="{00000000-0005-0000-0000-0000B3110000}"/>
    <cellStyle name="자리수 - 유형1" xfId="3777" xr:uid="{00000000-0005-0000-0000-0000B4110000}"/>
    <cellStyle name="자리수0" xfId="110" xr:uid="{00000000-0005-0000-0000-0000B5110000}"/>
    <cellStyle name="자리수0 2" xfId="4349" xr:uid="{00000000-0005-0000-0000-0000B6110000}"/>
    <cellStyle name="자리수0 3" xfId="4415" xr:uid="{00000000-0005-0000-0000-0000B7110000}"/>
    <cellStyle name="점선" xfId="3778" xr:uid="{00000000-0005-0000-0000-0000B8110000}"/>
    <cellStyle name="제목 1 2" xfId="3779" xr:uid="{00000000-0005-0000-0000-0000B9110000}"/>
    <cellStyle name="제목 1 2 2" xfId="3780" xr:uid="{00000000-0005-0000-0000-0000BA110000}"/>
    <cellStyle name="제목 1 2 3" xfId="3781" xr:uid="{00000000-0005-0000-0000-0000BB110000}"/>
    <cellStyle name="제목 1 3" xfId="3782" xr:uid="{00000000-0005-0000-0000-0000BC110000}"/>
    <cellStyle name="제목 1 3 2" xfId="3783" xr:uid="{00000000-0005-0000-0000-0000BD110000}"/>
    <cellStyle name="제목 1 3 3" xfId="3784" xr:uid="{00000000-0005-0000-0000-0000BE110000}"/>
    <cellStyle name="제목 2 2" xfId="3785" xr:uid="{00000000-0005-0000-0000-0000BF110000}"/>
    <cellStyle name="제목 2 2 2" xfId="3786" xr:uid="{00000000-0005-0000-0000-0000C0110000}"/>
    <cellStyle name="제목 2 2 3" xfId="3787" xr:uid="{00000000-0005-0000-0000-0000C1110000}"/>
    <cellStyle name="제목 2 3" xfId="3788" xr:uid="{00000000-0005-0000-0000-0000C2110000}"/>
    <cellStyle name="제목 2 3 2" xfId="3789" xr:uid="{00000000-0005-0000-0000-0000C3110000}"/>
    <cellStyle name="제목 2 3 3" xfId="3790" xr:uid="{00000000-0005-0000-0000-0000C4110000}"/>
    <cellStyle name="제목 3 2" xfId="3791" xr:uid="{00000000-0005-0000-0000-0000C5110000}"/>
    <cellStyle name="제목 3 2 2" xfId="3792" xr:uid="{00000000-0005-0000-0000-0000C6110000}"/>
    <cellStyle name="제목 3 2 3" xfId="3793" xr:uid="{00000000-0005-0000-0000-0000C7110000}"/>
    <cellStyle name="제목 3 3" xfId="3794" xr:uid="{00000000-0005-0000-0000-0000C8110000}"/>
    <cellStyle name="제목 3 3 2" xfId="3795" xr:uid="{00000000-0005-0000-0000-0000C9110000}"/>
    <cellStyle name="제목 3 3 3" xfId="3796" xr:uid="{00000000-0005-0000-0000-0000CA110000}"/>
    <cellStyle name="제목 4 2" xfId="3797" xr:uid="{00000000-0005-0000-0000-0000CB110000}"/>
    <cellStyle name="제목 4 2 2" xfId="3798" xr:uid="{00000000-0005-0000-0000-0000CC110000}"/>
    <cellStyle name="제목 4 2 3" xfId="3799" xr:uid="{00000000-0005-0000-0000-0000CD110000}"/>
    <cellStyle name="제목 4 3" xfId="3800" xr:uid="{00000000-0005-0000-0000-0000CE110000}"/>
    <cellStyle name="제목 4 3 2" xfId="3801" xr:uid="{00000000-0005-0000-0000-0000CF110000}"/>
    <cellStyle name="제목 4 3 3" xfId="3802" xr:uid="{00000000-0005-0000-0000-0000D0110000}"/>
    <cellStyle name="제목 5" xfId="3803" xr:uid="{00000000-0005-0000-0000-0000D1110000}"/>
    <cellStyle name="제목 5 2" xfId="3804" xr:uid="{00000000-0005-0000-0000-0000D2110000}"/>
    <cellStyle name="제목 5 3" xfId="3805" xr:uid="{00000000-0005-0000-0000-0000D3110000}"/>
    <cellStyle name="제목 6" xfId="3806" xr:uid="{00000000-0005-0000-0000-0000D4110000}"/>
    <cellStyle name="제목 6 2" xfId="3807" xr:uid="{00000000-0005-0000-0000-0000D5110000}"/>
    <cellStyle name="제목 6 3" xfId="3808" xr:uid="{00000000-0005-0000-0000-0000D6110000}"/>
    <cellStyle name="제목[1 줄]" xfId="3809" xr:uid="{00000000-0005-0000-0000-0000D7110000}"/>
    <cellStyle name="제목[2줄 아래]" xfId="3810" xr:uid="{00000000-0005-0000-0000-0000D8110000}"/>
    <cellStyle name="제목[2줄 위]" xfId="3811" xr:uid="{00000000-0005-0000-0000-0000D9110000}"/>
    <cellStyle name="제목1" xfId="3812" xr:uid="{00000000-0005-0000-0000-0000DA110000}"/>
    <cellStyle name="좋음 2" xfId="3813" xr:uid="{00000000-0005-0000-0000-0000DB110000}"/>
    <cellStyle name="좋음 2 2" xfId="3814" xr:uid="{00000000-0005-0000-0000-0000DC110000}"/>
    <cellStyle name="좋음 2 3" xfId="3815" xr:uid="{00000000-0005-0000-0000-0000DD110000}"/>
    <cellStyle name="좋음 3" xfId="3816" xr:uid="{00000000-0005-0000-0000-0000DE110000}"/>
    <cellStyle name="좋음 3 2" xfId="3817" xr:uid="{00000000-0005-0000-0000-0000DF110000}"/>
    <cellStyle name="좋음 3 3" xfId="3818" xr:uid="{00000000-0005-0000-0000-0000E0110000}"/>
    <cellStyle name="지정되지 않음" xfId="3819" xr:uid="{00000000-0005-0000-0000-0000E1110000}"/>
    <cellStyle name="千分位_Apr'03 Fcst" xfId="3820" xr:uid="{00000000-0005-0000-0000-0000E2110000}"/>
    <cellStyle name="천원이하반올림" xfId="3821" xr:uid="{00000000-0005-0000-0000-0000E3110000}"/>
    <cellStyle name="千位分隔[0]_三进在库0506015" xfId="4380" xr:uid="{00000000-0005-0000-0000-0000E4110000}"/>
    <cellStyle name="千位分隔_11월 월말보고(전달)-041130" xfId="4381" xr:uid="{00000000-0005-0000-0000-0000E5110000}"/>
    <cellStyle name="출력 2" xfId="3822" xr:uid="{00000000-0005-0000-0000-0000E6110000}"/>
    <cellStyle name="출력 2 2" xfId="3823" xr:uid="{00000000-0005-0000-0000-0000E7110000}"/>
    <cellStyle name="출력 2 3" xfId="3824" xr:uid="{00000000-0005-0000-0000-0000E8110000}"/>
    <cellStyle name="출력 3" xfId="3825" xr:uid="{00000000-0005-0000-0000-0000E9110000}"/>
    <cellStyle name="출력 3 2" xfId="3826" xr:uid="{00000000-0005-0000-0000-0000EA110000}"/>
    <cellStyle name="출력 3 3" xfId="3827" xr:uid="{00000000-0005-0000-0000-0000EB110000}"/>
    <cellStyle name="콤마 [0]_  종  합  " xfId="111" xr:uid="{00000000-0005-0000-0000-0000EC110000}"/>
    <cellStyle name="콤마 [1]" xfId="182" xr:uid="{00000000-0005-0000-0000-0000ED110000}"/>
    <cellStyle name="콤마 [2]" xfId="3828" xr:uid="{00000000-0005-0000-0000-0000EE110000}"/>
    <cellStyle name="콤마_  종  합  " xfId="112" xr:uid="{00000000-0005-0000-0000-0000EF110000}"/>
    <cellStyle name="통화 " xfId="4416" xr:uid="{00000000-0005-0000-0000-0000F0110000}"/>
    <cellStyle name="通貨 [0.00]_laroux" xfId="3829" xr:uid="{00000000-0005-0000-0000-0000F1110000}"/>
    <cellStyle name="통화 [0] 2" xfId="113" xr:uid="{00000000-0005-0000-0000-0000F2110000}"/>
    <cellStyle name="통화 [0] 2 10" xfId="3830" xr:uid="{00000000-0005-0000-0000-0000F3110000}"/>
    <cellStyle name="통화 [0] 2 10 2" xfId="4835" xr:uid="{00000000-0005-0000-0000-0000F4110000}"/>
    <cellStyle name="통화 [0] 2 11" xfId="3831" xr:uid="{00000000-0005-0000-0000-0000F5110000}"/>
    <cellStyle name="통화 [0] 2 11 2" xfId="4836" xr:uid="{00000000-0005-0000-0000-0000F6110000}"/>
    <cellStyle name="통화 [0] 2 12" xfId="3832" xr:uid="{00000000-0005-0000-0000-0000F7110000}"/>
    <cellStyle name="통화 [0] 2 12 2" xfId="4837" xr:uid="{00000000-0005-0000-0000-0000F8110000}"/>
    <cellStyle name="통화 [0] 2 13" xfId="3833" xr:uid="{00000000-0005-0000-0000-0000F9110000}"/>
    <cellStyle name="통화 [0] 2 13 2" xfId="4838" xr:uid="{00000000-0005-0000-0000-0000FA110000}"/>
    <cellStyle name="통화 [0] 2 14" xfId="3834" xr:uid="{00000000-0005-0000-0000-0000FB110000}"/>
    <cellStyle name="통화 [0] 2 14 2" xfId="4839" xr:uid="{00000000-0005-0000-0000-0000FC110000}"/>
    <cellStyle name="통화 [0] 2 15" xfId="3835" xr:uid="{00000000-0005-0000-0000-0000FD110000}"/>
    <cellStyle name="통화 [0] 2 15 2" xfId="4840" xr:uid="{00000000-0005-0000-0000-0000FE110000}"/>
    <cellStyle name="통화 [0] 2 16" xfId="3836" xr:uid="{00000000-0005-0000-0000-0000FF110000}"/>
    <cellStyle name="통화 [0] 2 16 2" xfId="4841" xr:uid="{00000000-0005-0000-0000-000000120000}"/>
    <cellStyle name="통화 [0] 2 17" xfId="4215" xr:uid="{00000000-0005-0000-0000-000001120000}"/>
    <cellStyle name="통화 [0] 2 17 2" xfId="4871" xr:uid="{00000000-0005-0000-0000-000002120000}"/>
    <cellStyle name="통화 [0] 2 18" xfId="4417" xr:uid="{00000000-0005-0000-0000-000003120000}"/>
    <cellStyle name="통화 [0] 2 18 2" xfId="4893" xr:uid="{00000000-0005-0000-0000-000004120000}"/>
    <cellStyle name="통화 [0] 2 19" xfId="4441" xr:uid="{00000000-0005-0000-0000-000005120000}"/>
    <cellStyle name="통화 [0] 2 2" xfId="3837" xr:uid="{00000000-0005-0000-0000-000006120000}"/>
    <cellStyle name="통화 [0] 2 2 2" xfId="4350" xr:uid="{00000000-0005-0000-0000-000007120000}"/>
    <cellStyle name="통화 [0] 2 2 2 2" xfId="4879" xr:uid="{00000000-0005-0000-0000-000008120000}"/>
    <cellStyle name="통화 [0] 2 2 3" xfId="4842" xr:uid="{00000000-0005-0000-0000-000009120000}"/>
    <cellStyle name="통화 [0] 2 3" xfId="3838" xr:uid="{00000000-0005-0000-0000-00000A120000}"/>
    <cellStyle name="통화 [0] 2 3 2" xfId="4843" xr:uid="{00000000-0005-0000-0000-00000B120000}"/>
    <cellStyle name="통화 [0] 2 4" xfId="3839" xr:uid="{00000000-0005-0000-0000-00000C120000}"/>
    <cellStyle name="통화 [0] 2 4 2" xfId="4844" xr:uid="{00000000-0005-0000-0000-00000D120000}"/>
    <cellStyle name="통화 [0] 2 5" xfId="3840" xr:uid="{00000000-0005-0000-0000-00000E120000}"/>
    <cellStyle name="통화 [0] 2 5 2" xfId="4845" xr:uid="{00000000-0005-0000-0000-00000F120000}"/>
    <cellStyle name="통화 [0] 2 6" xfId="3841" xr:uid="{00000000-0005-0000-0000-000010120000}"/>
    <cellStyle name="통화 [0] 2 6 2" xfId="4846" xr:uid="{00000000-0005-0000-0000-000011120000}"/>
    <cellStyle name="통화 [0] 2 7" xfId="3842" xr:uid="{00000000-0005-0000-0000-000012120000}"/>
    <cellStyle name="통화 [0] 2 7 2" xfId="4847" xr:uid="{00000000-0005-0000-0000-000013120000}"/>
    <cellStyle name="통화 [0] 2 8" xfId="3843" xr:uid="{00000000-0005-0000-0000-000014120000}"/>
    <cellStyle name="통화 [0] 2 8 2" xfId="4848" xr:uid="{00000000-0005-0000-0000-000015120000}"/>
    <cellStyle name="통화 [0] 2 9" xfId="3844" xr:uid="{00000000-0005-0000-0000-000016120000}"/>
    <cellStyle name="통화 [0] 2 9 2" xfId="4849" xr:uid="{00000000-0005-0000-0000-000017120000}"/>
    <cellStyle name="통화 [0] 3" xfId="3845" xr:uid="{00000000-0005-0000-0000-000018120000}"/>
    <cellStyle name="통화 [0] 3 2" xfId="4351" xr:uid="{00000000-0005-0000-0000-000019120000}"/>
    <cellStyle name="통화 [0] 3 2 2" xfId="4880" xr:uid="{00000000-0005-0000-0000-00001A120000}"/>
    <cellStyle name="통화 [0] 3 3" xfId="4850" xr:uid="{00000000-0005-0000-0000-00001B120000}"/>
    <cellStyle name="통화 [0] 4" xfId="3846" xr:uid="{00000000-0005-0000-0000-00001C120000}"/>
    <cellStyle name="통화 [0] 4 2" xfId="4172" xr:uid="{00000000-0005-0000-0000-00001D120000}"/>
    <cellStyle name="통화 [0] 4 2 2" xfId="4864" xr:uid="{00000000-0005-0000-0000-00001E120000}"/>
    <cellStyle name="통화 [0] 4 3" xfId="4851" xr:uid="{00000000-0005-0000-0000-00001F120000}"/>
    <cellStyle name="통화 [0] 5" xfId="4173" xr:uid="{00000000-0005-0000-0000-000020120000}"/>
    <cellStyle name="통화 [0] 5 2" xfId="4865" xr:uid="{00000000-0005-0000-0000-000021120000}"/>
    <cellStyle name="통화 [0] 6" xfId="4364" xr:uid="{00000000-0005-0000-0000-000022120000}"/>
    <cellStyle name="통화 [0] 6 2" xfId="4884" xr:uid="{00000000-0005-0000-0000-000023120000}"/>
    <cellStyle name="通貨_01-10LEGACY進捗(商企）" xfId="4418" xr:uid="{00000000-0005-0000-0000-000024120000}"/>
    <cellStyle name="퍼센트" xfId="114" xr:uid="{00000000-0005-0000-0000-000025120000}"/>
    <cellStyle name="퍼센트 2" xfId="4352" xr:uid="{00000000-0005-0000-0000-000026120000}"/>
    <cellStyle name="퍼센트 3" xfId="4419" xr:uid="{00000000-0005-0000-0000-000027120000}"/>
    <cellStyle name="표준" xfId="0" builtinId="0"/>
    <cellStyle name="표준 10" xfId="3847" xr:uid="{00000000-0005-0000-0000-000029120000}"/>
    <cellStyle name="표준 10 10" xfId="3848" xr:uid="{00000000-0005-0000-0000-00002A120000}"/>
    <cellStyle name="표준 10 11" xfId="3849" xr:uid="{00000000-0005-0000-0000-00002B120000}"/>
    <cellStyle name="표준 10 12" xfId="3850" xr:uid="{00000000-0005-0000-0000-00002C120000}"/>
    <cellStyle name="표준 10 13" xfId="3851" xr:uid="{00000000-0005-0000-0000-00002D120000}"/>
    <cellStyle name="표준 10 14" xfId="3852" xr:uid="{00000000-0005-0000-0000-00002E120000}"/>
    <cellStyle name="표준 10 15" xfId="3853" xr:uid="{00000000-0005-0000-0000-00002F120000}"/>
    <cellStyle name="표준 10 16" xfId="3854" xr:uid="{00000000-0005-0000-0000-000030120000}"/>
    <cellStyle name="표준 10 17" xfId="3855" xr:uid="{00000000-0005-0000-0000-000031120000}"/>
    <cellStyle name="표준 10 18" xfId="3856" xr:uid="{00000000-0005-0000-0000-000032120000}"/>
    <cellStyle name="표준 10 19" xfId="3857" xr:uid="{00000000-0005-0000-0000-000033120000}"/>
    <cellStyle name="표준 10 2" xfId="3858" xr:uid="{00000000-0005-0000-0000-000034120000}"/>
    <cellStyle name="표준 10 20" xfId="3859" xr:uid="{00000000-0005-0000-0000-000035120000}"/>
    <cellStyle name="표준 10 21" xfId="3860" xr:uid="{00000000-0005-0000-0000-000036120000}"/>
    <cellStyle name="표준 10 22" xfId="3861" xr:uid="{00000000-0005-0000-0000-000037120000}"/>
    <cellStyle name="표준 10 23" xfId="3862" xr:uid="{00000000-0005-0000-0000-000038120000}"/>
    <cellStyle name="표준 10 24" xfId="3863" xr:uid="{00000000-0005-0000-0000-000039120000}"/>
    <cellStyle name="표준 10 25" xfId="3864" xr:uid="{00000000-0005-0000-0000-00003A120000}"/>
    <cellStyle name="표준 10 26" xfId="3865" xr:uid="{00000000-0005-0000-0000-00003B120000}"/>
    <cellStyle name="표준 10 27" xfId="3866" xr:uid="{00000000-0005-0000-0000-00003C120000}"/>
    <cellStyle name="표준 10 28" xfId="3867" xr:uid="{00000000-0005-0000-0000-00003D120000}"/>
    <cellStyle name="표준 10 29" xfId="3868" xr:uid="{00000000-0005-0000-0000-00003E120000}"/>
    <cellStyle name="표준 10 3" xfId="3869" xr:uid="{00000000-0005-0000-0000-00003F120000}"/>
    <cellStyle name="표준 10 3 2" xfId="3870" xr:uid="{00000000-0005-0000-0000-000040120000}"/>
    <cellStyle name="표준 10 30" xfId="3871" xr:uid="{00000000-0005-0000-0000-000041120000}"/>
    <cellStyle name="표준 10 31" xfId="3872" xr:uid="{00000000-0005-0000-0000-000042120000}"/>
    <cellStyle name="표준 10 32" xfId="3873" xr:uid="{00000000-0005-0000-0000-000043120000}"/>
    <cellStyle name="표준 10 33" xfId="3874" xr:uid="{00000000-0005-0000-0000-000044120000}"/>
    <cellStyle name="표준 10 34" xfId="3875" xr:uid="{00000000-0005-0000-0000-000045120000}"/>
    <cellStyle name="표준 10 35" xfId="3876" xr:uid="{00000000-0005-0000-0000-000046120000}"/>
    <cellStyle name="표준 10 36" xfId="3877" xr:uid="{00000000-0005-0000-0000-000047120000}"/>
    <cellStyle name="표준 10 37" xfId="3878" xr:uid="{00000000-0005-0000-0000-000048120000}"/>
    <cellStyle name="표준 10 38" xfId="3879" xr:uid="{00000000-0005-0000-0000-000049120000}"/>
    <cellStyle name="표준 10 39" xfId="3880" xr:uid="{00000000-0005-0000-0000-00004A120000}"/>
    <cellStyle name="표준 10 4" xfId="3881" xr:uid="{00000000-0005-0000-0000-00004B120000}"/>
    <cellStyle name="표준 10 40" xfId="3882" xr:uid="{00000000-0005-0000-0000-00004C120000}"/>
    <cellStyle name="표준 10 41" xfId="3883" xr:uid="{00000000-0005-0000-0000-00004D120000}"/>
    <cellStyle name="표준 10 42" xfId="3884" xr:uid="{00000000-0005-0000-0000-00004E120000}"/>
    <cellStyle name="표준 10 43" xfId="4382" xr:uid="{00000000-0005-0000-0000-00004F120000}"/>
    <cellStyle name="표준 10 5" xfId="3885" xr:uid="{00000000-0005-0000-0000-000050120000}"/>
    <cellStyle name="표준 10 6" xfId="3886" xr:uid="{00000000-0005-0000-0000-000051120000}"/>
    <cellStyle name="표준 10 7" xfId="3887" xr:uid="{00000000-0005-0000-0000-000052120000}"/>
    <cellStyle name="표준 10 8" xfId="3888" xr:uid="{00000000-0005-0000-0000-000053120000}"/>
    <cellStyle name="표준 10 9" xfId="3889" xr:uid="{00000000-0005-0000-0000-000054120000}"/>
    <cellStyle name="표준 11" xfId="3890" xr:uid="{00000000-0005-0000-0000-000055120000}"/>
    <cellStyle name="표준 11 2" xfId="3891" xr:uid="{00000000-0005-0000-0000-000056120000}"/>
    <cellStyle name="표준 11 3" xfId="4216" xr:uid="{00000000-0005-0000-0000-000057120000}"/>
    <cellStyle name="표준 11 4" xfId="4383" xr:uid="{00000000-0005-0000-0000-000058120000}"/>
    <cellStyle name="표준 12" xfId="3892" xr:uid="{00000000-0005-0000-0000-000059120000}"/>
    <cellStyle name="표준 12 2" xfId="4384" xr:uid="{00000000-0005-0000-0000-00005A120000}"/>
    <cellStyle name="표준 13" xfId="3893" xr:uid="{00000000-0005-0000-0000-00005B120000}"/>
    <cellStyle name="표준 13 2" xfId="4385" xr:uid="{00000000-0005-0000-0000-00005C120000}"/>
    <cellStyle name="표준 14" xfId="3894" xr:uid="{00000000-0005-0000-0000-00005D120000}"/>
    <cellStyle name="표준 14 2" xfId="4386" xr:uid="{00000000-0005-0000-0000-00005E120000}"/>
    <cellStyle name="표준 142" xfId="3895" xr:uid="{00000000-0005-0000-0000-00005F120000}"/>
    <cellStyle name="표준 15" xfId="3896" xr:uid="{00000000-0005-0000-0000-000060120000}"/>
    <cellStyle name="표준 15 2" xfId="4387" xr:uid="{00000000-0005-0000-0000-000061120000}"/>
    <cellStyle name="표준 16" xfId="3897" xr:uid="{00000000-0005-0000-0000-000062120000}"/>
    <cellStyle name="표준 16 2" xfId="4388" xr:uid="{00000000-0005-0000-0000-000063120000}"/>
    <cellStyle name="표준 17" xfId="3898" xr:uid="{00000000-0005-0000-0000-000064120000}"/>
    <cellStyle name="표준 17 2" xfId="4174" xr:uid="{00000000-0005-0000-0000-000065120000}"/>
    <cellStyle name="표준 17 2 2" xfId="4866" xr:uid="{00000000-0005-0000-0000-000066120000}"/>
    <cellStyle name="표준 17 3" xfId="4389" xr:uid="{00000000-0005-0000-0000-000067120000}"/>
    <cellStyle name="표준 18" xfId="3899" xr:uid="{00000000-0005-0000-0000-000068120000}"/>
    <cellStyle name="표준 18 2" xfId="4390" xr:uid="{00000000-0005-0000-0000-000069120000}"/>
    <cellStyle name="표준 19" xfId="3900" xr:uid="{00000000-0005-0000-0000-00006A120000}"/>
    <cellStyle name="표준 19 2" xfId="4391" xr:uid="{00000000-0005-0000-0000-00006B120000}"/>
    <cellStyle name="표준 2" xfId="20" xr:uid="{00000000-0005-0000-0000-00006C120000}"/>
    <cellStyle name="표준 2 10" xfId="3901" xr:uid="{00000000-0005-0000-0000-00006D120000}"/>
    <cellStyle name="표준 2 10 2" xfId="3902" xr:uid="{00000000-0005-0000-0000-00006E120000}"/>
    <cellStyle name="표준 2 11" xfId="3903" xr:uid="{00000000-0005-0000-0000-00006F120000}"/>
    <cellStyle name="표준 2 12" xfId="3904" xr:uid="{00000000-0005-0000-0000-000070120000}"/>
    <cellStyle name="표준 2 13" xfId="3905" xr:uid="{00000000-0005-0000-0000-000071120000}"/>
    <cellStyle name="표준 2 14" xfId="3906" xr:uid="{00000000-0005-0000-0000-000072120000}"/>
    <cellStyle name="표준 2 15" xfId="3907" xr:uid="{00000000-0005-0000-0000-000073120000}"/>
    <cellStyle name="표준 2 16" xfId="3908" xr:uid="{00000000-0005-0000-0000-000074120000}"/>
    <cellStyle name="표준 2 17" xfId="3909" xr:uid="{00000000-0005-0000-0000-000075120000}"/>
    <cellStyle name="표준 2 18" xfId="3910" xr:uid="{00000000-0005-0000-0000-000076120000}"/>
    <cellStyle name="표준 2 19" xfId="3911" xr:uid="{00000000-0005-0000-0000-000077120000}"/>
    <cellStyle name="표준 2 2" xfId="183" xr:uid="{00000000-0005-0000-0000-000078120000}"/>
    <cellStyle name="표준 2 2 2" xfId="188" xr:uid="{00000000-0005-0000-0000-000079120000}"/>
    <cellStyle name="표준 2 2 2 2" xfId="3912" xr:uid="{00000000-0005-0000-0000-00007A120000}"/>
    <cellStyle name="표준 2 2 2 3" xfId="4217" xr:uid="{00000000-0005-0000-0000-00007B120000}"/>
    <cellStyle name="표준 2 2 2 4" xfId="4365" xr:uid="{00000000-0005-0000-0000-00007C120000}"/>
    <cellStyle name="표준 2 2 2 5" xfId="3913" xr:uid="{00000000-0005-0000-0000-00007D120000}"/>
    <cellStyle name="표준 2 2 3" xfId="4175" xr:uid="{00000000-0005-0000-0000-00007E120000}"/>
    <cellStyle name="표준 2 2 3 2" xfId="4176" xr:uid="{00000000-0005-0000-0000-00007F120000}"/>
    <cellStyle name="표준 2 20" xfId="3914" xr:uid="{00000000-0005-0000-0000-000080120000}"/>
    <cellStyle name="표준 2 21" xfId="3915" xr:uid="{00000000-0005-0000-0000-000081120000}"/>
    <cellStyle name="표준 2 22" xfId="3916" xr:uid="{00000000-0005-0000-0000-000082120000}"/>
    <cellStyle name="표준 2 23" xfId="3917" xr:uid="{00000000-0005-0000-0000-000083120000}"/>
    <cellStyle name="표준 2 24" xfId="3918" xr:uid="{00000000-0005-0000-0000-000084120000}"/>
    <cellStyle name="표준 2 25" xfId="3919" xr:uid="{00000000-0005-0000-0000-000085120000}"/>
    <cellStyle name="표준 2 26" xfId="3920" xr:uid="{00000000-0005-0000-0000-000086120000}"/>
    <cellStyle name="표준 2 27" xfId="3921" xr:uid="{00000000-0005-0000-0000-000087120000}"/>
    <cellStyle name="표준 2 28" xfId="4353" xr:uid="{00000000-0005-0000-0000-000088120000}"/>
    <cellStyle name="표준 2 28 2" xfId="4430" xr:uid="{00000000-0005-0000-0000-000089120000}"/>
    <cellStyle name="표준 2 3" xfId="187" xr:uid="{00000000-0005-0000-0000-00008A120000}"/>
    <cellStyle name="표준 2 3 2" xfId="3922" xr:uid="{00000000-0005-0000-0000-00008B120000}"/>
    <cellStyle name="표준 2 3 3" xfId="4420" xr:uid="{00000000-0005-0000-0000-00008C120000}"/>
    <cellStyle name="표준 2 35" xfId="3923" xr:uid="{00000000-0005-0000-0000-00008D120000}"/>
    <cellStyle name="표준 2 4" xfId="3924" xr:uid="{00000000-0005-0000-0000-00008E120000}"/>
    <cellStyle name="표준 2 5" xfId="3925" xr:uid="{00000000-0005-0000-0000-00008F120000}"/>
    <cellStyle name="표준 2 5 2" xfId="4354" xr:uid="{00000000-0005-0000-0000-000090120000}"/>
    <cellStyle name="표준 2 6" xfId="3926" xr:uid="{00000000-0005-0000-0000-000091120000}"/>
    <cellStyle name="표준 2 7" xfId="3927" xr:uid="{00000000-0005-0000-0000-000092120000}"/>
    <cellStyle name="표준 2 8" xfId="3928" xr:uid="{00000000-0005-0000-0000-000093120000}"/>
    <cellStyle name="표준 2 9" xfId="3929" xr:uid="{00000000-0005-0000-0000-000094120000}"/>
    <cellStyle name="표준 2_루트로닉 정보시스템 견적서2차" xfId="3930" xr:uid="{00000000-0005-0000-0000-000095120000}"/>
    <cellStyle name="표준 20" xfId="3931" xr:uid="{00000000-0005-0000-0000-000096120000}"/>
    <cellStyle name="표준 20 2" xfId="4392" xr:uid="{00000000-0005-0000-0000-000097120000}"/>
    <cellStyle name="표준 21" xfId="3932" xr:uid="{00000000-0005-0000-0000-000098120000}"/>
    <cellStyle name="표준 21 2" xfId="4421" xr:uid="{00000000-0005-0000-0000-000099120000}"/>
    <cellStyle name="표준 21 2 2" xfId="4894" xr:uid="{00000000-0005-0000-0000-00009A120000}"/>
    <cellStyle name="표준 21 3" xfId="4393" xr:uid="{00000000-0005-0000-0000-00009B120000}"/>
    <cellStyle name="표준 22" xfId="3933" xr:uid="{00000000-0005-0000-0000-00009C120000}"/>
    <cellStyle name="표준 22 2" xfId="4422" xr:uid="{00000000-0005-0000-0000-00009D120000}"/>
    <cellStyle name="표준 23" xfId="3934" xr:uid="{00000000-0005-0000-0000-00009E120000}"/>
    <cellStyle name="표준 23 2" xfId="4429" xr:uid="{00000000-0005-0000-0000-00009F120000}"/>
    <cellStyle name="표준 24" xfId="3935" xr:uid="{00000000-0005-0000-0000-0000A0120000}"/>
    <cellStyle name="표준 24 2" xfId="4431" xr:uid="{00000000-0005-0000-0000-0000A1120000}"/>
    <cellStyle name="표준 24 2 2" xfId="4895" xr:uid="{00000000-0005-0000-0000-0000A2120000}"/>
    <cellStyle name="표준 25" xfId="3936" xr:uid="{00000000-0005-0000-0000-0000A3120000}"/>
    <cellStyle name="표준 26" xfId="3937" xr:uid="{00000000-0005-0000-0000-0000A4120000}"/>
    <cellStyle name="표준 27" xfId="3938" xr:uid="{00000000-0005-0000-0000-0000A5120000}"/>
    <cellStyle name="표준 28" xfId="3939" xr:uid="{00000000-0005-0000-0000-0000A6120000}"/>
    <cellStyle name="표준 29" xfId="3940" xr:uid="{00000000-0005-0000-0000-0000A7120000}"/>
    <cellStyle name="표준 3" xfId="115" xr:uid="{00000000-0005-0000-0000-0000A8120000}"/>
    <cellStyle name="표준 3 10" xfId="3941" xr:uid="{00000000-0005-0000-0000-0000A9120000}"/>
    <cellStyle name="표준 3 10 5" xfId="3942" xr:uid="{00000000-0005-0000-0000-0000AA120000}"/>
    <cellStyle name="표준 3 11" xfId="3943" xr:uid="{00000000-0005-0000-0000-0000AB120000}"/>
    <cellStyle name="표준 3 12" xfId="3944" xr:uid="{00000000-0005-0000-0000-0000AC120000}"/>
    <cellStyle name="표준 3 13" xfId="3945" xr:uid="{00000000-0005-0000-0000-0000AD120000}"/>
    <cellStyle name="표준 3 14" xfId="3946" xr:uid="{00000000-0005-0000-0000-0000AE120000}"/>
    <cellStyle name="표준 3 15" xfId="3947" xr:uid="{00000000-0005-0000-0000-0000AF120000}"/>
    <cellStyle name="표준 3 16" xfId="3948" xr:uid="{00000000-0005-0000-0000-0000B0120000}"/>
    <cellStyle name="표준 3 17" xfId="3949" xr:uid="{00000000-0005-0000-0000-0000B1120000}"/>
    <cellStyle name="표준 3 18" xfId="3950" xr:uid="{00000000-0005-0000-0000-0000B2120000}"/>
    <cellStyle name="표준 3 19" xfId="3951" xr:uid="{00000000-0005-0000-0000-0000B3120000}"/>
    <cellStyle name="표준 3 2" xfId="184" xr:uid="{00000000-0005-0000-0000-0000B4120000}"/>
    <cellStyle name="표준 3 2 2" xfId="3952" xr:uid="{00000000-0005-0000-0000-0000B5120000}"/>
    <cellStyle name="표준 3 2 3" xfId="3953" xr:uid="{00000000-0005-0000-0000-0000B6120000}"/>
    <cellStyle name="표준 3 2 4" xfId="4399" xr:uid="{00000000-0005-0000-0000-0000B7120000}"/>
    <cellStyle name="표준 3 20" xfId="3954" xr:uid="{00000000-0005-0000-0000-0000B8120000}"/>
    <cellStyle name="표준 3 21" xfId="4177" xr:uid="{00000000-0005-0000-0000-0000B9120000}"/>
    <cellStyle name="표준 3 22" xfId="4355" xr:uid="{00000000-0005-0000-0000-0000BA120000}"/>
    <cellStyle name="표준 3 22 2" xfId="4368" xr:uid="{00000000-0005-0000-0000-0000BB120000}"/>
    <cellStyle name="표준 3 3" xfId="3955" xr:uid="{00000000-0005-0000-0000-0000BC120000}"/>
    <cellStyle name="표준 3 3 2" xfId="4218" xr:uid="{00000000-0005-0000-0000-0000BD120000}"/>
    <cellStyle name="표준 3 4" xfId="3956" xr:uid="{00000000-0005-0000-0000-0000BE120000}"/>
    <cellStyle name="표준 3 4 2" xfId="4178" xr:uid="{00000000-0005-0000-0000-0000BF120000}"/>
    <cellStyle name="표준 3 5" xfId="3957" xr:uid="{00000000-0005-0000-0000-0000C0120000}"/>
    <cellStyle name="표준 3 6" xfId="3958" xr:uid="{00000000-0005-0000-0000-0000C1120000}"/>
    <cellStyle name="표준 3 7" xfId="3959" xr:uid="{00000000-0005-0000-0000-0000C2120000}"/>
    <cellStyle name="표준 3 8" xfId="3960" xr:uid="{00000000-0005-0000-0000-0000C3120000}"/>
    <cellStyle name="표준 3 9" xfId="3961" xr:uid="{00000000-0005-0000-0000-0000C4120000}"/>
    <cellStyle name="표준 3_Q사업1부3팀_2월 MR" xfId="3962" xr:uid="{00000000-0005-0000-0000-0000C5120000}"/>
    <cellStyle name="표준 30" xfId="3963" xr:uid="{00000000-0005-0000-0000-0000C6120000}"/>
    <cellStyle name="표준 31" xfId="3964" xr:uid="{00000000-0005-0000-0000-0000C7120000}"/>
    <cellStyle name="표준 32" xfId="3965" xr:uid="{00000000-0005-0000-0000-0000C8120000}"/>
    <cellStyle name="표준 32 2" xfId="4356" xr:uid="{00000000-0005-0000-0000-0000C9120000}"/>
    <cellStyle name="표준 32 2 2" xfId="4881" xr:uid="{00000000-0005-0000-0000-0000CA120000}"/>
    <cellStyle name="표준 33" xfId="3966" xr:uid="{00000000-0005-0000-0000-0000CB120000}"/>
    <cellStyle name="표준 33 2" xfId="4852" xr:uid="{00000000-0005-0000-0000-0000CC120000}"/>
    <cellStyle name="표준 34" xfId="4179" xr:uid="{00000000-0005-0000-0000-0000CD120000}"/>
    <cellStyle name="표준 34 2" xfId="4867" xr:uid="{00000000-0005-0000-0000-0000CE120000}"/>
    <cellStyle name="표준 35" xfId="4219" xr:uid="{00000000-0005-0000-0000-0000CF120000}"/>
    <cellStyle name="표준 35 2" xfId="4357" xr:uid="{00000000-0005-0000-0000-0000D0120000}"/>
    <cellStyle name="표준 35 2 2" xfId="4367" xr:uid="{00000000-0005-0000-0000-0000D1120000}"/>
    <cellStyle name="표준 35 2 2 2" xfId="4886" xr:uid="{00000000-0005-0000-0000-0000D2120000}"/>
    <cellStyle name="표준 35 2 3" xfId="4882" xr:uid="{00000000-0005-0000-0000-0000D3120000}"/>
    <cellStyle name="표준 35 3" xfId="4872" xr:uid="{00000000-0005-0000-0000-0000D4120000}"/>
    <cellStyle name="표준 36" xfId="4220" xr:uid="{00000000-0005-0000-0000-0000D5120000}"/>
    <cellStyle name="표준 36 2" xfId="4873" xr:uid="{00000000-0005-0000-0000-0000D6120000}"/>
    <cellStyle name="표준 37" xfId="4436" xr:uid="{00000000-0005-0000-0000-0000D7120000}"/>
    <cellStyle name="표준 38" xfId="4434" xr:uid="{00000000-0005-0000-0000-0000D8120000}"/>
    <cellStyle name="표준 39" xfId="4898" xr:uid="{548FEB38-8E0F-40B9-8826-7302FBE50B22}"/>
    <cellStyle name="표준 4" xfId="120" xr:uid="{00000000-0005-0000-0000-0000D9120000}"/>
    <cellStyle name="표준 4 2" xfId="3967" xr:uid="{00000000-0005-0000-0000-0000DA120000}"/>
    <cellStyle name="표준 4 2 2" xfId="4180" xr:uid="{00000000-0005-0000-0000-0000DB120000}"/>
    <cellStyle name="표준 4 3" xfId="3968" xr:uid="{00000000-0005-0000-0000-0000DC120000}"/>
    <cellStyle name="표준 4 4" xfId="3969" xr:uid="{00000000-0005-0000-0000-0000DD120000}"/>
    <cellStyle name="표준 4 5" xfId="4366" xr:uid="{00000000-0005-0000-0000-0000DE120000}"/>
    <cellStyle name="표준 4 5 2" xfId="4885" xr:uid="{00000000-0005-0000-0000-0000DF120000}"/>
    <cellStyle name="표준 40" xfId="4900" xr:uid="{1D83E16D-35BE-4C9D-809D-F47351A5BDE2}"/>
    <cellStyle name="표준 41" xfId="4901" xr:uid="{FAD8C7C8-AD55-4BB4-9CE1-9CA1DA4B4F3F}"/>
    <cellStyle name="표준 5" xfId="185" xr:uid="{00000000-0005-0000-0000-0000E0120000}"/>
    <cellStyle name="표준 5 10" xfId="3970" xr:uid="{00000000-0005-0000-0000-0000E1120000}"/>
    <cellStyle name="표준 5 11" xfId="3971" xr:uid="{00000000-0005-0000-0000-0000E2120000}"/>
    <cellStyle name="표준 5 12" xfId="3972" xr:uid="{00000000-0005-0000-0000-0000E3120000}"/>
    <cellStyle name="표준 5 13" xfId="3973" xr:uid="{00000000-0005-0000-0000-0000E4120000}"/>
    <cellStyle name="표준 5 14" xfId="3974" xr:uid="{00000000-0005-0000-0000-0000E5120000}"/>
    <cellStyle name="표준 5 15" xfId="3975" xr:uid="{00000000-0005-0000-0000-0000E6120000}"/>
    <cellStyle name="표준 5 16" xfId="3976" xr:uid="{00000000-0005-0000-0000-0000E7120000}"/>
    <cellStyle name="표준 5 17" xfId="4394" xr:uid="{00000000-0005-0000-0000-0000E8120000}"/>
    <cellStyle name="표준 5 2" xfId="3977" xr:uid="{00000000-0005-0000-0000-0000E9120000}"/>
    <cellStyle name="표준 5 2 2" xfId="4358" xr:uid="{00000000-0005-0000-0000-0000EA120000}"/>
    <cellStyle name="표준 5 2 2 2" xfId="4883" xr:uid="{00000000-0005-0000-0000-0000EB120000}"/>
    <cellStyle name="표준 5 3" xfId="3978" xr:uid="{00000000-0005-0000-0000-0000EC120000}"/>
    <cellStyle name="표준 5 3 2" xfId="4181" xr:uid="{00000000-0005-0000-0000-0000ED120000}"/>
    <cellStyle name="표준 5 4" xfId="3979" xr:uid="{00000000-0005-0000-0000-0000EE120000}"/>
    <cellStyle name="표준 5 5" xfId="3980" xr:uid="{00000000-0005-0000-0000-0000EF120000}"/>
    <cellStyle name="표준 5 6" xfId="3981" xr:uid="{00000000-0005-0000-0000-0000F0120000}"/>
    <cellStyle name="표준 5 7" xfId="3982" xr:uid="{00000000-0005-0000-0000-0000F1120000}"/>
    <cellStyle name="표준 5 8" xfId="3983" xr:uid="{00000000-0005-0000-0000-0000F2120000}"/>
    <cellStyle name="표준 5 9" xfId="3984" xr:uid="{00000000-0005-0000-0000-0000F3120000}"/>
    <cellStyle name="표준 5_루트로닉 정보시스템 견적서2차" xfId="3985" xr:uid="{00000000-0005-0000-0000-0000F4120000}"/>
    <cellStyle name="표준 6" xfId="3986" xr:uid="{00000000-0005-0000-0000-0000F5120000}"/>
    <cellStyle name="표준 6 2" xfId="3987" xr:uid="{00000000-0005-0000-0000-0000F6120000}"/>
    <cellStyle name="표준 6 2 2" xfId="4182" xr:uid="{00000000-0005-0000-0000-0000F7120000}"/>
    <cellStyle name="표준 6 3" xfId="4221" xr:uid="{00000000-0005-0000-0000-0000F8120000}"/>
    <cellStyle name="표준 6 3 2" xfId="4363" xr:uid="{00000000-0005-0000-0000-0000F9120000}"/>
    <cellStyle name="표준 6 4" xfId="4395" xr:uid="{00000000-0005-0000-0000-0000FA120000}"/>
    <cellStyle name="표준 6 5" xfId="4432" xr:uid="{00000000-0005-0000-0000-0000FB120000}"/>
    <cellStyle name="표준 7" xfId="3988" xr:uid="{00000000-0005-0000-0000-0000FC120000}"/>
    <cellStyle name="표준 7 2" xfId="3989" xr:uid="{00000000-0005-0000-0000-0000FD120000}"/>
    <cellStyle name="표준 7 3" xfId="4183" xr:uid="{00000000-0005-0000-0000-0000FE120000}"/>
    <cellStyle name="표준 73" xfId="3990" xr:uid="{00000000-0005-0000-0000-0000FF120000}"/>
    <cellStyle name="표준 8" xfId="3991" xr:uid="{00000000-0005-0000-0000-000000130000}"/>
    <cellStyle name="표준 8 2" xfId="3992" xr:uid="{00000000-0005-0000-0000-000001130000}"/>
    <cellStyle name="표준 8 3" xfId="4396" xr:uid="{00000000-0005-0000-0000-000002130000}"/>
    <cellStyle name="표준 9" xfId="3993" xr:uid="{00000000-0005-0000-0000-000003130000}"/>
    <cellStyle name="표준 9 2" xfId="3994" xr:uid="{00000000-0005-0000-0000-000004130000}"/>
    <cellStyle name="표준 9 3" xfId="3995" xr:uid="{00000000-0005-0000-0000-000005130000}"/>
    <cellStyle name="표준 9 4" xfId="4397" xr:uid="{00000000-0005-0000-0000-000006130000}"/>
    <cellStyle name="표준 9_090831_오공_ERP_견적서_(송부2)" xfId="3996" xr:uid="{00000000-0005-0000-0000-000007130000}"/>
    <cellStyle name="標準_01-10LEGACY進捗(商企）" xfId="4423" xr:uid="{00000000-0005-0000-0000-000008130000}"/>
    <cellStyle name="표준_파워넷K-System20020620회신1" xfId="4896" xr:uid="{00000000-0005-0000-0000-000009130000}"/>
    <cellStyle name="푤貫[0]_laroux" xfId="4424" xr:uid="{00000000-0005-0000-0000-00000A130000}"/>
    <cellStyle name="푤貫_laroux" xfId="4425" xr:uid="{00000000-0005-0000-0000-00000B130000}"/>
    <cellStyle name="하이퍼링크 10" xfId="3997" xr:uid="{00000000-0005-0000-0000-00000C130000}"/>
    <cellStyle name="하이퍼링크 11" xfId="3998" xr:uid="{00000000-0005-0000-0000-00000D130000}"/>
    <cellStyle name="하이퍼링크 2" xfId="3999" xr:uid="{00000000-0005-0000-0000-00000E130000}"/>
    <cellStyle name="하이퍼링크 2 2" xfId="4359" xr:uid="{00000000-0005-0000-0000-00000F130000}"/>
    <cellStyle name="하이퍼링크 2 3" xfId="4360" xr:uid="{00000000-0005-0000-0000-000010130000}"/>
    <cellStyle name="하이퍼링크 3" xfId="4000" xr:uid="{00000000-0005-0000-0000-000011130000}"/>
    <cellStyle name="하이퍼링크 3 2" xfId="4184" xr:uid="{00000000-0005-0000-0000-000012130000}"/>
    <cellStyle name="하이퍼링크 4" xfId="4001" xr:uid="{00000000-0005-0000-0000-000013130000}"/>
    <cellStyle name="하이퍼링크 5" xfId="4002" xr:uid="{00000000-0005-0000-0000-000014130000}"/>
    <cellStyle name="하이퍼링크 6" xfId="4003" xr:uid="{00000000-0005-0000-0000-000015130000}"/>
    <cellStyle name="하이퍼링크 7" xfId="4004" xr:uid="{00000000-0005-0000-0000-000016130000}"/>
    <cellStyle name="하이퍼링크 8" xfId="4005" xr:uid="{00000000-0005-0000-0000-000017130000}"/>
    <cellStyle name="하이퍼링크 9" xfId="4006" xr:uid="{00000000-0005-0000-0000-000018130000}"/>
    <cellStyle name="합계" xfId="4007" xr:uid="{00000000-0005-0000-0000-000019130000}"/>
    <cellStyle name="합계 2" xfId="4853" xr:uid="{00000000-0005-0000-0000-00001A130000}"/>
    <cellStyle name="합산" xfId="116" xr:uid="{00000000-0005-0000-0000-00001B130000}"/>
    <cellStyle name="桁区切り [0.00]_laroux" xfId="4008" xr:uid="{00000000-0005-0000-0000-00001C130000}"/>
    <cellStyle name="桁区切り_01-10LEGACY進捗(商企）" xfId="4426" xr:uid="{00000000-0005-0000-0000-00001D130000}"/>
    <cellStyle name="貨幣_KEYRPT" xfId="4009" xr:uid="{00000000-0005-0000-0000-00001E130000}"/>
    <cellStyle name="화폐기호" xfId="117" xr:uid="{00000000-0005-0000-0000-00001F130000}"/>
    <cellStyle name="화폐기호 2" xfId="4361" xr:uid="{00000000-0005-0000-0000-000020130000}"/>
    <cellStyle name="화폐기호 3" xfId="4427" xr:uid="{00000000-0005-0000-0000-000021130000}"/>
    <cellStyle name="화폐기호0" xfId="118" xr:uid="{00000000-0005-0000-0000-000022130000}"/>
    <cellStyle name="화폐기호0 2" xfId="4362" xr:uid="{00000000-0005-0000-0000-000023130000}"/>
    <cellStyle name="화폐기호0 3" xfId="4428" xr:uid="{00000000-0005-0000-0000-00002413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9944"/>
      <color rgb="FF33B752"/>
      <color rgb="FF259E64"/>
      <color rgb="FF007042"/>
      <color rgb="FFFFFF99"/>
      <color rgb="FFDCEAE6"/>
      <color rgb="FFCCFF99"/>
      <color rgb="FFF7EEDC"/>
      <color rgb="FF3BD18A"/>
      <color rgb="FF60DA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0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0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0</xdr:rowOff>
    </xdr:from>
    <xdr:to>
      <xdr:col>14</xdr:col>
      <xdr:colOff>0</xdr:colOff>
      <xdr:row>42</xdr:row>
      <xdr:rowOff>35517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F1EB581-CE47-4D6E-AC28-081AFDB8F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0"/>
          <a:ext cx="6342380" cy="9211902"/>
        </a:xfrm>
        <a:prstGeom prst="rect">
          <a:avLst/>
        </a:prstGeom>
      </xdr:spPr>
    </xdr:pic>
    <xdr:clientData/>
  </xdr:twoCellAnchor>
  <xdr:oneCellAnchor>
    <xdr:from>
      <xdr:col>11</xdr:col>
      <xdr:colOff>36128</xdr:colOff>
      <xdr:row>37</xdr:row>
      <xdr:rowOff>159223</xdr:rowOff>
    </xdr:from>
    <xdr:ext cx="1284826" cy="246563"/>
    <xdr:pic>
      <xdr:nvPicPr>
        <xdr:cNvPr id="4" name="그림 3">
          <a:extLst>
            <a:ext uri="{FF2B5EF4-FFF2-40B4-BE49-F238E27FC236}">
              <a16:creationId xmlns:a16="http://schemas.microsoft.com/office/drawing/2014/main" id="{0FA58B5C-A2C4-439F-85FB-AF0E6238C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3503" y="7969723"/>
          <a:ext cx="1284826" cy="246563"/>
        </a:xfrm>
        <a:prstGeom prst="rect">
          <a:avLst/>
        </a:prstGeom>
      </xdr:spPr>
    </xdr:pic>
    <xdr:clientData/>
  </xdr:oneCellAnchor>
  <xdr:twoCellAnchor>
    <xdr:from>
      <xdr:col>0</xdr:col>
      <xdr:colOff>255942</xdr:colOff>
      <xdr:row>36</xdr:row>
      <xdr:rowOff>36308</xdr:rowOff>
    </xdr:from>
    <xdr:to>
      <xdr:col>8</xdr:col>
      <xdr:colOff>378637</xdr:colOff>
      <xdr:row>40</xdr:row>
      <xdr:rowOff>689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2C27456C-3162-4EB2-80E8-FFDD4841A6AC}"/>
            </a:ext>
          </a:extLst>
        </xdr:cNvPr>
        <xdr:cNvGrpSpPr/>
      </xdr:nvGrpSpPr>
      <xdr:grpSpPr>
        <a:xfrm>
          <a:off x="255942" y="8974568"/>
          <a:ext cx="3879355" cy="848301"/>
          <a:chOff x="1370695" y="7304115"/>
          <a:chExt cx="3655133" cy="786859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96E740BD-6F46-A764-47B2-1ACA2C6B5C23}"/>
              </a:ext>
            </a:extLst>
          </xdr:cNvPr>
          <xdr:cNvSpPr txBox="1"/>
        </xdr:nvSpPr>
        <xdr:spPr>
          <a:xfrm>
            <a:off x="1370695" y="7504200"/>
            <a:ext cx="977803" cy="2535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ko-KR" sz="8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㈜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</a:rPr>
              <a:t>영림원소프트랩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DCCAB31-3017-C0A1-2441-44DDEE007DE9}"/>
              </a:ext>
            </a:extLst>
          </xdr:cNvPr>
          <xdr:cNvSpPr txBox="1"/>
        </xdr:nvSpPr>
        <xdr:spPr>
          <a:xfrm>
            <a:off x="1370695" y="7676222"/>
            <a:ext cx="2960762" cy="2656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indent="0"/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(07547)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</a:t>
            </a:r>
            <a:r>
              <a:rPr lang="ko-KR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서울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시</a:t>
            </a:r>
            <a:r>
              <a:rPr lang="ko-KR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강서구 양천로 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583 (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염창동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, 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우림블루나인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) A-23F</a:t>
            </a:r>
            <a:endParaRPr lang="ko-KR" altLang="ko-KR" sz="800" b="0" kern="100" baseline="0">
              <a:solidFill>
                <a:schemeClr val="bg1"/>
              </a:solidFill>
              <a:latin typeface="+mn-ea"/>
              <a:ea typeface="+mn-ea"/>
              <a:cs typeface="+mn-cs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0B5248F-271D-FF4C-C2AB-60B1A3C28AEA}"/>
              </a:ext>
            </a:extLst>
          </xdr:cNvPr>
          <xdr:cNvSpPr txBox="1"/>
        </xdr:nvSpPr>
        <xdr:spPr>
          <a:xfrm>
            <a:off x="1370695" y="7838807"/>
            <a:ext cx="3655133" cy="2521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indent="0"/>
            <a:r>
              <a:rPr lang="ko-KR" altLang="en-US" sz="800" b="1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대표전화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 02-2093-1100  I  </a:t>
            </a:r>
            <a:r>
              <a:rPr lang="ko-KR" altLang="en-US" sz="800" b="1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고객지원문의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 1688-1155  I  </a:t>
            </a:r>
            <a:r>
              <a:rPr lang="en-US" altLang="ko-KR" sz="800" b="1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FAX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 02-6280-3128</a:t>
            </a:r>
            <a:endParaRPr lang="ko-KR" altLang="ko-KR" sz="800" b="0" kern="100" baseline="0">
              <a:solidFill>
                <a:schemeClr val="bg1"/>
              </a:solidFill>
              <a:latin typeface="+mn-ea"/>
              <a:ea typeface="+mn-ea"/>
              <a:cs typeface="+mn-cs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FFCFE3E-26AD-743B-D673-5DB9B12223CE}"/>
              </a:ext>
            </a:extLst>
          </xdr:cNvPr>
          <xdr:cNvSpPr txBox="1"/>
        </xdr:nvSpPr>
        <xdr:spPr>
          <a:xfrm>
            <a:off x="1370695" y="7304115"/>
            <a:ext cx="815049" cy="25337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800" b="1" kern="0" baseline="0">
                <a:solidFill>
                  <a:schemeClr val="bg1"/>
                </a:solidFill>
                <a:effectLst/>
                <a:latin typeface="+mj-ea"/>
                <a:ea typeface="+mj-ea"/>
                <a:cs typeface="+mn-cs"/>
              </a:rPr>
              <a:t>CONTACT</a:t>
            </a:r>
            <a:r>
              <a:rPr lang="ko-KR" altLang="en-US" sz="800" b="1" kern="0" baseline="0">
                <a:solidFill>
                  <a:schemeClr val="bg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800" b="1" kern="0" baseline="0">
                <a:solidFill>
                  <a:schemeClr val="bg1"/>
                </a:solidFill>
                <a:effectLst/>
                <a:latin typeface="+mj-ea"/>
                <a:ea typeface="+mj-ea"/>
                <a:cs typeface="+mn-cs"/>
              </a:rPr>
              <a:t>US</a:t>
            </a:r>
            <a:endParaRPr lang="ko-KR" altLang="en-US" sz="800" b="1" kern="100" baseline="0">
              <a:solidFill>
                <a:schemeClr val="bg1"/>
              </a:solidFill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0</xdr:col>
      <xdr:colOff>0</xdr:colOff>
      <xdr:row>11</xdr:row>
      <xdr:rowOff>89646</xdr:rowOff>
    </xdr:from>
    <xdr:to>
      <xdr:col>15</xdr:col>
      <xdr:colOff>8965</xdr:colOff>
      <xdr:row>15</xdr:row>
      <xdr:rowOff>57090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487B062-8D1E-4F8B-8E14-AD300131AFD1}"/>
            </a:ext>
          </a:extLst>
        </xdr:cNvPr>
        <xdr:cNvSpPr txBox="1"/>
      </xdr:nvSpPr>
      <xdr:spPr>
        <a:xfrm>
          <a:off x="0" y="2404221"/>
          <a:ext cx="7495615" cy="8056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3000" b="1">
              <a:solidFill>
                <a:srgbClr val="035230"/>
              </a:solidFill>
              <a:latin typeface="+mn-ea"/>
              <a:ea typeface="+mn-ea"/>
            </a:rPr>
            <a:t>ERP</a:t>
          </a:r>
          <a:r>
            <a:rPr lang="en-US" altLang="ko-KR" sz="3000" b="1" baseline="0">
              <a:solidFill>
                <a:srgbClr val="035230"/>
              </a:solidFill>
              <a:latin typeface="+mn-ea"/>
              <a:ea typeface="+mn-ea"/>
            </a:rPr>
            <a:t> </a:t>
          </a:r>
          <a:r>
            <a:rPr lang="ko-KR" altLang="en-US" sz="3000" b="1" baseline="0">
              <a:solidFill>
                <a:srgbClr val="035230"/>
              </a:solidFill>
              <a:latin typeface="+mn-ea"/>
              <a:ea typeface="+mn-ea"/>
            </a:rPr>
            <a:t>고도화 </a:t>
          </a:r>
          <a:r>
            <a:rPr lang="ko-KR" altLang="en-US" sz="3000" b="1">
              <a:solidFill>
                <a:srgbClr val="035230"/>
              </a:solidFill>
              <a:latin typeface="+mn-ea"/>
              <a:ea typeface="+mn-ea"/>
            </a:rPr>
            <a:t>견적서</a:t>
          </a:r>
          <a:endParaRPr lang="en-US" altLang="ko-KR" sz="3000" b="1">
            <a:solidFill>
              <a:srgbClr val="03523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10</xdr:col>
      <xdr:colOff>419100</xdr:colOff>
      <xdr:row>38</xdr:row>
      <xdr:rowOff>152400</xdr:rowOff>
    </xdr:from>
    <xdr:to>
      <xdr:col>14</xdr:col>
      <xdr:colOff>53340</xdr:colOff>
      <xdr:row>39</xdr:row>
      <xdr:rowOff>200797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0AD83B8-785D-45C0-957C-5A3ECDEAA748}"/>
            </a:ext>
          </a:extLst>
        </xdr:cNvPr>
        <xdr:cNvSpPr txBox="1"/>
      </xdr:nvSpPr>
      <xdr:spPr>
        <a:xfrm>
          <a:off x="5600700" y="8172450"/>
          <a:ext cx="1577340" cy="2579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1" kern="0" baseline="0">
              <a:solidFill>
                <a:schemeClr val="bg1"/>
              </a:solidFill>
              <a:effectLst/>
              <a:latin typeface="+mj-ea"/>
              <a:ea typeface="+mj-ea"/>
              <a:cs typeface="+mn-cs"/>
            </a:rPr>
            <a:t>http://www.ksystem.co.kr</a:t>
          </a:r>
          <a:endParaRPr lang="ko-KR" altLang="en-US" sz="800" b="1" kern="100" baseline="0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7</xdr:col>
      <xdr:colOff>107742</xdr:colOff>
      <xdr:row>29</xdr:row>
      <xdr:rowOff>134810</xdr:rowOff>
    </xdr:from>
    <xdr:ext cx="448783" cy="444549"/>
    <xdr:pic>
      <xdr:nvPicPr>
        <xdr:cNvPr id="12" name="그림 11">
          <a:extLst>
            <a:ext uri="{FF2B5EF4-FFF2-40B4-BE49-F238E27FC236}">
              <a16:creationId xmlns:a16="http://schemas.microsoft.com/office/drawing/2014/main" id="{53E3576A-D372-4798-8B36-39FC02F92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0062" y="5834570"/>
          <a:ext cx="448783" cy="444549"/>
        </a:xfrm>
        <a:prstGeom prst="rect">
          <a:avLst/>
        </a:prstGeom>
      </xdr:spPr>
    </xdr:pic>
    <xdr:clientData/>
  </xdr:oneCellAnchor>
  <xdr:oneCellAnchor>
    <xdr:from>
      <xdr:col>8</xdr:col>
      <xdr:colOff>340363</xdr:colOff>
      <xdr:row>29</xdr:row>
      <xdr:rowOff>170041</xdr:rowOff>
    </xdr:from>
    <xdr:ext cx="681987" cy="466217"/>
    <xdr:pic>
      <xdr:nvPicPr>
        <xdr:cNvPr id="13" name="그림 12">
          <a:extLst>
            <a:ext uri="{FF2B5EF4-FFF2-40B4-BE49-F238E27FC236}">
              <a16:creationId xmlns:a16="http://schemas.microsoft.com/office/drawing/2014/main" id="{B5F2D8E4-BFAF-43D4-8E0C-A9D3B97A4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7023" y="5869801"/>
          <a:ext cx="681987" cy="466217"/>
        </a:xfrm>
        <a:prstGeom prst="rect">
          <a:avLst/>
        </a:prstGeom>
      </xdr:spPr>
    </xdr:pic>
    <xdr:clientData/>
  </xdr:oneCellAnchor>
  <xdr:oneCellAnchor>
    <xdr:from>
      <xdr:col>0</xdr:col>
      <xdr:colOff>161925</xdr:colOff>
      <xdr:row>0</xdr:row>
      <xdr:rowOff>183075</xdr:rowOff>
    </xdr:from>
    <xdr:ext cx="1875573" cy="342938"/>
    <xdr:pic>
      <xdr:nvPicPr>
        <xdr:cNvPr id="14" name="그림 13">
          <a:extLst>
            <a:ext uri="{FF2B5EF4-FFF2-40B4-BE49-F238E27FC236}">
              <a16:creationId xmlns:a16="http://schemas.microsoft.com/office/drawing/2014/main" id="{BFCDE998-580B-47A0-95A6-7F231ED9D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83075"/>
          <a:ext cx="1875573" cy="342938"/>
        </a:xfrm>
        <a:prstGeom prst="rect">
          <a:avLst/>
        </a:prstGeom>
      </xdr:spPr>
    </xdr:pic>
    <xdr:clientData/>
  </xdr:oneCellAnchor>
  <xdr:twoCellAnchor editAs="oneCell">
    <xdr:from>
      <xdr:col>8</xdr:col>
      <xdr:colOff>133350</xdr:colOff>
      <xdr:row>43</xdr:row>
      <xdr:rowOff>228600</xdr:rowOff>
    </xdr:from>
    <xdr:to>
      <xdr:col>13</xdr:col>
      <xdr:colOff>0</xdr:colOff>
      <xdr:row>45</xdr:row>
      <xdr:rowOff>171450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E47AEA4-BF58-F6C2-4063-7EF89A868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9296400"/>
          <a:ext cx="227647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40640</xdr:colOff>
      <xdr:row>30</xdr:row>
      <xdr:rowOff>10633</xdr:rowOff>
    </xdr:from>
    <xdr:to>
      <xdr:col>13</xdr:col>
      <xdr:colOff>285185</xdr:colOff>
      <xdr:row>31</xdr:row>
      <xdr:rowOff>174017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07FE893-1661-BF4C-E2E5-E4B8BB666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00320" y="5893273"/>
          <a:ext cx="1122750" cy="426274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46</xdr:row>
      <xdr:rowOff>196850</xdr:rowOff>
    </xdr:from>
    <xdr:to>
      <xdr:col>15</xdr:col>
      <xdr:colOff>6351</xdr:colOff>
      <xdr:row>48</xdr:row>
      <xdr:rowOff>25260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E1C2229-ED6F-473E-B373-63AAEFA6CD26}"/>
            </a:ext>
          </a:extLst>
        </xdr:cNvPr>
        <xdr:cNvSpPr txBox="1"/>
      </xdr:nvSpPr>
      <xdr:spPr>
        <a:xfrm>
          <a:off x="1" y="10191750"/>
          <a:ext cx="6661150" cy="266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</a:rPr>
            <a:t>㈜영림원소프트랩은 직원의 급여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</a:rPr>
            <a:t>1%(</a:t>
          </a:r>
          <a:r>
            <a:rPr lang="ko-KR" altLang="en-US" sz="900" b="1">
              <a:solidFill>
                <a:schemeClr val="tx1"/>
              </a:solidFill>
              <a:latin typeface="+mn-ea"/>
              <a:ea typeface="+mn-ea"/>
            </a:rPr>
            <a:t>일프로 클럽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</a:rPr>
            <a:t>)</a:t>
          </a:r>
          <a:r>
            <a:rPr lang="ko-KR" altLang="en-US" sz="900" b="1">
              <a:solidFill>
                <a:schemeClr val="tx1"/>
              </a:solidFill>
              <a:latin typeface="+mn-ea"/>
              <a:ea typeface="+mn-ea"/>
            </a:rPr>
            <a:t>를 기금으로 조성하여 학생들에게 장학금 지원합니다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</a:rPr>
            <a:t>. </a:t>
          </a:r>
          <a:endParaRPr lang="ko-KR" altLang="en-US" sz="9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592153</xdr:colOff>
      <xdr:row>4</xdr:row>
      <xdr:rowOff>38100</xdr:rowOff>
    </xdr:from>
    <xdr:to>
      <xdr:col>7</xdr:col>
      <xdr:colOff>2403</xdr:colOff>
      <xdr:row>5</xdr:row>
      <xdr:rowOff>175215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DBF3FA5-FD21-C291-C73B-ADE379C7D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2978" y="1600200"/>
          <a:ext cx="1851825" cy="36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224117</xdr:colOff>
      <xdr:row>15</xdr:row>
      <xdr:rowOff>369794</xdr:rowOff>
    </xdr:from>
    <xdr:to>
      <xdr:col>16</xdr:col>
      <xdr:colOff>518110</xdr:colOff>
      <xdr:row>18</xdr:row>
      <xdr:rowOff>379175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8AD1AF9-672F-4198-84F0-2512940E6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0617" y="11441206"/>
          <a:ext cx="3980952" cy="11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1</xdr:row>
      <xdr:rowOff>47625</xdr:rowOff>
    </xdr:from>
    <xdr:to>
      <xdr:col>5</xdr:col>
      <xdr:colOff>904875</xdr:colOff>
      <xdr:row>1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07E6A33-43FE-4287-8AC9-6243CF498D2C}"/>
            </a:ext>
          </a:extLst>
        </xdr:cNvPr>
        <xdr:cNvSpPr>
          <a:spLocks noChangeShapeType="1"/>
        </xdr:cNvSpPr>
      </xdr:nvSpPr>
      <xdr:spPr bwMode="auto">
        <a:xfrm flipV="1">
          <a:off x="2028825" y="409575"/>
          <a:ext cx="3552825" cy="9525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1181100</xdr:colOff>
      <xdr:row>3</xdr:row>
      <xdr:rowOff>28575</xdr:rowOff>
    </xdr:from>
    <xdr:to>
      <xdr:col>8</xdr:col>
      <xdr:colOff>0</xdr:colOff>
      <xdr:row>6</xdr:row>
      <xdr:rowOff>219075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A111CE4-00C2-4388-9771-797B2158B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962025"/>
          <a:ext cx="174307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1272540</xdr:colOff>
      <xdr:row>20</xdr:row>
      <xdr:rowOff>265430</xdr:rowOff>
    </xdr:from>
    <xdr:to>
      <xdr:col>5</xdr:col>
      <xdr:colOff>49281</xdr:colOff>
      <xdr:row>22</xdr:row>
      <xdr:rowOff>59645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D571599-DA69-40BA-8D07-6A77449DB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1740" y="6056630"/>
          <a:ext cx="1710441" cy="3657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1</xdr:row>
      <xdr:rowOff>47625</xdr:rowOff>
    </xdr:from>
    <xdr:to>
      <xdr:col>5</xdr:col>
      <xdr:colOff>904875</xdr:colOff>
      <xdr:row>1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A277BA2-CB60-4B3D-8864-DB61311BAF2E}"/>
            </a:ext>
          </a:extLst>
        </xdr:cNvPr>
        <xdr:cNvSpPr>
          <a:spLocks noChangeShapeType="1"/>
        </xdr:cNvSpPr>
      </xdr:nvSpPr>
      <xdr:spPr bwMode="auto">
        <a:xfrm flipV="1">
          <a:off x="2028825" y="409575"/>
          <a:ext cx="3552825" cy="9525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1181100</xdr:colOff>
      <xdr:row>3</xdr:row>
      <xdr:rowOff>28575</xdr:rowOff>
    </xdr:from>
    <xdr:to>
      <xdr:col>8</xdr:col>
      <xdr:colOff>0</xdr:colOff>
      <xdr:row>6</xdr:row>
      <xdr:rowOff>219075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C7B4226-7A18-40CC-A162-F0D407366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962025"/>
          <a:ext cx="174307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1272540</xdr:colOff>
      <xdr:row>20</xdr:row>
      <xdr:rowOff>259080</xdr:rowOff>
    </xdr:from>
    <xdr:to>
      <xdr:col>5</xdr:col>
      <xdr:colOff>49281</xdr:colOff>
      <xdr:row>22</xdr:row>
      <xdr:rowOff>57105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F130795-5A2F-47D0-BF5E-5244E49A1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1740" y="5974080"/>
          <a:ext cx="1710441" cy="3619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1</xdr:row>
      <xdr:rowOff>47625</xdr:rowOff>
    </xdr:from>
    <xdr:to>
      <xdr:col>5</xdr:col>
      <xdr:colOff>904875</xdr:colOff>
      <xdr:row>1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6A286DE-61BE-4044-9320-5AFD11DF81A7}"/>
            </a:ext>
          </a:extLst>
        </xdr:cNvPr>
        <xdr:cNvSpPr>
          <a:spLocks noChangeShapeType="1"/>
        </xdr:cNvSpPr>
      </xdr:nvSpPr>
      <xdr:spPr bwMode="auto">
        <a:xfrm flipV="1">
          <a:off x="2028825" y="409575"/>
          <a:ext cx="3552825" cy="9525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1181100</xdr:colOff>
      <xdr:row>3</xdr:row>
      <xdr:rowOff>28575</xdr:rowOff>
    </xdr:from>
    <xdr:to>
      <xdr:col>8</xdr:col>
      <xdr:colOff>0</xdr:colOff>
      <xdr:row>6</xdr:row>
      <xdr:rowOff>219075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9C2E237-43CE-4AB1-9100-6C57D35E8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962025"/>
          <a:ext cx="174307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1257300</xdr:colOff>
      <xdr:row>20</xdr:row>
      <xdr:rowOff>220980</xdr:rowOff>
    </xdr:from>
    <xdr:to>
      <xdr:col>5</xdr:col>
      <xdr:colOff>34041</xdr:colOff>
      <xdr:row>22</xdr:row>
      <xdr:rowOff>19005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9B1304E-E0AA-4C41-9805-8CC34681D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0" y="5935980"/>
          <a:ext cx="1710441" cy="361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49688;\&#49688;&#47049;&#48143;&#45800;&#44032;&#49328;&#52636;&#49436;\&#44397;&#46020;ITS(2&#45800;&#44228;)\&#49688;&#47049;&#48143;&#45800;&#44032;&#49328;&#52636;&#49436;\10%20&#54788;&#51109;\&#45224;&#54644;&#54868;&#54617;\2&#52264;&#45380;&#46020;%20&#49324;&#50629;&#48372;&#44256;&#49436;\&#53804;&#51088;&#48708;&#50857;%20&#52264;&#51060;&#48516;&#4943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6041;&#47197;\&#50724;&#46041;&#47197;\MSOFFICE\EXCEL\data\DATA\&#50504;&#51222;&#44592;&#4436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id.kepco.net:82/common/&#48513;&#51204;-&#51652;&#50504;(&#4944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수투입과금액"/>
      <sheetName val="공수투입과금액 (실행)"/>
      <sheetName val="인건비증감표(1차년도)"/>
      <sheetName val="인건비증감표(2차년도) "/>
      <sheetName val="차이분석(MAIN ; total base)"/>
      <sheetName val="HW,DB,PKG"/>
      <sheetName val="1차년 계약서 인력투입근거"/>
      <sheetName val="11.24보고서 제출근거"/>
      <sheetName val="Sheet3"/>
      <sheetName val="N賃率-職"/>
      <sheetName val="일위대가"/>
      <sheetName val="별첨#1.개발공수 산정 기준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휴전작업1"/>
      <sheetName val="휴전작업2"/>
      <sheetName val="착공안전1"/>
      <sheetName val="착공안전2"/>
      <sheetName val="안전회의록"/>
      <sheetName val="공사내역서"/>
      <sheetName val="노임적용기준"/>
      <sheetName val="공사설계서"/>
      <sheetName val="운반비"/>
      <sheetName val="공종,품셈"/>
      <sheetName val="준공검사보고서"/>
      <sheetName val="공사정산"/>
      <sheetName val="공사비예산서"/>
      <sheetName val="업무처리전"/>
      <sheetName val="보조계정"/>
      <sheetName val="공사철"/>
      <sheetName val="공사계획서"/>
      <sheetName val="관련시방"/>
      <sheetName val="공정표"/>
      <sheetName val="공사설명서"/>
      <sheetName val="N賃率-職"/>
      <sheetName val="20관리비율"/>
      <sheetName val="공종단가"/>
      <sheetName val="선로수량집계"/>
      <sheetName val="장비수량집계"/>
      <sheetName val="지장수량집계"/>
      <sheetName val="철거"/>
      <sheetName val="내역서"/>
      <sheetName val="I一般比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공구분할비교"/>
      <sheetName val="예산서"/>
      <sheetName val="Sheet3"/>
      <sheetName val="설계세부요약"/>
      <sheetName val=" 예산조서"/>
      <sheetName val="예산조서산출"/>
      <sheetName val="공사내역표"/>
      <sheetName val="감사조치요구"/>
      <sheetName val="공종단가,품셈총괄"/>
      <sheetName val="Sheet2"/>
      <sheetName val="품셈"/>
      <sheetName val="품셈1(삭도)"/>
      <sheetName val="부표총괄표"/>
      <sheetName val="부표"/>
      <sheetName val="별총괄"/>
      <sheetName val="별 표"/>
      <sheetName val="별표(삭도1)"/>
      <sheetName val="산돌쌓기"/>
      <sheetName val="돌망태"/>
      <sheetName val="호형"/>
      <sheetName val="돌흙막"/>
      <sheetName val="떼수로"/>
      <sheetName val="떼흙막"/>
      <sheetName val="마대"/>
      <sheetName val="6급떼"/>
      <sheetName val="잣나무"/>
      <sheetName val="통수로"/>
      <sheetName val=" 수량집계표"/>
      <sheetName val="1.사급 자재"/>
      <sheetName val=" 2.지입자재"/>
      <sheetName val="3. 자재운반중량"/>
      <sheetName val=" 4.철근수량"/>
      <sheetName val="5.토공수량집계표"/>
      <sheetName val="6.토공수량산출"/>
      <sheetName val=" 7.구조물수량집계"/>
      <sheetName val=" 8.단면도"/>
      <sheetName val="8-1.단면치수"/>
      <sheetName val=" 9.구조물수량산출"/>
      <sheetName val=" 10.산림훼적지복구(삭도구간삭제)"/>
      <sheetName val="10-1.부지경사"/>
      <sheetName val="11. 농지훼손지복구"/>
      <sheetName val=" 12.농로자갈부설"/>
      <sheetName val="마.진입로개설조사서"/>
      <sheetName val=" 15.보상비산출"/>
      <sheetName val="마. 벌목체적산출"/>
      <sheetName val="15-1. 목책설치"/>
      <sheetName val="16.진입로복구"/>
      <sheetName val="17.철탑부지복구"/>
      <sheetName val="18.가적치"/>
      <sheetName val="19.토사복토 "/>
      <sheetName val="20.기초보강"/>
      <sheetName val="별표(삭도2)"/>
      <sheetName val="21삭도자재운반"/>
      <sheetName val="22.삭도구간검토(적용)"/>
      <sheetName val="측량용역대가"/>
      <sheetName val="삭도요구현황(당초)"/>
      <sheetName val="산림훼손적지복구(당초)"/>
      <sheetName val="진입로개설조사(당초)"/>
      <sheetName val="품(삭제)"/>
      <sheetName val="부표(삭제)"/>
      <sheetName val="부표총괄표(삭제)"/>
      <sheetName val="바. 벌목 산지집재(삭제)"/>
      <sheetName val="설계보고"/>
      <sheetName val="설계요약"/>
      <sheetName val="N賃率-職"/>
      <sheetName val="신부서코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44000" tIns="46800" rIns="90000" bIns="468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44000" tIns="46800" rIns="90000" bIns="4680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jmkim2@ksystem.co.k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ekim@ksystem.co.kr" TargetMode="External"/><Relationship Id="rId1" Type="http://schemas.openxmlformats.org/officeDocument/2006/relationships/hyperlink" Target="mailto:jmkim2@ksystem.co.kr" TargetMode="External"/><Relationship Id="rId4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ekim@ksystem.co.kr" TargetMode="External"/><Relationship Id="rId1" Type="http://schemas.openxmlformats.org/officeDocument/2006/relationships/hyperlink" Target="mailto:jmkim2@ksystem.co.kr" TargetMode="External"/><Relationship Id="rId4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mailto:ekim@ksystem.co.kr" TargetMode="External"/><Relationship Id="rId1" Type="http://schemas.openxmlformats.org/officeDocument/2006/relationships/hyperlink" Target="mailto:jmkim2@ksystem.co.kr" TargetMode="Externa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C3A8-3BDA-4C07-9E7D-FB5551FA1646}">
  <dimension ref="A1:Q48"/>
  <sheetViews>
    <sheetView showGridLines="0" view="pageBreakPreview" zoomScaleNormal="90" zoomScaleSheetLayoutView="100" zoomScalePageLayoutView="66" workbookViewId="0">
      <selection activeCell="R16" sqref="R16"/>
    </sheetView>
  </sheetViews>
  <sheetFormatPr defaultColWidth="8.8984375" defaultRowHeight="17.399999999999999"/>
  <cols>
    <col min="1" max="6" width="5.69921875" style="18" customWidth="1"/>
    <col min="7" max="7" width="9.3984375" style="18" customWidth="1"/>
    <col min="8" max="13" width="5.69921875" style="18" customWidth="1"/>
    <col min="14" max="14" width="5.59765625" style="18" customWidth="1"/>
    <col min="15" max="15" width="4.3984375" style="18" hidden="1" customWidth="1"/>
    <col min="16" max="16" width="5.69921875" style="18" customWidth="1"/>
    <col min="17" max="17" width="18.296875" style="18" bestFit="1" customWidth="1"/>
    <col min="18" max="22" width="10.69921875" style="18" customWidth="1"/>
    <col min="23" max="16384" width="8.8984375" style="18"/>
  </cols>
  <sheetData>
    <row r="1" spans="1:17">
      <c r="A1" s="13"/>
      <c r="B1" s="14"/>
      <c r="C1" s="14"/>
      <c r="D1" s="14"/>
      <c r="E1" s="14"/>
      <c r="F1" s="14"/>
      <c r="G1" s="14"/>
      <c r="H1" s="14"/>
      <c r="I1" s="14"/>
      <c r="J1" s="14"/>
      <c r="K1" s="15"/>
      <c r="L1" s="16"/>
      <c r="M1" s="16"/>
      <c r="N1" s="16"/>
      <c r="O1" s="17"/>
    </row>
    <row r="2" spans="1:17">
      <c r="A2" s="19"/>
      <c r="K2" s="222"/>
      <c r="L2" s="223"/>
      <c r="M2" s="223"/>
      <c r="N2" s="223"/>
      <c r="O2" s="20"/>
      <c r="Q2" s="209" t="s">
        <v>174</v>
      </c>
    </row>
    <row r="3" spans="1:17">
      <c r="A3" s="19"/>
      <c r="O3" s="20"/>
    </row>
    <row r="4" spans="1:17">
      <c r="A4" s="19"/>
      <c r="O4" s="20"/>
    </row>
    <row r="5" spans="1:17" ht="19.2">
      <c r="A5" s="19"/>
      <c r="D5" s="21"/>
      <c r="O5" s="20"/>
    </row>
    <row r="6" spans="1:17">
      <c r="A6" s="19"/>
      <c r="O6" s="20"/>
    </row>
    <row r="7" spans="1:17">
      <c r="A7" s="19"/>
      <c r="M7" s="22"/>
      <c r="O7" s="20"/>
    </row>
    <row r="8" spans="1:17">
      <c r="A8" s="19"/>
      <c r="O8" s="20"/>
    </row>
    <row r="9" spans="1:17" ht="64.95" customHeight="1">
      <c r="A9" s="19"/>
      <c r="B9" s="23"/>
      <c r="O9" s="20"/>
    </row>
    <row r="10" spans="1:17" ht="16.5" customHeight="1">
      <c r="A10" s="224" t="str">
        <f>종합!A4</f>
        <v>㈜우원기술</v>
      </c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6"/>
    </row>
    <row r="11" spans="1:17" ht="57.6" customHeight="1">
      <c r="A11" s="224"/>
      <c r="B11" s="225"/>
      <c r="C11" s="225"/>
      <c r="D11" s="225"/>
      <c r="E11" s="225"/>
      <c r="F11" s="225"/>
      <c r="G11" s="225"/>
      <c r="H11" s="225"/>
      <c r="I11" s="225"/>
      <c r="J11" s="225"/>
      <c r="K11" s="225"/>
      <c r="L11" s="225"/>
      <c r="M11" s="225"/>
      <c r="N11" s="225"/>
      <c r="O11" s="226"/>
    </row>
    <row r="12" spans="1:17" ht="16.5" customHeight="1">
      <c r="A12" s="224"/>
      <c r="B12" s="225"/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6"/>
    </row>
    <row r="13" spans="1:17" ht="16.5" customHeight="1">
      <c r="A13" s="19"/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O13" s="20"/>
    </row>
    <row r="14" spans="1:17" ht="16.5" customHeight="1">
      <c r="A14" s="19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O14" s="20"/>
    </row>
    <row r="15" spans="1:17" ht="16.5" customHeight="1">
      <c r="A15" s="19"/>
      <c r="C15" s="227"/>
      <c r="D15" s="227"/>
      <c r="E15" s="227"/>
      <c r="F15" s="227"/>
      <c r="G15" s="227"/>
      <c r="H15" s="227"/>
      <c r="I15" s="227"/>
      <c r="J15" s="227"/>
      <c r="K15" s="227"/>
      <c r="L15" s="227"/>
      <c r="O15" s="20"/>
    </row>
    <row r="16" spans="1:17" ht="16.5" customHeight="1">
      <c r="A16" s="19"/>
      <c r="D16" s="24"/>
      <c r="E16" s="24"/>
      <c r="F16" s="24"/>
      <c r="G16" s="24"/>
      <c r="H16" s="24"/>
      <c r="I16" s="24"/>
      <c r="J16" s="24"/>
      <c r="O16" s="20"/>
    </row>
    <row r="17" spans="1:15" ht="16.5" customHeight="1">
      <c r="A17" s="19"/>
      <c r="D17" s="24"/>
      <c r="E17" s="24"/>
      <c r="F17" s="24"/>
      <c r="G17" s="24"/>
      <c r="H17" s="24"/>
      <c r="I17" s="24"/>
      <c r="J17" s="24"/>
      <c r="O17" s="20"/>
    </row>
    <row r="18" spans="1:15" ht="16.5" customHeight="1">
      <c r="A18" s="19"/>
      <c r="D18" s="24"/>
      <c r="E18" s="24"/>
      <c r="F18" s="24"/>
      <c r="G18" s="24"/>
      <c r="H18" s="24"/>
      <c r="I18" s="24"/>
      <c r="J18" s="24"/>
      <c r="O18" s="20"/>
    </row>
    <row r="19" spans="1:15" ht="16.5" customHeight="1">
      <c r="A19" s="19"/>
      <c r="D19" s="24"/>
      <c r="E19" s="24"/>
      <c r="F19" s="24"/>
      <c r="G19" s="24"/>
      <c r="H19" s="24"/>
      <c r="I19" s="24"/>
      <c r="J19" s="24"/>
      <c r="O19" s="20"/>
    </row>
    <row r="20" spans="1:15" ht="16.5" customHeight="1">
      <c r="A20" s="19"/>
      <c r="D20" s="24"/>
      <c r="E20" s="24"/>
      <c r="F20" s="24"/>
      <c r="G20" s="24"/>
      <c r="H20" s="24"/>
      <c r="I20" s="24"/>
      <c r="J20" s="24"/>
      <c r="O20" s="20"/>
    </row>
    <row r="21" spans="1:15" ht="16.5" customHeight="1">
      <c r="A21" s="19"/>
      <c r="D21" s="24"/>
      <c r="E21" s="24"/>
      <c r="F21" s="24"/>
      <c r="G21" s="24"/>
      <c r="H21" s="24"/>
      <c r="I21" s="24"/>
      <c r="J21" s="24"/>
      <c r="O21" s="20"/>
    </row>
    <row r="22" spans="1:15" ht="16.5" customHeight="1">
      <c r="A22" s="19"/>
      <c r="D22" s="24"/>
      <c r="E22" s="24"/>
      <c r="F22" s="24"/>
      <c r="G22" s="24"/>
      <c r="H22" s="24"/>
      <c r="I22" s="24"/>
      <c r="J22" s="24"/>
      <c r="O22" s="20"/>
    </row>
    <row r="23" spans="1:15" ht="16.5" customHeight="1">
      <c r="A23" s="19"/>
      <c r="D23" s="24"/>
      <c r="E23" s="24"/>
      <c r="F23" s="24"/>
      <c r="G23" s="24"/>
      <c r="H23" s="24"/>
      <c r="I23" s="24"/>
      <c r="J23" s="24"/>
      <c r="O23" s="20"/>
    </row>
    <row r="24" spans="1:15">
      <c r="A24" s="19"/>
      <c r="O24" s="20"/>
    </row>
    <row r="25" spans="1:15">
      <c r="A25" s="19"/>
      <c r="O25" s="20"/>
    </row>
    <row r="26" spans="1:15">
      <c r="A26" s="19"/>
      <c r="O26" s="20"/>
    </row>
    <row r="27" spans="1:15">
      <c r="A27" s="19"/>
      <c r="O27" s="20"/>
    </row>
    <row r="28" spans="1:15">
      <c r="A28" s="19"/>
      <c r="O28" s="20"/>
    </row>
    <row r="29" spans="1:15">
      <c r="A29" s="19"/>
      <c r="O29" s="20"/>
    </row>
    <row r="30" spans="1:15">
      <c r="A30" s="19"/>
      <c r="O30" s="20"/>
    </row>
    <row r="31" spans="1:15" ht="21">
      <c r="A31" s="19"/>
      <c r="D31" s="228"/>
      <c r="E31" s="228"/>
      <c r="F31" s="228"/>
      <c r="G31" s="228"/>
      <c r="H31" s="228"/>
      <c r="I31" s="228"/>
      <c r="J31" s="228"/>
      <c r="O31" s="20"/>
    </row>
    <row r="32" spans="1:15">
      <c r="A32" s="19"/>
      <c r="O32" s="20"/>
    </row>
    <row r="33" spans="1:15">
      <c r="A33" s="19"/>
      <c r="O33" s="20"/>
    </row>
    <row r="34" spans="1:15">
      <c r="A34" s="19"/>
      <c r="O34" s="20"/>
    </row>
    <row r="35" spans="1:15">
      <c r="A35" s="19"/>
      <c r="C35" s="229" t="s">
        <v>0</v>
      </c>
      <c r="D35" s="229"/>
      <c r="E35" s="229"/>
      <c r="O35" s="20"/>
    </row>
    <row r="36" spans="1:15">
      <c r="A36" s="19"/>
      <c r="O36" s="20"/>
    </row>
    <row r="37" spans="1:15">
      <c r="A37" s="19"/>
      <c r="O37" s="20"/>
    </row>
    <row r="38" spans="1:15">
      <c r="A38" s="19"/>
      <c r="C38" s="229"/>
      <c r="D38" s="229"/>
      <c r="E38" s="229"/>
      <c r="O38" s="20"/>
    </row>
    <row r="39" spans="1:15">
      <c r="A39" s="19"/>
      <c r="O39" s="20"/>
    </row>
    <row r="40" spans="1:15">
      <c r="A40" s="19"/>
      <c r="O40" s="20"/>
    </row>
    <row r="41" spans="1:15">
      <c r="A41" s="19"/>
      <c r="O41" s="20"/>
    </row>
    <row r="42" spans="1:15">
      <c r="A42" s="19"/>
      <c r="O42" s="20"/>
    </row>
    <row r="43" spans="1:15">
      <c r="A43" s="19"/>
      <c r="O43" s="20"/>
    </row>
    <row r="44" spans="1:15" ht="24.75" customHeight="1">
      <c r="A44" s="19"/>
      <c r="O44" s="20"/>
    </row>
    <row r="45" spans="1:15">
      <c r="A45" s="215"/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7"/>
    </row>
    <row r="46" spans="1:15">
      <c r="A46" s="218"/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7"/>
    </row>
    <row r="47" spans="1:15" ht="18" thickBot="1">
      <c r="A47" s="219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1"/>
    </row>
    <row r="48" spans="1:15" ht="39" customHeight="1"/>
  </sheetData>
  <mergeCells count="7">
    <mergeCell ref="A45:O47"/>
    <mergeCell ref="K2:N2"/>
    <mergeCell ref="A10:O12"/>
    <mergeCell ref="C13:L15"/>
    <mergeCell ref="D31:J31"/>
    <mergeCell ref="C35:E35"/>
    <mergeCell ref="C38:E38"/>
  </mergeCells>
  <phoneticPr fontId="13" type="noConversion"/>
  <pageMargins left="0.47244094488188981" right="0.43307086614173229" top="0.74803149606299213" bottom="0.35433070866141736" header="0.31496062992125984" footer="0.31496062992125984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C705-70C4-4287-B0CE-37560642CA6B}">
  <sheetPr>
    <pageSetUpPr fitToPage="1"/>
  </sheetPr>
  <dimension ref="A1:U32"/>
  <sheetViews>
    <sheetView showGridLines="0" view="pageBreakPreview" zoomScale="70" zoomScaleNormal="85" zoomScaleSheetLayoutView="70" workbookViewId="0">
      <selection activeCell="D13" sqref="D13"/>
    </sheetView>
  </sheetViews>
  <sheetFormatPr defaultColWidth="1.3984375" defaultRowHeight="21"/>
  <cols>
    <col min="1" max="1" width="14.3984375" style="43" customWidth="1"/>
    <col min="2" max="2" width="26.09765625" style="52" customWidth="1"/>
    <col min="3" max="3" width="10.3984375" style="52" customWidth="1"/>
    <col min="4" max="4" width="13.8984375" style="52" customWidth="1"/>
    <col min="5" max="5" width="14" style="53" customWidth="1"/>
    <col min="6" max="6" width="14.296875" style="43" customWidth="1"/>
    <col min="7" max="7" width="14.69921875" style="43" customWidth="1"/>
    <col min="8" max="8" width="3.09765625" style="43" customWidth="1"/>
    <col min="9" max="9" width="6.296875" style="43" customWidth="1"/>
    <col min="10" max="10" width="10.796875" style="43" customWidth="1"/>
    <col min="11" max="11" width="4.3984375" style="43" customWidth="1"/>
    <col min="12" max="12" width="13.8984375" style="43" customWidth="1"/>
    <col min="13" max="13" width="5.09765625" style="43" customWidth="1"/>
    <col min="14" max="14" width="12.69921875" style="43" bestFit="1" customWidth="1"/>
    <col min="15" max="15" width="5.3984375" style="43" bestFit="1" customWidth="1"/>
    <col min="16" max="16" width="9.796875" style="43" bestFit="1" customWidth="1"/>
    <col min="17" max="17" width="5.09765625" style="43" customWidth="1"/>
    <col min="18" max="18" width="12.296875" style="43" bestFit="1" customWidth="1"/>
    <col min="19" max="19" width="10.59765625" style="43" customWidth="1"/>
    <col min="20" max="35" width="20.796875" style="43" customWidth="1"/>
    <col min="36" max="16384" width="1.3984375" style="43"/>
  </cols>
  <sheetData>
    <row r="1" spans="1:21" ht="27.75" customHeight="1">
      <c r="A1" s="240" t="s">
        <v>1</v>
      </c>
      <c r="B1" s="240"/>
      <c r="C1" s="240"/>
      <c r="D1" s="240"/>
      <c r="E1" s="240"/>
      <c r="F1" s="240"/>
      <c r="G1" s="240"/>
      <c r="H1" s="240"/>
      <c r="J1" s="209" t="s">
        <v>174</v>
      </c>
    </row>
    <row r="2" spans="1:21" ht="39" customHeight="1">
      <c r="A2" s="241" t="s">
        <v>2</v>
      </c>
      <c r="B2" s="241"/>
      <c r="C2" s="241"/>
      <c r="D2" s="241"/>
      <c r="E2" s="241"/>
      <c r="F2" s="241"/>
      <c r="G2" s="241"/>
      <c r="H2" s="241"/>
    </row>
    <row r="3" spans="1:21" ht="39" customHeight="1">
      <c r="A3" s="76"/>
      <c r="B3" s="76"/>
      <c r="C3" s="76"/>
      <c r="D3" s="76"/>
      <c r="E3" s="76"/>
      <c r="F3" s="76"/>
      <c r="G3" s="76"/>
      <c r="H3" s="76"/>
      <c r="J3" s="210" t="s">
        <v>175</v>
      </c>
      <c r="U3" s="77"/>
    </row>
    <row r="4" spans="1:21" ht="17.399999999999999" customHeight="1">
      <c r="A4" s="242" t="s">
        <v>179</v>
      </c>
      <c r="B4" s="242"/>
      <c r="C4" s="242"/>
      <c r="D4" s="242"/>
      <c r="E4" s="242"/>
      <c r="F4" s="78"/>
      <c r="G4" s="78"/>
      <c r="H4" s="78"/>
      <c r="J4" s="43" t="s">
        <v>177</v>
      </c>
    </row>
    <row r="5" spans="1:21" ht="17.399999999999999" customHeight="1">
      <c r="A5" s="242"/>
      <c r="B5" s="242"/>
      <c r="C5" s="242"/>
      <c r="D5" s="242"/>
      <c r="E5" s="242"/>
      <c r="G5" s="79"/>
      <c r="H5" s="79"/>
      <c r="J5" s="43" t="s">
        <v>176</v>
      </c>
    </row>
    <row r="6" spans="1:21" ht="17.399999999999999" customHeight="1">
      <c r="A6" s="80" t="s">
        <v>3</v>
      </c>
      <c r="B6" s="81">
        <v>45766</v>
      </c>
      <c r="C6" s="46"/>
      <c r="D6" s="46"/>
      <c r="E6" s="46"/>
    </row>
    <row r="7" spans="1:21" ht="17.399999999999999" customHeight="1">
      <c r="A7" s="80"/>
      <c r="B7" s="29" t="s">
        <v>173</v>
      </c>
      <c r="C7" s="46"/>
      <c r="D7" s="46"/>
      <c r="E7" s="245" t="s">
        <v>4</v>
      </c>
      <c r="F7" s="245"/>
      <c r="G7" s="245"/>
      <c r="H7" s="129"/>
    </row>
    <row r="8" spans="1:21" ht="17.399999999999999" customHeight="1">
      <c r="A8" s="80" t="s">
        <v>5</v>
      </c>
      <c r="B8" s="115">
        <f>G15</f>
        <v>61850000</v>
      </c>
      <c r="D8" s="46"/>
      <c r="E8" s="245" t="s">
        <v>6</v>
      </c>
      <c r="F8" s="245"/>
      <c r="G8" s="245"/>
      <c r="H8" s="129"/>
    </row>
    <row r="9" spans="1:21">
      <c r="A9" s="50" t="s">
        <v>7</v>
      </c>
      <c r="B9" s="54" t="s">
        <v>8</v>
      </c>
      <c r="D9" s="46"/>
      <c r="E9" s="245" t="s">
        <v>9</v>
      </c>
      <c r="F9" s="245"/>
      <c r="G9" s="245"/>
      <c r="H9" s="129"/>
    </row>
    <row r="10" spans="1:21" ht="20.100000000000001" customHeight="1" thickBot="1">
      <c r="A10" s="82"/>
      <c r="B10" s="83"/>
      <c r="C10" s="84"/>
      <c r="D10" s="84"/>
      <c r="E10" s="84"/>
      <c r="F10" s="85"/>
      <c r="G10" s="85"/>
      <c r="H10" s="86"/>
    </row>
    <row r="11" spans="1:21" ht="57.6" customHeight="1">
      <c r="A11" s="243" t="s">
        <v>10</v>
      </c>
      <c r="B11" s="243"/>
      <c r="C11" s="243"/>
      <c r="D11" s="243"/>
      <c r="E11" s="243"/>
      <c r="F11" s="243"/>
      <c r="G11" s="244" t="s">
        <v>11</v>
      </c>
      <c r="H11" s="244"/>
    </row>
    <row r="12" spans="1:21" ht="30" customHeight="1" thickBot="1">
      <c r="A12" s="250" t="s">
        <v>12</v>
      </c>
      <c r="B12" s="250"/>
      <c r="C12" s="125" t="s">
        <v>42</v>
      </c>
      <c r="D12" s="125" t="s">
        <v>14</v>
      </c>
      <c r="E12" s="125" t="s">
        <v>15</v>
      </c>
      <c r="F12" s="125" t="s">
        <v>16</v>
      </c>
      <c r="G12" s="250" t="s">
        <v>17</v>
      </c>
      <c r="H12" s="250"/>
    </row>
    <row r="13" spans="1:21" ht="30" customHeight="1" thickBot="1">
      <c r="A13" s="233" t="s">
        <v>18</v>
      </c>
      <c r="B13" s="87" t="s">
        <v>19</v>
      </c>
      <c r="C13" s="172">
        <f>인건비!F6</f>
        <v>15</v>
      </c>
      <c r="D13" s="88"/>
      <c r="E13" s="88">
        <f>SUM(인건비!G6)</f>
        <v>14250000</v>
      </c>
      <c r="F13" s="88"/>
      <c r="G13" s="230">
        <f>SUM(D13:F13)</f>
        <v>14250000</v>
      </c>
      <c r="H13" s="231"/>
      <c r="J13" s="235" t="s">
        <v>146</v>
      </c>
      <c r="K13" s="236"/>
      <c r="L13" s="237"/>
      <c r="M13" s="173"/>
      <c r="N13" s="235" t="s">
        <v>147</v>
      </c>
      <c r="O13" s="236"/>
      <c r="P13" s="236"/>
      <c r="Q13" s="236"/>
      <c r="R13" s="237"/>
    </row>
    <row r="14" spans="1:21" ht="30" customHeight="1" thickBot="1">
      <c r="A14" s="234"/>
      <c r="B14" s="87" t="s">
        <v>20</v>
      </c>
      <c r="C14" s="172">
        <f>인건비!F7</f>
        <v>68</v>
      </c>
      <c r="D14" s="88"/>
      <c r="E14" s="88"/>
      <c r="F14" s="89">
        <f>SUM(인건비!G7)</f>
        <v>47600000</v>
      </c>
      <c r="G14" s="232">
        <f>SUM(D14:F14)</f>
        <v>47600000</v>
      </c>
      <c r="H14" s="232"/>
      <c r="J14" s="186">
        <f>C13</f>
        <v>15</v>
      </c>
      <c r="K14" s="174" t="s">
        <v>145</v>
      </c>
      <c r="L14" s="180">
        <f>J14/20</f>
        <v>0.75</v>
      </c>
      <c r="M14" s="173"/>
      <c r="N14" s="176">
        <f>G13</f>
        <v>14250000</v>
      </c>
      <c r="O14" s="182" t="s">
        <v>149</v>
      </c>
      <c r="P14" s="186">
        <f>C13</f>
        <v>15</v>
      </c>
      <c r="Q14" s="184" t="s">
        <v>148</v>
      </c>
      <c r="R14" s="178">
        <f>N14/P14</f>
        <v>950000</v>
      </c>
    </row>
    <row r="15" spans="1:21" ht="30" customHeight="1" thickBot="1">
      <c r="A15" s="246" t="s">
        <v>21</v>
      </c>
      <c r="B15" s="247"/>
      <c r="C15" s="247"/>
      <c r="D15" s="247"/>
      <c r="E15" s="247"/>
      <c r="F15" s="247"/>
      <c r="G15" s="248">
        <f>SUM(G13:H14)</f>
        <v>61850000</v>
      </c>
      <c r="H15" s="249"/>
      <c r="J15" s="172">
        <f>C14</f>
        <v>68</v>
      </c>
      <c r="K15" s="175" t="s">
        <v>145</v>
      </c>
      <c r="L15" s="181">
        <f>J15/20</f>
        <v>3.4</v>
      </c>
      <c r="M15" s="173"/>
      <c r="N15" s="177">
        <f>G14</f>
        <v>47600000</v>
      </c>
      <c r="O15" s="183" t="s">
        <v>149</v>
      </c>
      <c r="P15" s="172">
        <f>C14</f>
        <v>68</v>
      </c>
      <c r="Q15" s="185" t="s">
        <v>148</v>
      </c>
      <c r="R15" s="179">
        <f>N15/P15</f>
        <v>700000</v>
      </c>
    </row>
    <row r="16" spans="1:21">
      <c r="A16" s="238" t="s">
        <v>22</v>
      </c>
      <c r="B16" s="45"/>
      <c r="C16" s="45"/>
      <c r="D16" s="45"/>
      <c r="E16" s="46"/>
      <c r="F16" s="46"/>
      <c r="G16" s="46"/>
      <c r="H16" s="46"/>
    </row>
    <row r="17" spans="1:8">
      <c r="A17" s="238"/>
      <c r="B17" s="47"/>
      <c r="C17" s="47"/>
      <c r="D17" s="47"/>
      <c r="E17" s="48"/>
      <c r="F17" s="48"/>
      <c r="G17" s="48"/>
      <c r="H17" s="48"/>
    </row>
    <row r="18" spans="1:8">
      <c r="A18" s="90" t="s">
        <v>23</v>
      </c>
      <c r="B18" s="50"/>
      <c r="C18" s="50"/>
      <c r="D18" s="50"/>
      <c r="E18" s="51"/>
      <c r="F18" s="51"/>
      <c r="G18" s="51"/>
      <c r="H18" s="51"/>
    </row>
    <row r="19" spans="1:8">
      <c r="A19" s="90" t="s">
        <v>24</v>
      </c>
      <c r="B19" s="50"/>
      <c r="C19" s="50"/>
      <c r="D19" s="50"/>
      <c r="E19" s="51"/>
      <c r="F19" s="51"/>
      <c r="G19" s="51"/>
      <c r="H19" s="51"/>
    </row>
    <row r="20" spans="1:8">
      <c r="A20" s="112" t="s">
        <v>171</v>
      </c>
    </row>
    <row r="21" spans="1:8">
      <c r="A21" s="112" t="s">
        <v>170</v>
      </c>
    </row>
    <row r="22" spans="1:8">
      <c r="A22" s="90" t="s">
        <v>25</v>
      </c>
      <c r="F22" s="239"/>
      <c r="G22" s="239"/>
      <c r="H22" s="239"/>
    </row>
    <row r="23" spans="1:8">
      <c r="A23" s="90" t="s">
        <v>26</v>
      </c>
      <c r="D23" s="53"/>
      <c r="E23" s="43"/>
    </row>
    <row r="24" spans="1:8">
      <c r="A24" s="49"/>
    </row>
    <row r="25" spans="1:8">
      <c r="A25" s="49"/>
    </row>
    <row r="26" spans="1:8">
      <c r="A26" s="238" t="s">
        <v>22</v>
      </c>
      <c r="B26" s="45"/>
      <c r="C26" s="45"/>
      <c r="D26" s="45"/>
      <c r="E26" s="46"/>
      <c r="F26" s="46"/>
      <c r="G26" s="46"/>
      <c r="H26" s="46"/>
    </row>
    <row r="27" spans="1:8">
      <c r="A27" s="238"/>
      <c r="B27" s="47"/>
      <c r="C27" s="47"/>
      <c r="D27" s="47"/>
      <c r="E27" s="48"/>
      <c r="F27" s="48"/>
      <c r="G27" s="48"/>
      <c r="H27" s="48"/>
    </row>
    <row r="28" spans="1:8">
      <c r="A28" s="90" t="s">
        <v>23</v>
      </c>
      <c r="B28" s="50"/>
      <c r="C28" s="50"/>
      <c r="D28" s="50"/>
      <c r="E28" s="51"/>
      <c r="F28" s="51"/>
      <c r="G28" s="51"/>
      <c r="H28" s="51"/>
    </row>
    <row r="29" spans="1:8">
      <c r="A29" s="90" t="s">
        <v>172</v>
      </c>
      <c r="B29" s="50"/>
      <c r="C29" s="50"/>
      <c r="D29" s="50"/>
      <c r="E29" s="51"/>
      <c r="F29" s="51"/>
      <c r="G29" s="51"/>
      <c r="H29" s="51"/>
    </row>
    <row r="30" spans="1:8">
      <c r="A30" s="112" t="s">
        <v>170</v>
      </c>
    </row>
    <row r="31" spans="1:8">
      <c r="A31" s="90" t="s">
        <v>25</v>
      </c>
      <c r="F31" s="239"/>
      <c r="G31" s="239"/>
      <c r="H31" s="239"/>
    </row>
    <row r="32" spans="1:8">
      <c r="A32" s="90" t="s">
        <v>26</v>
      </c>
      <c r="D32" s="53"/>
      <c r="E32" s="43"/>
    </row>
  </sheetData>
  <mergeCells count="21">
    <mergeCell ref="A26:A27"/>
    <mergeCell ref="F31:H31"/>
    <mergeCell ref="A1:H1"/>
    <mergeCell ref="A2:H2"/>
    <mergeCell ref="A4:E5"/>
    <mergeCell ref="A11:F11"/>
    <mergeCell ref="G11:H11"/>
    <mergeCell ref="E7:G7"/>
    <mergeCell ref="E8:G8"/>
    <mergeCell ref="E9:G9"/>
    <mergeCell ref="F22:H22"/>
    <mergeCell ref="A16:A17"/>
    <mergeCell ref="A15:F15"/>
    <mergeCell ref="G15:H15"/>
    <mergeCell ref="A12:B12"/>
    <mergeCell ref="G12:H12"/>
    <mergeCell ref="G13:H13"/>
    <mergeCell ref="G14:H14"/>
    <mergeCell ref="A13:A14"/>
    <mergeCell ref="J13:L13"/>
    <mergeCell ref="N13:R13"/>
  </mergeCells>
  <phoneticPr fontId="13" type="noConversion"/>
  <dataValidations count="1">
    <dataValidation type="list" allowBlank="1" showInputMessage="1" showErrorMessage="1" sqref="B9" xr:uid="{679416CB-E8A1-4C86-82C8-BD45C34B954B}">
      <formula1>"(유상 유지관리금액 발생), (유상 유지관리 금액 미발생)"</formula1>
    </dataValidation>
  </dataValidations>
  <printOptions horizontalCentered="1"/>
  <pageMargins left="0.25" right="0.25" top="0.75" bottom="0.75" header="0.3" footer="0.3"/>
  <pageSetup paperSize="9" scale="77" orientation="portrait" r:id="rId1"/>
  <headerFooter alignWithMargins="0">
    <oddFooter>&amp;L&amp;"-,보통"&amp;9본 견적서는 지정된 수취 기업 만을 위해 작성되었으며, ㈜영림원소프트랩의 영업 비밀 및 제품과 제안 서비스의 금액을 포함하고 있습니다. 어떠한 권한 없이, 본 문서에 포함된 정보의 전부 또는 일부를 무단으로 제3자에게 공개, 배포, 복사 또는 사용하는 것을 엄격히 금지합니다. 
(copyright ⓒ2020 YOUNGLIMWONSOFTLAB Co., Ltd. All Rights Reserved.)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4"/>
  <sheetViews>
    <sheetView showGridLines="0" view="pageBreakPreview" zoomScaleNormal="90" zoomScaleSheetLayoutView="100" workbookViewId="0">
      <selection activeCell="F7" sqref="F7"/>
    </sheetView>
  </sheetViews>
  <sheetFormatPr defaultColWidth="1.3984375" defaultRowHeight="21"/>
  <cols>
    <col min="1" max="1" width="18.19921875" style="1" bestFit="1" customWidth="1"/>
    <col min="2" max="2" width="19.09765625" style="2" customWidth="1"/>
    <col min="3" max="3" width="17.8984375" style="2" bestFit="1" customWidth="1"/>
    <col min="4" max="4" width="13.59765625" style="2" bestFit="1" customWidth="1"/>
    <col min="5" max="5" width="10.59765625" style="3" bestFit="1" customWidth="1"/>
    <col min="6" max="7" width="16.59765625" style="1" bestFit="1" customWidth="1"/>
    <col min="8" max="8" width="10.69921875" style="1" customWidth="1"/>
    <col min="9" max="9" width="17.296875" style="1" customWidth="1"/>
    <col min="10" max="10" width="7.69921875" style="1" customWidth="1"/>
    <col min="11" max="11" width="8.69921875" style="1" customWidth="1"/>
    <col min="12" max="12" width="12.3984375" style="61" customWidth="1"/>
    <col min="13" max="13" width="6.3984375" style="5" customWidth="1"/>
    <col min="14" max="14" width="13.59765625" style="5" customWidth="1"/>
    <col min="15" max="15" width="5.796875" style="5" customWidth="1"/>
    <col min="16" max="16" width="9.8984375" style="5" bestFit="1" customWidth="1"/>
    <col min="17" max="17" width="11.09765625" style="5" customWidth="1"/>
    <col min="18" max="18" width="6.3984375" style="5" customWidth="1"/>
    <col min="19" max="19" width="13.09765625" style="5" bestFit="1" customWidth="1"/>
    <col min="20" max="20" width="13.59765625" style="1" bestFit="1" customWidth="1"/>
    <col min="21" max="32" width="10.796875" style="1" customWidth="1"/>
    <col min="33" max="16384" width="1.3984375" style="1"/>
  </cols>
  <sheetData>
    <row r="1" spans="1:20" ht="27.75" customHeight="1" thickBot="1">
      <c r="A1" s="300" t="s">
        <v>1</v>
      </c>
      <c r="B1" s="300"/>
      <c r="C1" s="300"/>
      <c r="D1" s="300"/>
      <c r="E1" s="300"/>
      <c r="F1" s="300"/>
      <c r="G1" s="300"/>
      <c r="I1" s="209" t="s">
        <v>174</v>
      </c>
      <c r="L1" s="1"/>
      <c r="M1" s="1"/>
      <c r="N1" s="1"/>
    </row>
    <row r="2" spans="1:20" ht="39" customHeight="1" thickBot="1">
      <c r="A2" s="301" t="s">
        <v>27</v>
      </c>
      <c r="B2" s="301"/>
      <c r="C2" s="301"/>
      <c r="D2" s="301"/>
      <c r="E2" s="301"/>
      <c r="F2" s="301"/>
      <c r="G2" s="301"/>
      <c r="H2" s="107"/>
      <c r="I2" s="119"/>
      <c r="J2" s="119"/>
      <c r="K2" s="254" t="s">
        <v>28</v>
      </c>
      <c r="L2" s="255"/>
      <c r="M2" s="255"/>
      <c r="N2" s="256"/>
      <c r="Q2" s="296" t="s">
        <v>29</v>
      </c>
      <c r="R2" s="297"/>
      <c r="S2" s="297"/>
      <c r="T2" s="298"/>
    </row>
    <row r="3" spans="1:20" ht="20.100000000000001" customHeight="1">
      <c r="A3" s="4"/>
      <c r="B3" s="4"/>
      <c r="C3" s="4"/>
      <c r="D3" s="4"/>
      <c r="E3" s="4"/>
      <c r="F3" s="4"/>
      <c r="G3" s="4"/>
      <c r="H3" s="107"/>
      <c r="I3" s="119"/>
      <c r="J3" s="119"/>
      <c r="K3" s="92" t="s">
        <v>30</v>
      </c>
      <c r="L3" s="92" t="s">
        <v>31</v>
      </c>
      <c r="M3" s="92" t="s">
        <v>32</v>
      </c>
      <c r="N3" s="92" t="s">
        <v>33</v>
      </c>
      <c r="P3" s="168"/>
      <c r="Q3" s="169" t="s">
        <v>34</v>
      </c>
      <c r="R3" s="295" t="s">
        <v>35</v>
      </c>
      <c r="S3" s="169" t="s">
        <v>36</v>
      </c>
      <c r="T3" s="169" t="s">
        <v>37</v>
      </c>
    </row>
    <row r="4" spans="1:20" ht="36" customHeight="1" thickBot="1">
      <c r="A4" s="302" t="s">
        <v>38</v>
      </c>
      <c r="B4" s="302"/>
      <c r="C4" s="302"/>
      <c r="D4" s="302"/>
      <c r="E4" s="302"/>
      <c r="F4" s="302"/>
      <c r="G4" s="8" t="s">
        <v>11</v>
      </c>
      <c r="H4" s="107"/>
      <c r="I4" s="119"/>
      <c r="J4" s="119"/>
      <c r="K4" s="63" t="s">
        <v>39</v>
      </c>
      <c r="L4" s="280">
        <f>종합!B8</f>
        <v>61850000</v>
      </c>
      <c r="M4" s="62">
        <v>0.5</v>
      </c>
      <c r="N4" s="96">
        <f>L4*M4</f>
        <v>30925000</v>
      </c>
      <c r="P4" s="170" t="str">
        <f>A6</f>
        <v>Consulting</v>
      </c>
      <c r="Q4" s="171">
        <f>E6</f>
        <v>950000</v>
      </c>
      <c r="R4" s="295"/>
      <c r="S4" s="171">
        <f>Q4*85%</f>
        <v>807500</v>
      </c>
      <c r="T4" s="171">
        <f>S4*20</f>
        <v>16150000</v>
      </c>
    </row>
    <row r="5" spans="1:20" ht="26.25" customHeight="1">
      <c r="A5" s="126" t="s">
        <v>30</v>
      </c>
      <c r="B5" s="306" t="s">
        <v>40</v>
      </c>
      <c r="C5" s="307"/>
      <c r="D5" s="308"/>
      <c r="E5" s="127" t="s">
        <v>41</v>
      </c>
      <c r="F5" s="127" t="s">
        <v>42</v>
      </c>
      <c r="G5" s="126" t="s">
        <v>43</v>
      </c>
      <c r="H5" s="318" t="s">
        <v>44</v>
      </c>
      <c r="I5" s="251" t="s">
        <v>45</v>
      </c>
      <c r="J5" s="119"/>
      <c r="K5" s="63" t="s">
        <v>46</v>
      </c>
      <c r="L5" s="281"/>
      <c r="M5" s="62">
        <v>0</v>
      </c>
      <c r="N5" s="96">
        <f>L4*M5</f>
        <v>0</v>
      </c>
      <c r="P5" s="170" t="str">
        <f>A7</f>
        <v>Customizing</v>
      </c>
      <c r="Q5" s="171">
        <f>E7</f>
        <v>700000</v>
      </c>
      <c r="R5" s="295"/>
      <c r="S5" s="171">
        <f>Q5*75%</f>
        <v>525000</v>
      </c>
      <c r="T5" s="171">
        <f>S5*20</f>
        <v>10500000</v>
      </c>
    </row>
    <row r="6" spans="1:20" ht="50.1" customHeight="1" thickBot="1">
      <c r="A6" s="71" t="s">
        <v>180</v>
      </c>
      <c r="B6" s="303" t="s">
        <v>168</v>
      </c>
      <c r="C6" s="304"/>
      <c r="D6" s="305"/>
      <c r="E6" s="57">
        <v>950000</v>
      </c>
      <c r="F6" s="58">
        <v>15</v>
      </c>
      <c r="G6" s="57">
        <f>E6*F6</f>
        <v>14250000</v>
      </c>
      <c r="H6" s="318"/>
      <c r="I6" s="252"/>
      <c r="J6" s="119"/>
      <c r="K6" s="68" t="s">
        <v>47</v>
      </c>
      <c r="L6" s="281"/>
      <c r="M6" s="91">
        <v>0.5</v>
      </c>
      <c r="N6" s="97">
        <f>L4*M6</f>
        <v>30925000</v>
      </c>
      <c r="P6" s="1"/>
      <c r="Q6" s="116" t="s">
        <v>48</v>
      </c>
      <c r="S6" s="1"/>
    </row>
    <row r="7" spans="1:20" ht="50.1" customHeight="1" thickBot="1">
      <c r="A7" s="71" t="s">
        <v>20</v>
      </c>
      <c r="B7" s="309" t="s">
        <v>169</v>
      </c>
      <c r="C7" s="309"/>
      <c r="D7" s="309"/>
      <c r="E7" s="72">
        <v>700000</v>
      </c>
      <c r="F7" s="73">
        <f>개발상세공수!D15</f>
        <v>68</v>
      </c>
      <c r="G7" s="72">
        <f>E7*F7</f>
        <v>47600000</v>
      </c>
      <c r="H7" s="318"/>
      <c r="I7" s="252"/>
      <c r="J7" s="107"/>
      <c r="K7" s="98" t="s">
        <v>17</v>
      </c>
      <c r="L7" s="99">
        <f>L4</f>
        <v>61850000</v>
      </c>
      <c r="M7" s="100">
        <f>SUM(M4:M6)</f>
        <v>1</v>
      </c>
      <c r="N7" s="101">
        <f>SUM(N4:N6)</f>
        <v>61850000</v>
      </c>
      <c r="P7" s="1"/>
      <c r="Q7" s="116" t="s">
        <v>49</v>
      </c>
      <c r="S7" s="1"/>
    </row>
    <row r="8" spans="1:20" ht="35.1" customHeight="1" thickBot="1">
      <c r="A8" s="315" t="s">
        <v>50</v>
      </c>
      <c r="B8" s="316"/>
      <c r="C8" s="316"/>
      <c r="D8" s="316"/>
      <c r="E8" s="317"/>
      <c r="F8" s="310">
        <f>SUM(G6:G7)</f>
        <v>61850000</v>
      </c>
      <c r="G8" s="311"/>
      <c r="H8" s="318"/>
      <c r="I8" s="252"/>
      <c r="K8" s="102"/>
      <c r="L8" s="102"/>
      <c r="M8" s="102"/>
      <c r="N8" s="102"/>
      <c r="O8" s="102"/>
      <c r="P8" s="102"/>
      <c r="Q8" s="102"/>
      <c r="R8" s="102"/>
      <c r="S8" s="102"/>
    </row>
    <row r="9" spans="1:20" ht="64.95" customHeight="1" thickBot="1">
      <c r="A9" s="277" t="s">
        <v>51</v>
      </c>
      <c r="B9" s="279"/>
      <c r="C9" s="279"/>
      <c r="D9" s="279"/>
      <c r="E9" s="312"/>
      <c r="F9" s="313">
        <f>F8</f>
        <v>61850000</v>
      </c>
      <c r="G9" s="314"/>
      <c r="H9" s="318"/>
      <c r="I9" s="253"/>
      <c r="K9" s="102"/>
      <c r="L9" s="102"/>
      <c r="M9" s="102"/>
      <c r="N9" s="102"/>
      <c r="O9" s="102"/>
      <c r="P9" s="102"/>
      <c r="Q9" s="102"/>
      <c r="R9" s="102"/>
      <c r="S9" s="102"/>
    </row>
    <row r="10" spans="1:20" ht="30" customHeight="1" thickBot="1">
      <c r="A10" s="212"/>
      <c r="B10" s="212"/>
      <c r="C10" s="212"/>
      <c r="D10" s="212"/>
      <c r="E10" s="212"/>
      <c r="F10" s="212"/>
      <c r="G10" s="212"/>
      <c r="H10" s="121"/>
      <c r="K10" s="285" t="s">
        <v>52</v>
      </c>
      <c r="L10" s="286"/>
      <c r="M10" s="286"/>
      <c r="N10" s="286"/>
      <c r="O10" s="286"/>
      <c r="P10" s="286"/>
      <c r="Q10" s="286"/>
      <c r="R10" s="286"/>
      <c r="S10" s="287"/>
    </row>
    <row r="11" spans="1:20" ht="57.6" customHeight="1" thickBot="1">
      <c r="A11" s="5"/>
      <c r="B11" s="5"/>
      <c r="C11" s="5"/>
      <c r="D11" s="5"/>
      <c r="E11" s="5"/>
      <c r="F11" s="5"/>
      <c r="G11" s="5"/>
      <c r="K11" s="291" t="s">
        <v>53</v>
      </c>
      <c r="L11" s="292"/>
      <c r="M11" s="292"/>
      <c r="N11" s="293"/>
      <c r="O11" s="294" t="s">
        <v>35</v>
      </c>
      <c r="P11" s="288" t="s">
        <v>54</v>
      </c>
      <c r="Q11" s="289"/>
      <c r="R11" s="289"/>
      <c r="S11" s="290"/>
    </row>
    <row r="12" spans="1:20" ht="26.25" customHeight="1">
      <c r="A12" s="5"/>
      <c r="B12" s="5"/>
      <c r="C12" s="5"/>
      <c r="D12" s="5"/>
      <c r="E12" s="5"/>
      <c r="F12" s="5"/>
      <c r="G12" s="5"/>
      <c r="H12" s="318" t="s">
        <v>44</v>
      </c>
      <c r="I12" s="251" t="s">
        <v>55</v>
      </c>
      <c r="J12" s="118"/>
      <c r="K12" s="93" t="s">
        <v>30</v>
      </c>
      <c r="L12" s="106" t="s">
        <v>31</v>
      </c>
      <c r="M12" s="93" t="s">
        <v>32</v>
      </c>
      <c r="N12" s="93" t="s">
        <v>56</v>
      </c>
      <c r="O12" s="294"/>
      <c r="P12" s="93" t="s">
        <v>30</v>
      </c>
      <c r="Q12" s="93" t="s">
        <v>31</v>
      </c>
      <c r="R12" s="93" t="s">
        <v>32</v>
      </c>
      <c r="S12" s="93" t="s">
        <v>33</v>
      </c>
    </row>
    <row r="13" spans="1:20" ht="35.1" customHeight="1">
      <c r="A13" s="5"/>
      <c r="B13" s="5"/>
      <c r="C13" s="5"/>
      <c r="D13" s="5"/>
      <c r="E13" s="5"/>
      <c r="F13" s="5"/>
      <c r="G13" s="5"/>
      <c r="H13" s="318"/>
      <c r="I13" s="252"/>
      <c r="J13" s="118"/>
      <c r="K13" s="63" t="s">
        <v>57</v>
      </c>
      <c r="L13" s="64">
        <f>G6</f>
        <v>14250000</v>
      </c>
      <c r="M13" s="65">
        <v>0.85</v>
      </c>
      <c r="N13" s="66">
        <f>L13*M13</f>
        <v>12112500</v>
      </c>
      <c r="O13" s="294"/>
      <c r="P13" s="63" t="s">
        <v>39</v>
      </c>
      <c r="Q13" s="282">
        <f>N16</f>
        <v>47812500</v>
      </c>
      <c r="R13" s="62">
        <f>M4</f>
        <v>0.5</v>
      </c>
      <c r="S13" s="67">
        <f>Q13*R13</f>
        <v>23906250</v>
      </c>
    </row>
    <row r="14" spans="1:20" ht="26.1" customHeight="1">
      <c r="A14" s="5"/>
      <c r="B14" s="5"/>
      <c r="C14" s="5"/>
      <c r="D14" s="5"/>
      <c r="E14" s="5"/>
      <c r="F14" s="5"/>
      <c r="G14" s="5"/>
      <c r="H14" s="318"/>
      <c r="I14" s="252"/>
      <c r="J14" s="118"/>
      <c r="K14" s="63" t="s">
        <v>58</v>
      </c>
      <c r="L14" s="64">
        <f>G7</f>
        <v>47600000</v>
      </c>
      <c r="M14" s="65">
        <v>0.75</v>
      </c>
      <c r="N14" s="66">
        <f>L14*M14</f>
        <v>35700000</v>
      </c>
      <c r="O14" s="294"/>
      <c r="P14" s="63" t="s">
        <v>46</v>
      </c>
      <c r="Q14" s="283"/>
      <c r="R14" s="62">
        <f>M5</f>
        <v>0</v>
      </c>
      <c r="S14" s="67">
        <f>Q13*R14</f>
        <v>0</v>
      </c>
    </row>
    <row r="15" spans="1:20" ht="26.1" customHeight="1" thickBot="1">
      <c r="A15" s="211"/>
      <c r="B15" s="211"/>
      <c r="C15" s="211"/>
      <c r="D15" s="211"/>
      <c r="E15" s="211"/>
      <c r="F15" s="211"/>
      <c r="G15" s="211"/>
      <c r="H15" s="318"/>
      <c r="I15" s="253"/>
      <c r="J15" s="118"/>
      <c r="K15" s="63" t="s">
        <v>59</v>
      </c>
      <c r="L15" s="64"/>
      <c r="M15" s="65"/>
      <c r="N15" s="66">
        <f>L15*M15</f>
        <v>0</v>
      </c>
      <c r="O15" s="294"/>
      <c r="P15" s="63" t="s">
        <v>47</v>
      </c>
      <c r="Q15" s="284"/>
      <c r="R15" s="62">
        <f>M6</f>
        <v>0.5</v>
      </c>
      <c r="S15" s="67">
        <f>Q13*R15</f>
        <v>23906250</v>
      </c>
    </row>
    <row r="16" spans="1:20" ht="30" customHeight="1" thickBot="1">
      <c r="H16" s="121"/>
      <c r="K16" s="277" t="s">
        <v>17</v>
      </c>
      <c r="L16" s="279"/>
      <c r="M16" s="278"/>
      <c r="N16" s="103">
        <f>SUM(N13:N15)</f>
        <v>47812500</v>
      </c>
      <c r="O16" s="294"/>
      <c r="P16" s="277" t="s">
        <v>17</v>
      </c>
      <c r="Q16" s="278"/>
      <c r="R16" s="104">
        <f>SUM(R13:R15)</f>
        <v>1</v>
      </c>
      <c r="S16" s="105">
        <f>SUM(S13:S15)</f>
        <v>47812500</v>
      </c>
    </row>
    <row r="17" spans="1:19" ht="24" customHeight="1" thickBot="1">
      <c r="A17" s="299" t="s">
        <v>60</v>
      </c>
      <c r="B17" s="299"/>
      <c r="C17" s="299"/>
      <c r="D17" s="299"/>
      <c r="E17" s="299"/>
      <c r="F17" s="299"/>
      <c r="G17" s="8" t="s">
        <v>11</v>
      </c>
      <c r="I17" s="121"/>
      <c r="L17" s="1"/>
      <c r="M17" s="1"/>
      <c r="N17" s="1"/>
      <c r="P17" s="1"/>
      <c r="Q17" s="1"/>
      <c r="R17" s="1"/>
      <c r="S17" s="1"/>
    </row>
    <row r="18" spans="1:19" ht="26.25" customHeight="1" thickBot="1">
      <c r="A18" s="9" t="s">
        <v>30</v>
      </c>
      <c r="B18" s="259" t="s">
        <v>40</v>
      </c>
      <c r="C18" s="259"/>
      <c r="D18" s="259"/>
      <c r="E18" s="10" t="s">
        <v>41</v>
      </c>
      <c r="F18" s="10" t="s">
        <v>61</v>
      </c>
      <c r="G18" s="9" t="s">
        <v>43</v>
      </c>
      <c r="H18" s="275" t="s">
        <v>44</v>
      </c>
      <c r="I18" s="251" t="s">
        <v>62</v>
      </c>
      <c r="L18" s="1"/>
      <c r="M18" s="1"/>
      <c r="N18" s="117"/>
      <c r="P18" s="1"/>
      <c r="Q18" s="1"/>
      <c r="R18" s="1"/>
      <c r="S18" s="1"/>
    </row>
    <row r="19" spans="1:19" ht="35.1" customHeight="1" thickBot="1">
      <c r="A19" s="11" t="str">
        <f>A6</f>
        <v>Consulting</v>
      </c>
      <c r="B19" s="257" t="str">
        <f>B6</f>
        <v xml:space="preserve"> -. 추가개발을 위한 사전 업무 분석
 -. 일정관리, 스펙작성, 이슈관리 등</v>
      </c>
      <c r="C19" s="257"/>
      <c r="D19" s="258"/>
      <c r="E19" s="25">
        <f>E6</f>
        <v>950000</v>
      </c>
      <c r="F19" s="12">
        <f>F6</f>
        <v>15</v>
      </c>
      <c r="G19" s="25">
        <f>G6</f>
        <v>14250000</v>
      </c>
      <c r="H19" s="275"/>
      <c r="I19" s="252"/>
      <c r="K19" s="254" t="s">
        <v>63</v>
      </c>
      <c r="L19" s="255"/>
      <c r="M19" s="255"/>
      <c r="N19" s="256"/>
      <c r="O19" s="1"/>
      <c r="P19" s="1"/>
      <c r="Q19" s="1"/>
      <c r="R19" s="1"/>
      <c r="S19" s="1"/>
    </row>
    <row r="20" spans="1:19" ht="35.1" customHeight="1" thickBot="1">
      <c r="A20" s="11" t="str">
        <f t="shared" ref="A20:G20" si="0">A7</f>
        <v>Customizing</v>
      </c>
      <c r="B20" s="257" t="str">
        <f t="shared" si="0"/>
        <v xml:space="preserve"> -. 추가개발 (상세개발 Sheet 참조)</v>
      </c>
      <c r="C20" s="257"/>
      <c r="D20" s="258"/>
      <c r="E20" s="25">
        <f t="shared" si="0"/>
        <v>700000</v>
      </c>
      <c r="F20" s="12">
        <f t="shared" si="0"/>
        <v>68</v>
      </c>
      <c r="G20" s="25">
        <f t="shared" si="0"/>
        <v>47600000</v>
      </c>
      <c r="H20" s="275"/>
      <c r="I20" s="252"/>
      <c r="K20" s="94" t="s">
        <v>30</v>
      </c>
      <c r="L20" s="95" t="s">
        <v>31</v>
      </c>
      <c r="M20" s="94" t="s">
        <v>32</v>
      </c>
      <c r="N20" s="94" t="s">
        <v>56</v>
      </c>
      <c r="Q20" s="1"/>
      <c r="R20" s="1"/>
      <c r="S20" s="1"/>
    </row>
    <row r="21" spans="1:19" ht="30" customHeight="1" thickBot="1">
      <c r="A21" s="269" t="s">
        <v>50</v>
      </c>
      <c r="B21" s="270"/>
      <c r="C21" s="270"/>
      <c r="D21" s="270"/>
      <c r="E21" s="271"/>
      <c r="F21" s="262">
        <f>F9</f>
        <v>61850000</v>
      </c>
      <c r="G21" s="263"/>
      <c r="H21" s="275"/>
      <c r="I21" s="252"/>
      <c r="K21" s="63" t="str">
        <f t="shared" ref="K21:L23" si="1">K13</f>
        <v>컨설턴트</v>
      </c>
      <c r="L21" s="64">
        <f>L13</f>
        <v>14250000</v>
      </c>
      <c r="M21" s="65">
        <v>0.85</v>
      </c>
      <c r="N21" s="66">
        <f>N13</f>
        <v>12112500</v>
      </c>
      <c r="Q21" s="1"/>
      <c r="R21" s="1"/>
      <c r="S21" s="1"/>
    </row>
    <row r="22" spans="1:19" ht="30" customHeight="1" thickBot="1">
      <c r="A22" s="266" t="s">
        <v>64</v>
      </c>
      <c r="B22" s="267"/>
      <c r="C22" s="267"/>
      <c r="D22" s="267"/>
      <c r="E22" s="268"/>
      <c r="F22" s="264">
        <f>D13*0.4</f>
        <v>0</v>
      </c>
      <c r="G22" s="265"/>
      <c r="H22" s="275"/>
      <c r="I22" s="252"/>
      <c r="K22" s="63" t="str">
        <f t="shared" si="1"/>
        <v>개발자</v>
      </c>
      <c r="L22" s="64">
        <f>L14</f>
        <v>47600000</v>
      </c>
      <c r="M22" s="65">
        <f>M14</f>
        <v>0.75</v>
      </c>
      <c r="N22" s="66">
        <f>N14</f>
        <v>35700000</v>
      </c>
      <c r="Q22" s="1"/>
      <c r="R22" s="1"/>
      <c r="S22" s="1"/>
    </row>
    <row r="23" spans="1:19" ht="30" customHeight="1" thickBot="1">
      <c r="A23" s="272" t="s">
        <v>51</v>
      </c>
      <c r="B23" s="273"/>
      <c r="C23" s="273"/>
      <c r="D23" s="273"/>
      <c r="E23" s="274"/>
      <c r="F23" s="260">
        <f>SUM(F21:G22)</f>
        <v>61850000</v>
      </c>
      <c r="G23" s="261"/>
      <c r="H23" s="275"/>
      <c r="I23" s="253"/>
      <c r="K23" s="68" t="str">
        <f t="shared" si="1"/>
        <v>재경비</v>
      </c>
      <c r="L23" s="75">
        <f t="shared" si="1"/>
        <v>0</v>
      </c>
      <c r="M23" s="69">
        <v>1</v>
      </c>
      <c r="N23" s="74">
        <f>L23*M23</f>
        <v>0</v>
      </c>
      <c r="R23" s="111"/>
    </row>
    <row r="24" spans="1:19" ht="25.5" customHeight="1" thickBot="1">
      <c r="K24" s="108" t="s">
        <v>17</v>
      </c>
      <c r="L24" s="109"/>
      <c r="M24" s="110"/>
      <c r="N24" s="103">
        <f>SUM(N20:N23)</f>
        <v>47812500</v>
      </c>
      <c r="R24" s="111"/>
    </row>
    <row r="25" spans="1:19" ht="20.25" customHeight="1">
      <c r="G25" s="120"/>
      <c r="H25" s="276" t="s">
        <v>65</v>
      </c>
      <c r="I25" s="251" t="s">
        <v>66</v>
      </c>
      <c r="R25" s="111"/>
    </row>
    <row r="26" spans="1:19" ht="20.25" customHeight="1">
      <c r="H26" s="276"/>
      <c r="I26" s="252"/>
    </row>
    <row r="27" spans="1:19" ht="20.25" customHeight="1">
      <c r="G27" s="114"/>
      <c r="H27" s="122"/>
      <c r="I27" s="252"/>
      <c r="N27" s="70"/>
    </row>
    <row r="28" spans="1:19" ht="20.25" customHeight="1">
      <c r="H28" s="122"/>
      <c r="I28" s="252"/>
      <c r="Q28" s="1"/>
      <c r="R28" s="1"/>
      <c r="S28" s="1"/>
    </row>
    <row r="29" spans="1:19" ht="20.25" customHeight="1">
      <c r="H29" s="122"/>
      <c r="I29" s="252"/>
      <c r="Q29" s="1"/>
      <c r="R29" s="1"/>
      <c r="S29" s="1"/>
    </row>
    <row r="30" spans="1:19" ht="21" customHeight="1">
      <c r="H30" s="122"/>
      <c r="I30" s="252"/>
    </row>
    <row r="31" spans="1:19">
      <c r="I31" s="252"/>
    </row>
    <row r="32" spans="1:19">
      <c r="I32" s="252"/>
    </row>
    <row r="33" spans="9:9">
      <c r="I33" s="252"/>
    </row>
    <row r="34" spans="9:9" ht="21.6" thickBot="1">
      <c r="I34" s="253"/>
    </row>
  </sheetData>
  <mergeCells count="40">
    <mergeCell ref="I5:I9"/>
    <mergeCell ref="I12:I15"/>
    <mergeCell ref="A9:E9"/>
    <mergeCell ref="F9:G9"/>
    <mergeCell ref="A8:E8"/>
    <mergeCell ref="H12:H15"/>
    <mergeCell ref="H5:H9"/>
    <mergeCell ref="A17:F17"/>
    <mergeCell ref="A1:G1"/>
    <mergeCell ref="A2:G2"/>
    <mergeCell ref="A4:F4"/>
    <mergeCell ref="B6:D6"/>
    <mergeCell ref="B5:D5"/>
    <mergeCell ref="B7:D7"/>
    <mergeCell ref="F8:G8"/>
    <mergeCell ref="P16:Q16"/>
    <mergeCell ref="K16:M16"/>
    <mergeCell ref="K2:N2"/>
    <mergeCell ref="L4:L6"/>
    <mergeCell ref="Q13:Q15"/>
    <mergeCell ref="K10:S10"/>
    <mergeCell ref="P11:S11"/>
    <mergeCell ref="K11:N11"/>
    <mergeCell ref="O11:O16"/>
    <mergeCell ref="R3:R5"/>
    <mergeCell ref="Q2:T2"/>
    <mergeCell ref="I25:I34"/>
    <mergeCell ref="K19:N19"/>
    <mergeCell ref="B19:D19"/>
    <mergeCell ref="B18:D18"/>
    <mergeCell ref="B20:D20"/>
    <mergeCell ref="F23:G23"/>
    <mergeCell ref="F21:G21"/>
    <mergeCell ref="F22:G22"/>
    <mergeCell ref="A22:E22"/>
    <mergeCell ref="A21:E21"/>
    <mergeCell ref="A23:E23"/>
    <mergeCell ref="H18:H23"/>
    <mergeCell ref="I18:I23"/>
    <mergeCell ref="H25:H26"/>
  </mergeCells>
  <phoneticPr fontId="13" type="noConversion"/>
  <printOptions horizontalCentered="1"/>
  <pageMargins left="0.25" right="0.25" top="0.75" bottom="0.28000000000000003" header="0.3" footer="0.18"/>
  <pageSetup paperSize="9" scale="76" orientation="portrait" r:id="rId1"/>
  <headerFooter alignWithMargins="0">
    <oddFooter>&amp;C&amp;"+,보통"&amp;8(copyright ⓒ2020 YOUNGLIMWONSOFTLAB Co., Ltd. All Rights Reserved.)</oddFooter>
  </headerFooter>
  <customProperties>
    <customPr name="r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4"/>
  <sheetViews>
    <sheetView showGridLines="0" tabSelected="1" view="pageBreakPreview" topLeftCell="A11" zoomScaleNormal="100" zoomScaleSheetLayoutView="100" workbookViewId="0">
      <selection activeCell="B9" sqref="B9"/>
    </sheetView>
  </sheetViews>
  <sheetFormatPr defaultColWidth="8.8984375" defaultRowHeight="14.4"/>
  <cols>
    <col min="1" max="1" width="16.69921875" style="35" customWidth="1"/>
    <col min="2" max="2" width="67.09765625" style="35" customWidth="1"/>
    <col min="3" max="3" width="10.19921875" style="35" customWidth="1"/>
    <col min="4" max="4" width="13.09765625" style="35" customWidth="1"/>
    <col min="5" max="5" width="7.59765625" style="35" hidden="1" customWidth="1"/>
    <col min="6" max="6" width="4.69921875" style="35" hidden="1" customWidth="1"/>
    <col min="7" max="7" width="7.19921875" style="35" hidden="1" customWidth="1"/>
    <col min="8" max="9" width="4.69921875" style="35" hidden="1" customWidth="1"/>
    <col min="10" max="10" width="6" style="35" hidden="1" customWidth="1"/>
    <col min="11" max="11" width="4.69921875" style="35" hidden="1" customWidth="1"/>
    <col min="12" max="45" width="10.796875" style="35" customWidth="1"/>
    <col min="46" max="16384" width="8.8984375" style="35"/>
  </cols>
  <sheetData>
    <row r="1" spans="1:13" s="26" customFormat="1" ht="27" customHeight="1">
      <c r="A1" s="300" t="s">
        <v>1</v>
      </c>
      <c r="B1" s="300"/>
      <c r="C1" s="300"/>
      <c r="D1" s="300"/>
      <c r="E1" s="300"/>
      <c r="F1" s="300"/>
      <c r="G1" s="300"/>
      <c r="H1" s="36"/>
      <c r="I1" s="36"/>
      <c r="J1" s="36"/>
      <c r="K1" s="36"/>
      <c r="M1" s="209" t="s">
        <v>181</v>
      </c>
    </row>
    <row r="2" spans="1:13" s="26" customFormat="1" ht="39" customHeight="1">
      <c r="A2" s="319" t="s">
        <v>67</v>
      </c>
      <c r="B2" s="319"/>
      <c r="C2" s="319"/>
      <c r="D2" s="319"/>
      <c r="E2" s="319"/>
      <c r="F2" s="319"/>
      <c r="G2" s="319"/>
      <c r="H2" s="36"/>
      <c r="I2" s="36"/>
      <c r="J2" s="36"/>
      <c r="K2" s="36"/>
    </row>
    <row r="3" spans="1:13" s="26" customFormat="1" ht="20.100000000000001" customHeight="1">
      <c r="A3" s="37" t="s">
        <v>68</v>
      </c>
      <c r="B3" s="37" t="s">
        <v>69</v>
      </c>
      <c r="C3" s="37"/>
      <c r="D3" s="37"/>
      <c r="E3" s="37"/>
      <c r="F3" s="320"/>
      <c r="G3" s="320"/>
    </row>
    <row r="4" spans="1:13" s="26" customFormat="1" ht="24" customHeight="1">
      <c r="A4" s="321" t="s">
        <v>70</v>
      </c>
      <c r="B4" s="321"/>
      <c r="C4" s="38"/>
      <c r="D4" s="38"/>
      <c r="E4" s="38"/>
      <c r="J4" s="320" t="s">
        <v>71</v>
      </c>
      <c r="K4" s="320"/>
    </row>
    <row r="5" spans="1:13" s="26" customFormat="1" ht="15" customHeight="1">
      <c r="A5" s="325" t="s">
        <v>30</v>
      </c>
      <c r="B5" s="325" t="s">
        <v>72</v>
      </c>
      <c r="C5" s="325" t="s">
        <v>73</v>
      </c>
      <c r="D5" s="325" t="s">
        <v>74</v>
      </c>
      <c r="E5" s="326" t="s">
        <v>75</v>
      </c>
      <c r="F5" s="327"/>
      <c r="G5" s="327"/>
      <c r="H5" s="327"/>
      <c r="I5" s="327"/>
      <c r="J5" s="327"/>
      <c r="K5" s="327"/>
    </row>
    <row r="6" spans="1:13" s="26" customFormat="1" ht="13.95" customHeight="1">
      <c r="A6" s="325"/>
      <c r="B6" s="325"/>
      <c r="C6" s="325"/>
      <c r="D6" s="325"/>
      <c r="E6" s="326" t="s">
        <v>76</v>
      </c>
      <c r="F6" s="327" t="s">
        <v>77</v>
      </c>
      <c r="G6" s="327" t="s">
        <v>78</v>
      </c>
      <c r="H6" s="327" t="s">
        <v>79</v>
      </c>
      <c r="I6" s="327"/>
      <c r="J6" s="327" t="s">
        <v>80</v>
      </c>
      <c r="K6" s="327" t="s">
        <v>81</v>
      </c>
    </row>
    <row r="7" spans="1:13" s="26" customFormat="1" ht="15" customHeight="1">
      <c r="A7" s="325"/>
      <c r="B7" s="325"/>
      <c r="C7" s="325"/>
      <c r="D7" s="325"/>
      <c r="E7" s="326"/>
      <c r="F7" s="327"/>
      <c r="G7" s="327"/>
      <c r="H7" s="44" t="s">
        <v>82</v>
      </c>
      <c r="I7" s="44" t="s">
        <v>83</v>
      </c>
      <c r="J7" s="327"/>
      <c r="K7" s="327"/>
    </row>
    <row r="8" spans="1:13" s="26" customFormat="1" ht="73.8" customHeight="1">
      <c r="A8" s="328" t="s">
        <v>182</v>
      </c>
      <c r="B8" s="214" t="s">
        <v>187</v>
      </c>
      <c r="C8" s="59" t="s">
        <v>86</v>
      </c>
      <c r="D8" s="60">
        <v>10</v>
      </c>
      <c r="E8" s="39">
        <f>D8*0.1</f>
        <v>1</v>
      </c>
      <c r="F8" s="40">
        <f>D8*0.05</f>
        <v>0.5</v>
      </c>
      <c r="G8" s="40">
        <f>D8*0.65</f>
        <v>6.5</v>
      </c>
      <c r="H8" s="41">
        <f>D8*0.08</f>
        <v>0.8</v>
      </c>
      <c r="I8" s="41">
        <f t="shared" ref="I8:I9" si="0">D8*0.05</f>
        <v>0.5</v>
      </c>
      <c r="J8" s="41">
        <f>D8*0.05</f>
        <v>0.5</v>
      </c>
      <c r="K8" s="41">
        <f>D8*0.02</f>
        <v>0.2</v>
      </c>
    </row>
    <row r="9" spans="1:13" s="26" customFormat="1" ht="64.95" customHeight="1">
      <c r="A9" s="329"/>
      <c r="B9" s="214" t="s">
        <v>189</v>
      </c>
      <c r="C9" s="59" t="s">
        <v>86</v>
      </c>
      <c r="D9" s="60">
        <v>10</v>
      </c>
      <c r="E9" s="39">
        <f t="shared" ref="E9" si="1">D9*0.1</f>
        <v>1</v>
      </c>
      <c r="F9" s="40">
        <f t="shared" ref="F9" si="2">D9*0.05</f>
        <v>0.5</v>
      </c>
      <c r="G9" s="40">
        <f t="shared" ref="G9" si="3">D9*0.65</f>
        <v>6.5</v>
      </c>
      <c r="H9" s="41">
        <f t="shared" ref="H9" si="4">D9*0.08</f>
        <v>0.8</v>
      </c>
      <c r="I9" s="41">
        <f t="shared" si="0"/>
        <v>0.5</v>
      </c>
      <c r="J9" s="41">
        <f t="shared" ref="J9" si="5">D9*0.05</f>
        <v>0.5</v>
      </c>
      <c r="K9" s="41">
        <f t="shared" ref="K9" si="6">D9*0.02</f>
        <v>0.2</v>
      </c>
    </row>
    <row r="10" spans="1:13" s="26" customFormat="1" ht="55.2" customHeight="1">
      <c r="A10" s="329"/>
      <c r="B10" s="214" t="s">
        <v>186</v>
      </c>
      <c r="C10" s="59" t="s">
        <v>86</v>
      </c>
      <c r="D10" s="60">
        <v>5</v>
      </c>
      <c r="E10" s="39"/>
      <c r="F10" s="40"/>
      <c r="G10" s="40"/>
      <c r="H10" s="41"/>
      <c r="I10" s="41"/>
      <c r="J10" s="41"/>
      <c r="K10" s="41"/>
    </row>
    <row r="11" spans="1:13" s="26" customFormat="1" ht="145.19999999999999" customHeight="1">
      <c r="A11" s="329"/>
      <c r="B11" s="214" t="s">
        <v>188</v>
      </c>
      <c r="C11" s="59" t="s">
        <v>86</v>
      </c>
      <c r="D11" s="60">
        <v>15</v>
      </c>
      <c r="E11" s="39"/>
      <c r="F11" s="40"/>
      <c r="G11" s="40"/>
      <c r="H11" s="41"/>
      <c r="I11" s="41"/>
      <c r="J11" s="41"/>
      <c r="K11" s="41"/>
    </row>
    <row r="12" spans="1:13" s="26" customFormat="1" ht="55.2" customHeight="1">
      <c r="A12" s="329"/>
      <c r="B12" s="214" t="s">
        <v>183</v>
      </c>
      <c r="C12" s="59" t="s">
        <v>86</v>
      </c>
      <c r="D12" s="60">
        <v>8</v>
      </c>
      <c r="E12" s="39"/>
      <c r="F12" s="40"/>
      <c r="G12" s="40"/>
      <c r="H12" s="41"/>
      <c r="I12" s="41"/>
      <c r="J12" s="41"/>
      <c r="K12" s="41"/>
    </row>
    <row r="13" spans="1:13" s="26" customFormat="1" ht="55.2" customHeight="1">
      <c r="A13" s="329"/>
      <c r="B13" s="214" t="s">
        <v>184</v>
      </c>
      <c r="C13" s="59" t="s">
        <v>86</v>
      </c>
      <c r="D13" s="60">
        <v>10</v>
      </c>
      <c r="E13" s="39"/>
      <c r="F13" s="40"/>
      <c r="G13" s="40"/>
      <c r="H13" s="41"/>
      <c r="I13" s="41"/>
      <c r="J13" s="41"/>
      <c r="K13" s="41"/>
    </row>
    <row r="14" spans="1:13" s="26" customFormat="1" ht="55.2" customHeight="1" thickBot="1">
      <c r="A14" s="329"/>
      <c r="B14" s="213" t="s">
        <v>185</v>
      </c>
      <c r="C14" s="59" t="s">
        <v>86</v>
      </c>
      <c r="D14" s="60">
        <v>10</v>
      </c>
      <c r="E14" s="39"/>
      <c r="F14" s="40"/>
      <c r="G14" s="40"/>
      <c r="H14" s="41"/>
      <c r="I14" s="41"/>
      <c r="J14" s="41"/>
      <c r="K14" s="41"/>
    </row>
    <row r="15" spans="1:13" s="43" customFormat="1" ht="30" customHeight="1" thickBot="1">
      <c r="A15" s="322" t="s">
        <v>85</v>
      </c>
      <c r="B15" s="323"/>
      <c r="C15" s="324"/>
      <c r="D15" s="128">
        <f t="shared" ref="D15:K15" si="7">SUM(D8:D14)</f>
        <v>68</v>
      </c>
      <c r="E15" s="42">
        <f t="shared" si="7"/>
        <v>2</v>
      </c>
      <c r="F15" s="42">
        <f t="shared" si="7"/>
        <v>1</v>
      </c>
      <c r="G15" s="42">
        <f t="shared" si="7"/>
        <v>13</v>
      </c>
      <c r="H15" s="42">
        <f t="shared" si="7"/>
        <v>1.6</v>
      </c>
      <c r="I15" s="42">
        <f t="shared" si="7"/>
        <v>1</v>
      </c>
      <c r="J15" s="42">
        <f t="shared" si="7"/>
        <v>1</v>
      </c>
      <c r="K15" s="42">
        <f t="shared" si="7"/>
        <v>0.4</v>
      </c>
      <c r="L15" s="35"/>
    </row>
    <row r="16" spans="1:13" ht="30" customHeight="1"/>
    <row r="17" spans="2:4" ht="30" customHeight="1">
      <c r="B17" s="187" t="s">
        <v>178</v>
      </c>
      <c r="C17" s="59" t="s">
        <v>86</v>
      </c>
      <c r="D17" s="60">
        <f>SUMIF(C8:C14,"신규",D8:D14)</f>
        <v>68</v>
      </c>
    </row>
    <row r="18" spans="2:4" ht="30" customHeight="1">
      <c r="B18" s="187" t="s">
        <v>150</v>
      </c>
      <c r="C18" s="59" t="s">
        <v>84</v>
      </c>
      <c r="D18" s="60">
        <f>SUMIF(C8:C14,"수정",D8:D14)</f>
        <v>0</v>
      </c>
    </row>
    <row r="19" spans="2:4" ht="30" customHeight="1">
      <c r="C19" s="113" t="s">
        <v>17</v>
      </c>
      <c r="D19" s="128">
        <f>SUM(D17:D18)</f>
        <v>68</v>
      </c>
    </row>
    <row r="20" spans="2:4" ht="30" customHeight="1"/>
    <row r="21" spans="2:4" ht="30" customHeight="1"/>
    <row r="22" spans="2:4" ht="30" customHeight="1"/>
    <row r="23" spans="2:4" ht="30" customHeight="1"/>
    <row r="24" spans="2:4" ht="30" customHeight="1"/>
  </sheetData>
  <mergeCells count="18">
    <mergeCell ref="A15:C15"/>
    <mergeCell ref="D5:D7"/>
    <mergeCell ref="E5:K5"/>
    <mergeCell ref="E6:E7"/>
    <mergeCell ref="F6:F7"/>
    <mergeCell ref="G6:G7"/>
    <mergeCell ref="H6:I6"/>
    <mergeCell ref="J6:J7"/>
    <mergeCell ref="K6:K7"/>
    <mergeCell ref="A5:A7"/>
    <mergeCell ref="B5:B7"/>
    <mergeCell ref="C5:C7"/>
    <mergeCell ref="A8:A14"/>
    <mergeCell ref="A1:G1"/>
    <mergeCell ref="A2:G2"/>
    <mergeCell ref="F3:G3"/>
    <mergeCell ref="A4:B4"/>
    <mergeCell ref="J4:K4"/>
  </mergeCells>
  <phoneticPr fontId="13" type="noConversion"/>
  <pageMargins left="0.25" right="0.25" top="0.75" bottom="0.75" header="0.3" footer="0.3"/>
  <pageSetup paperSize="9" scale="80" orientation="portrait" r:id="rId1"/>
  <headerFooter>
    <oddFooter>&amp;C&amp;"+,보통"&amp;8(copyright ⓒ2020 YOUNGLIMWONSOFTLAB Co., Ltd. All Rights Reserved.)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29CE-06A1-422E-BABC-781264A5C807}">
  <sheetPr>
    <pageSetUpPr fitToPage="1"/>
  </sheetPr>
  <dimension ref="A1:M24"/>
  <sheetViews>
    <sheetView showGridLines="0" view="pageBreakPreview" topLeftCell="A3" zoomScaleNormal="100" zoomScaleSheetLayoutView="100" workbookViewId="0">
      <selection activeCell="L1" sqref="L1"/>
    </sheetView>
  </sheetViews>
  <sheetFormatPr defaultColWidth="8.69921875" defaultRowHeight="17.399999999999999"/>
  <cols>
    <col min="1" max="1" width="9.796875" style="188" customWidth="1"/>
    <col min="2" max="2" width="6.09765625" style="188" customWidth="1"/>
    <col min="3" max="3" width="23.59765625" style="188" bestFit="1" customWidth="1"/>
    <col min="4" max="4" width="8.69921875" style="188"/>
    <col min="5" max="5" width="11.296875" style="188" bestFit="1" customWidth="1"/>
    <col min="6" max="6" width="9.19921875" style="188" bestFit="1" customWidth="1"/>
    <col min="7" max="7" width="8.69921875" style="188"/>
    <col min="8" max="8" width="13.59765625" style="188" bestFit="1" customWidth="1"/>
    <col min="9" max="10" width="13.8984375" style="188" bestFit="1" customWidth="1"/>
    <col min="11" max="11" width="14.3984375" style="188" bestFit="1" customWidth="1"/>
    <col min="12" max="16384" width="8.69921875" style="188"/>
  </cols>
  <sheetData>
    <row r="1" spans="1:13" ht="27" customHeight="1">
      <c r="A1" s="341"/>
      <c r="B1" s="341"/>
      <c r="C1" s="341"/>
      <c r="D1" s="341"/>
      <c r="E1" s="341"/>
      <c r="F1" s="341"/>
      <c r="G1" s="341"/>
      <c r="H1" s="341"/>
      <c r="I1" s="341"/>
      <c r="J1" s="341"/>
      <c r="K1" s="26"/>
      <c r="L1" s="209" t="s">
        <v>174</v>
      </c>
      <c r="M1" s="26"/>
    </row>
    <row r="2" spans="1:13" ht="39" customHeight="1">
      <c r="A2" s="342" t="s">
        <v>151</v>
      </c>
      <c r="B2" s="342"/>
      <c r="C2" s="342"/>
      <c r="D2" s="342"/>
      <c r="E2" s="342"/>
      <c r="F2" s="342"/>
      <c r="G2" s="342"/>
      <c r="H2" s="342"/>
      <c r="I2" s="342"/>
      <c r="J2" s="342"/>
      <c r="K2" s="26"/>
      <c r="L2" s="26"/>
      <c r="M2" s="26"/>
    </row>
    <row r="3" spans="1:13" ht="21">
      <c r="A3" s="321"/>
      <c r="B3" s="321"/>
      <c r="C3" s="321"/>
      <c r="D3" s="321"/>
      <c r="E3" s="321"/>
      <c r="F3" s="321"/>
      <c r="G3" s="321"/>
      <c r="H3" s="320"/>
      <c r="I3" s="320"/>
      <c r="J3" s="320"/>
      <c r="K3" s="26"/>
      <c r="L3" s="26"/>
      <c r="M3" s="26"/>
    </row>
    <row r="4" spans="1:13" ht="21.6" thickBot="1">
      <c r="A4" s="321" t="s">
        <v>152</v>
      </c>
      <c r="B4" s="321"/>
      <c r="C4" s="321"/>
      <c r="D4" s="321"/>
      <c r="E4" s="321"/>
      <c r="F4" s="321"/>
      <c r="G4" s="321"/>
      <c r="H4" s="320" t="s">
        <v>87</v>
      </c>
      <c r="I4" s="320"/>
      <c r="J4" s="320"/>
      <c r="K4" s="26"/>
      <c r="L4" s="26"/>
      <c r="M4" s="26"/>
    </row>
    <row r="5" spans="1:13" ht="21">
      <c r="A5" s="335" t="s">
        <v>88</v>
      </c>
      <c r="B5" s="337" t="s">
        <v>89</v>
      </c>
      <c r="C5" s="337" t="s">
        <v>90</v>
      </c>
      <c r="D5" s="339" t="s">
        <v>91</v>
      </c>
      <c r="E5" s="200" t="s">
        <v>92</v>
      </c>
      <c r="F5" s="200" t="s">
        <v>93</v>
      </c>
      <c r="G5" s="200" t="s">
        <v>94</v>
      </c>
      <c r="H5" s="337" t="s">
        <v>95</v>
      </c>
      <c r="I5" s="337" t="s">
        <v>153</v>
      </c>
      <c r="J5" s="333" t="s">
        <v>154</v>
      </c>
      <c r="K5" s="26"/>
      <c r="L5" s="26"/>
      <c r="M5" s="26"/>
    </row>
    <row r="6" spans="1:13" ht="21">
      <c r="A6" s="336"/>
      <c r="B6" s="338"/>
      <c r="C6" s="338"/>
      <c r="D6" s="338"/>
      <c r="E6" s="191">
        <v>20.88</v>
      </c>
      <c r="F6" s="192">
        <v>1.1000000000000001</v>
      </c>
      <c r="G6" s="192">
        <v>0.2</v>
      </c>
      <c r="H6" s="340"/>
      <c r="I6" s="338"/>
      <c r="J6" s="334"/>
      <c r="K6" s="26"/>
      <c r="L6" s="26"/>
      <c r="M6" s="26"/>
    </row>
    <row r="7" spans="1:13" ht="30" customHeight="1">
      <c r="A7" s="331" t="s">
        <v>155</v>
      </c>
      <c r="B7" s="193" t="s">
        <v>96</v>
      </c>
      <c r="C7" s="194" t="s">
        <v>156</v>
      </c>
      <c r="D7" s="195">
        <v>476404</v>
      </c>
      <c r="E7" s="195">
        <f>D7*$E$6</f>
        <v>9947315.5199999996</v>
      </c>
      <c r="F7" s="195">
        <f>E7*$F$6</f>
        <v>10942047.072000001</v>
      </c>
      <c r="G7" s="195">
        <f>(E7+F7)*$G$6</f>
        <v>4177872.5184000004</v>
      </c>
      <c r="H7" s="196">
        <f>E7+F7+G7</f>
        <v>25067235.110399999</v>
      </c>
      <c r="I7" s="197">
        <v>22000000</v>
      </c>
      <c r="J7" s="201">
        <f>ROUNDDOWN(I7/20,-4)</f>
        <v>1100000</v>
      </c>
      <c r="K7" s="26"/>
      <c r="L7" s="26"/>
      <c r="M7" s="26"/>
    </row>
    <row r="8" spans="1:13" ht="30" customHeight="1">
      <c r="A8" s="331"/>
      <c r="B8" s="193" t="s">
        <v>157</v>
      </c>
      <c r="C8" s="194" t="s">
        <v>158</v>
      </c>
      <c r="D8" s="195">
        <v>456225</v>
      </c>
      <c r="E8" s="195">
        <f t="shared" ref="E8" si="0">D8*$E$6</f>
        <v>9525978</v>
      </c>
      <c r="F8" s="195">
        <f t="shared" ref="F8:F11" si="1">E8*$F$6</f>
        <v>10478575.800000001</v>
      </c>
      <c r="G8" s="195">
        <f t="shared" ref="G8:G11" si="2">(E8+F8)*$G$6</f>
        <v>4000910.7600000002</v>
      </c>
      <c r="H8" s="196">
        <f t="shared" ref="H8:H9" si="3">E8+F8+G8</f>
        <v>24005464.560000002</v>
      </c>
      <c r="I8" s="197">
        <v>20000000</v>
      </c>
      <c r="J8" s="201">
        <f>ROUNDDOWN(I8/20,-4)</f>
        <v>1000000</v>
      </c>
      <c r="K8" s="26"/>
      <c r="L8" s="26"/>
      <c r="M8" s="26"/>
    </row>
    <row r="9" spans="1:13" ht="30" customHeight="1">
      <c r="A9" s="331"/>
      <c r="B9" s="193" t="s">
        <v>97</v>
      </c>
      <c r="C9" s="194" t="s">
        <v>159</v>
      </c>
      <c r="D9" s="195">
        <f>$D$8*80%</f>
        <v>364980</v>
      </c>
      <c r="E9" s="195">
        <f>D9*$E$6</f>
        <v>7620782.3999999994</v>
      </c>
      <c r="F9" s="195">
        <f t="shared" si="1"/>
        <v>8382860.6399999997</v>
      </c>
      <c r="G9" s="195">
        <f t="shared" si="2"/>
        <v>3200728.608</v>
      </c>
      <c r="H9" s="196">
        <f t="shared" si="3"/>
        <v>19204371.647999998</v>
      </c>
      <c r="I9" s="197">
        <v>18000000</v>
      </c>
      <c r="J9" s="201">
        <f>ROUNDDOWN(I9/20,-4)</f>
        <v>900000</v>
      </c>
      <c r="K9" s="26"/>
      <c r="L9" s="26"/>
      <c r="M9" s="26"/>
    </row>
    <row r="10" spans="1:13" ht="30" customHeight="1">
      <c r="A10" s="331"/>
      <c r="B10" s="193" t="s">
        <v>98</v>
      </c>
      <c r="C10" s="198" t="s">
        <v>161</v>
      </c>
      <c r="D10" s="199">
        <v>341404</v>
      </c>
      <c r="E10" s="195">
        <f t="shared" ref="E10:E11" si="4">D10*$E$6</f>
        <v>7128515.5199999996</v>
      </c>
      <c r="F10" s="195">
        <f t="shared" si="1"/>
        <v>7841367.0719999997</v>
      </c>
      <c r="G10" s="195">
        <f t="shared" si="2"/>
        <v>2993976.5184000004</v>
      </c>
      <c r="H10" s="196">
        <f>E10+F10+G10</f>
        <v>17963859.110399999</v>
      </c>
      <c r="I10" s="197">
        <v>15000000</v>
      </c>
      <c r="J10" s="201">
        <f>ROUNDDOWN(I10/20,-4)</f>
        <v>750000</v>
      </c>
      <c r="K10" s="26"/>
      <c r="L10" s="26"/>
      <c r="M10" s="26"/>
    </row>
    <row r="11" spans="1:13" ht="30" customHeight="1" thickBot="1">
      <c r="A11" s="332"/>
      <c r="B11" s="202" t="s">
        <v>99</v>
      </c>
      <c r="C11" s="203" t="s">
        <v>162</v>
      </c>
      <c r="D11" s="204">
        <v>435608</v>
      </c>
      <c r="E11" s="205">
        <f t="shared" si="4"/>
        <v>9095495.0399999991</v>
      </c>
      <c r="F11" s="205">
        <f t="shared" si="1"/>
        <v>10005044.544</v>
      </c>
      <c r="G11" s="205">
        <f t="shared" si="2"/>
        <v>3820107.9167999998</v>
      </c>
      <c r="H11" s="206">
        <f>E11+F11+G11</f>
        <v>22920647.500799999</v>
      </c>
      <c r="I11" s="207">
        <v>15000000</v>
      </c>
      <c r="J11" s="208">
        <v>750000</v>
      </c>
      <c r="K11" s="26"/>
      <c r="L11" s="26"/>
      <c r="M11" s="26"/>
    </row>
    <row r="12" spans="1:13" ht="20.100000000000001" customHeight="1">
      <c r="A12" s="55" t="s">
        <v>160</v>
      </c>
      <c r="B12" s="27"/>
      <c r="C12" s="27"/>
      <c r="D12" s="27"/>
      <c r="E12" s="27"/>
      <c r="F12" s="28"/>
      <c r="G12" s="29"/>
      <c r="H12" s="29"/>
      <c r="I12" s="56"/>
      <c r="J12" s="56"/>
    </row>
    <row r="13" spans="1:13" ht="20.100000000000001" customHeight="1">
      <c r="A13" s="330" t="s">
        <v>100</v>
      </c>
      <c r="B13" s="27"/>
      <c r="C13" s="27"/>
      <c r="D13" s="27"/>
      <c r="E13" s="27"/>
      <c r="F13" s="28"/>
      <c r="G13" s="29"/>
      <c r="H13" s="29"/>
      <c r="I13" s="29"/>
      <c r="J13" s="29"/>
    </row>
    <row r="14" spans="1:13" ht="20.100000000000001" customHeight="1">
      <c r="A14" s="330"/>
      <c r="B14" s="30"/>
      <c r="C14" s="30"/>
      <c r="D14" s="30"/>
      <c r="E14" s="30"/>
      <c r="F14" s="6"/>
      <c r="G14" s="31"/>
      <c r="H14" s="31"/>
      <c r="I14" s="31"/>
      <c r="J14" s="31"/>
    </row>
    <row r="15" spans="1:13" ht="20.100000000000001" customHeight="1">
      <c r="A15" s="123" t="s">
        <v>101</v>
      </c>
      <c r="B15" s="7"/>
      <c r="C15" s="7"/>
      <c r="D15" s="7"/>
      <c r="E15" s="7"/>
      <c r="F15" s="7"/>
      <c r="G15" s="7"/>
    </row>
    <row r="16" spans="1:13" ht="20.100000000000001" customHeight="1">
      <c r="A16" s="123" t="s">
        <v>102</v>
      </c>
      <c r="B16" s="7"/>
      <c r="C16" s="189"/>
      <c r="D16" s="189"/>
      <c r="E16" s="189"/>
      <c r="F16" s="189"/>
      <c r="G16" s="189"/>
    </row>
    <row r="17" spans="1:10" ht="20.100000000000001" customHeight="1">
      <c r="A17" s="123" t="s">
        <v>163</v>
      </c>
      <c r="B17" s="189"/>
      <c r="C17" s="189"/>
      <c r="D17" s="189"/>
      <c r="E17" s="189"/>
      <c r="F17" s="189"/>
      <c r="G17" s="189"/>
      <c r="J17" s="190"/>
    </row>
    <row r="18" spans="1:10" ht="20.100000000000001" customHeight="1">
      <c r="A18" s="123" t="s">
        <v>164</v>
      </c>
      <c r="B18" s="189"/>
      <c r="C18" s="189"/>
      <c r="D18" s="189"/>
      <c r="E18" s="189"/>
      <c r="F18" s="189"/>
      <c r="G18" s="189"/>
    </row>
    <row r="19" spans="1:10" ht="20.100000000000001" customHeight="1">
      <c r="A19" s="123" t="s">
        <v>144</v>
      </c>
      <c r="B19" s="189"/>
      <c r="C19" s="32"/>
      <c r="D19" s="32"/>
      <c r="E19" s="32"/>
      <c r="F19" s="33"/>
      <c r="G19" s="34"/>
      <c r="H19" s="34"/>
      <c r="I19" s="34"/>
      <c r="J19" s="34"/>
    </row>
    <row r="20" spans="1:10" ht="20.100000000000001" customHeight="1">
      <c r="A20" s="123" t="s">
        <v>165</v>
      </c>
      <c r="B20" s="189"/>
      <c r="C20" s="32"/>
      <c r="D20" s="32"/>
      <c r="E20" s="32"/>
      <c r="F20" s="33"/>
      <c r="G20" s="34"/>
      <c r="H20" s="34"/>
      <c r="I20" s="34"/>
      <c r="J20" s="34"/>
    </row>
    <row r="21" spans="1:10" ht="20.100000000000001" customHeight="1">
      <c r="A21" s="124" t="s">
        <v>103</v>
      </c>
      <c r="B21" s="189"/>
      <c r="C21" s="32"/>
      <c r="D21" s="32"/>
      <c r="E21" s="32"/>
      <c r="F21" s="33"/>
      <c r="G21" s="34"/>
      <c r="H21" s="34"/>
      <c r="I21" s="34"/>
      <c r="J21" s="34"/>
    </row>
    <row r="22" spans="1:10" ht="20.100000000000001" customHeight="1">
      <c r="A22" s="124" t="s">
        <v>104</v>
      </c>
      <c r="B22" s="32"/>
      <c r="C22" s="32"/>
      <c r="D22" s="32"/>
      <c r="E22" s="32"/>
      <c r="F22" s="33"/>
      <c r="G22" s="34"/>
      <c r="H22" s="34"/>
      <c r="I22" s="34"/>
      <c r="J22" s="34"/>
    </row>
    <row r="23" spans="1:10" ht="20.100000000000001" customHeight="1">
      <c r="A23" s="124" t="s">
        <v>166</v>
      </c>
      <c r="B23" s="32"/>
      <c r="C23" s="189"/>
      <c r="D23" s="189"/>
      <c r="E23" s="189"/>
      <c r="F23" s="189"/>
      <c r="G23" s="189"/>
    </row>
    <row r="24" spans="1:10" ht="20.100000000000001" customHeight="1">
      <c r="A24" s="123" t="s">
        <v>167</v>
      </c>
      <c r="B24" s="32"/>
    </row>
  </sheetData>
  <mergeCells count="15">
    <mergeCell ref="A1:J1"/>
    <mergeCell ref="A2:J2"/>
    <mergeCell ref="A3:G3"/>
    <mergeCell ref="H3:J3"/>
    <mergeCell ref="A4:G4"/>
    <mergeCell ref="H4:J4"/>
    <mergeCell ref="A13:A14"/>
    <mergeCell ref="A7:A11"/>
    <mergeCell ref="J5:J6"/>
    <mergeCell ref="A5:A6"/>
    <mergeCell ref="B5:B6"/>
    <mergeCell ref="C5:C6"/>
    <mergeCell ref="D5:D6"/>
    <mergeCell ref="H5:H6"/>
    <mergeCell ref="I5:I6"/>
  </mergeCells>
  <phoneticPr fontId="13" type="noConversion"/>
  <conditionalFormatting sqref="C7:C9">
    <cfRule type="duplicateValues" dxfId="0" priority="2"/>
  </conditionalFormatting>
  <pageMargins left="0.25" right="0.25" top="0.75" bottom="0.75" header="0.3" footer="0.3"/>
  <pageSetup paperSize="9" scale="7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31E6-FFE6-4E50-84B1-F08EA940A798}">
  <sheetPr>
    <tabColor theme="0" tint="-0.34998626667073579"/>
  </sheetPr>
  <dimension ref="A1"/>
  <sheetViews>
    <sheetView workbookViewId="0">
      <selection activeCell="G28" sqref="G28"/>
    </sheetView>
  </sheetViews>
  <sheetFormatPr defaultColWidth="8.8984375" defaultRowHeight="14.4"/>
  <cols>
    <col min="1" max="1" width="8.8984375" style="35"/>
    <col min="2" max="2" width="9.796875" style="35" customWidth="1"/>
    <col min="3" max="3" width="10.3984375" style="35" customWidth="1"/>
    <col min="4" max="4" width="23.69921875" style="35" customWidth="1"/>
    <col min="5" max="16384" width="8.8984375" style="35"/>
  </cols>
  <sheetData/>
  <phoneticPr fontId="13" type="noConversion"/>
  <hyperlinks>
    <hyperlink ref="D4" r:id="rId1" display="jmkim2@ksystem.co.kr" xr:uid="{88BB7E75-1CAE-40EB-B5A1-059A5DFF310D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7824-E420-4EE2-9168-80DA65161241}">
  <sheetPr>
    <tabColor theme="0" tint="-0.34998626667073579"/>
  </sheetPr>
  <dimension ref="A1:L36"/>
  <sheetViews>
    <sheetView view="pageBreakPreview" zoomScaleNormal="100" zoomScaleSheetLayoutView="100" workbookViewId="0">
      <selection activeCell="G28" sqref="G28"/>
    </sheetView>
  </sheetViews>
  <sheetFormatPr defaultRowHeight="22.5" customHeight="1"/>
  <cols>
    <col min="1" max="1" width="3.8984375" style="131" customWidth="1"/>
    <col min="2" max="2" width="12.09765625" style="131" customWidth="1"/>
    <col min="3" max="3" width="18" style="131" customWidth="1"/>
    <col min="4" max="4" width="6.3984375" style="132" customWidth="1"/>
    <col min="5" max="6" width="14.09765625" style="131" customWidth="1"/>
    <col min="7" max="7" width="10.19921875" style="131" customWidth="1"/>
    <col min="8" max="8" width="9.8984375" style="131" customWidth="1"/>
    <col min="9" max="9" width="9.09765625" style="131" bestFit="1" customWidth="1"/>
    <col min="10" max="10" width="8.3984375" style="131" customWidth="1"/>
    <col min="11" max="11" width="10" style="131" customWidth="1"/>
    <col min="12" max="12" width="21.09765625" style="131" customWidth="1"/>
    <col min="13" max="251" width="8.8984375" style="131"/>
    <col min="252" max="252" width="3.8984375" style="131" customWidth="1"/>
    <col min="253" max="253" width="12.09765625" style="131" customWidth="1"/>
    <col min="254" max="254" width="13.59765625" style="131" customWidth="1"/>
    <col min="255" max="255" width="5.69921875" style="131" customWidth="1"/>
    <col min="256" max="256" width="6.69921875" style="131" customWidth="1"/>
    <col min="257" max="257" width="9" style="131" customWidth="1"/>
    <col min="258" max="258" width="11.796875" style="131" customWidth="1"/>
    <col min="259" max="259" width="10.19921875" style="131" customWidth="1"/>
    <col min="260" max="260" width="9.8984375" style="131" customWidth="1"/>
    <col min="261" max="507" width="8.8984375" style="131"/>
    <col min="508" max="508" width="3.8984375" style="131" customWidth="1"/>
    <col min="509" max="509" width="12.09765625" style="131" customWidth="1"/>
    <col min="510" max="510" width="13.59765625" style="131" customWidth="1"/>
    <col min="511" max="511" width="5.69921875" style="131" customWidth="1"/>
    <col min="512" max="512" width="6.69921875" style="131" customWidth="1"/>
    <col min="513" max="513" width="9" style="131" customWidth="1"/>
    <col min="514" max="514" width="11.796875" style="131" customWidth="1"/>
    <col min="515" max="515" width="10.19921875" style="131" customWidth="1"/>
    <col min="516" max="516" width="9.8984375" style="131" customWidth="1"/>
    <col min="517" max="763" width="8.8984375" style="131"/>
    <col min="764" max="764" width="3.8984375" style="131" customWidth="1"/>
    <col min="765" max="765" width="12.09765625" style="131" customWidth="1"/>
    <col min="766" max="766" width="13.59765625" style="131" customWidth="1"/>
    <col min="767" max="767" width="5.69921875" style="131" customWidth="1"/>
    <col min="768" max="768" width="6.69921875" style="131" customWidth="1"/>
    <col min="769" max="769" width="9" style="131" customWidth="1"/>
    <col min="770" max="770" width="11.796875" style="131" customWidth="1"/>
    <col min="771" max="771" width="10.19921875" style="131" customWidth="1"/>
    <col min="772" max="772" width="9.8984375" style="131" customWidth="1"/>
    <col min="773" max="1019" width="8.8984375" style="131"/>
    <col min="1020" max="1020" width="3.8984375" style="131" customWidth="1"/>
    <col min="1021" max="1021" width="12.09765625" style="131" customWidth="1"/>
    <col min="1022" max="1022" width="13.59765625" style="131" customWidth="1"/>
    <col min="1023" max="1023" width="5.69921875" style="131" customWidth="1"/>
    <col min="1024" max="1024" width="6.69921875" style="131" customWidth="1"/>
    <col min="1025" max="1025" width="9" style="131" customWidth="1"/>
    <col min="1026" max="1026" width="11.796875" style="131" customWidth="1"/>
    <col min="1027" max="1027" width="10.19921875" style="131" customWidth="1"/>
    <col min="1028" max="1028" width="9.8984375" style="131" customWidth="1"/>
    <col min="1029" max="1275" width="8.8984375" style="131"/>
    <col min="1276" max="1276" width="3.8984375" style="131" customWidth="1"/>
    <col min="1277" max="1277" width="12.09765625" style="131" customWidth="1"/>
    <col min="1278" max="1278" width="13.59765625" style="131" customWidth="1"/>
    <col min="1279" max="1279" width="5.69921875" style="131" customWidth="1"/>
    <col min="1280" max="1280" width="6.69921875" style="131" customWidth="1"/>
    <col min="1281" max="1281" width="9" style="131" customWidth="1"/>
    <col min="1282" max="1282" width="11.796875" style="131" customWidth="1"/>
    <col min="1283" max="1283" width="10.19921875" style="131" customWidth="1"/>
    <col min="1284" max="1284" width="9.8984375" style="131" customWidth="1"/>
    <col min="1285" max="1531" width="8.8984375" style="131"/>
    <col min="1532" max="1532" width="3.8984375" style="131" customWidth="1"/>
    <col min="1533" max="1533" width="12.09765625" style="131" customWidth="1"/>
    <col min="1534" max="1534" width="13.59765625" style="131" customWidth="1"/>
    <col min="1535" max="1535" width="5.69921875" style="131" customWidth="1"/>
    <col min="1536" max="1536" width="6.69921875" style="131" customWidth="1"/>
    <col min="1537" max="1537" width="9" style="131" customWidth="1"/>
    <col min="1538" max="1538" width="11.796875" style="131" customWidth="1"/>
    <col min="1539" max="1539" width="10.19921875" style="131" customWidth="1"/>
    <col min="1540" max="1540" width="9.8984375" style="131" customWidth="1"/>
    <col min="1541" max="1787" width="8.8984375" style="131"/>
    <col min="1788" max="1788" width="3.8984375" style="131" customWidth="1"/>
    <col min="1789" max="1789" width="12.09765625" style="131" customWidth="1"/>
    <col min="1790" max="1790" width="13.59765625" style="131" customWidth="1"/>
    <col min="1791" max="1791" width="5.69921875" style="131" customWidth="1"/>
    <col min="1792" max="1792" width="6.69921875" style="131" customWidth="1"/>
    <col min="1793" max="1793" width="9" style="131" customWidth="1"/>
    <col min="1794" max="1794" width="11.796875" style="131" customWidth="1"/>
    <col min="1795" max="1795" width="10.19921875" style="131" customWidth="1"/>
    <col min="1796" max="1796" width="9.8984375" style="131" customWidth="1"/>
    <col min="1797" max="2043" width="8.8984375" style="131"/>
    <col min="2044" max="2044" width="3.8984375" style="131" customWidth="1"/>
    <col min="2045" max="2045" width="12.09765625" style="131" customWidth="1"/>
    <col min="2046" max="2046" width="13.59765625" style="131" customWidth="1"/>
    <col min="2047" max="2047" width="5.69921875" style="131" customWidth="1"/>
    <col min="2048" max="2048" width="6.69921875" style="131" customWidth="1"/>
    <col min="2049" max="2049" width="9" style="131" customWidth="1"/>
    <col min="2050" max="2050" width="11.796875" style="131" customWidth="1"/>
    <col min="2051" max="2051" width="10.19921875" style="131" customWidth="1"/>
    <col min="2052" max="2052" width="9.8984375" style="131" customWidth="1"/>
    <col min="2053" max="2299" width="8.8984375" style="131"/>
    <col min="2300" max="2300" width="3.8984375" style="131" customWidth="1"/>
    <col min="2301" max="2301" width="12.09765625" style="131" customWidth="1"/>
    <col min="2302" max="2302" width="13.59765625" style="131" customWidth="1"/>
    <col min="2303" max="2303" width="5.69921875" style="131" customWidth="1"/>
    <col min="2304" max="2304" width="6.69921875" style="131" customWidth="1"/>
    <col min="2305" max="2305" width="9" style="131" customWidth="1"/>
    <col min="2306" max="2306" width="11.796875" style="131" customWidth="1"/>
    <col min="2307" max="2307" width="10.19921875" style="131" customWidth="1"/>
    <col min="2308" max="2308" width="9.8984375" style="131" customWidth="1"/>
    <col min="2309" max="2555" width="8.8984375" style="131"/>
    <col min="2556" max="2556" width="3.8984375" style="131" customWidth="1"/>
    <col min="2557" max="2557" width="12.09765625" style="131" customWidth="1"/>
    <col min="2558" max="2558" width="13.59765625" style="131" customWidth="1"/>
    <col min="2559" max="2559" width="5.69921875" style="131" customWidth="1"/>
    <col min="2560" max="2560" width="6.69921875" style="131" customWidth="1"/>
    <col min="2561" max="2561" width="9" style="131" customWidth="1"/>
    <col min="2562" max="2562" width="11.796875" style="131" customWidth="1"/>
    <col min="2563" max="2563" width="10.19921875" style="131" customWidth="1"/>
    <col min="2564" max="2564" width="9.8984375" style="131" customWidth="1"/>
    <col min="2565" max="2811" width="8.8984375" style="131"/>
    <col min="2812" max="2812" width="3.8984375" style="131" customWidth="1"/>
    <col min="2813" max="2813" width="12.09765625" style="131" customWidth="1"/>
    <col min="2814" max="2814" width="13.59765625" style="131" customWidth="1"/>
    <col min="2815" max="2815" width="5.69921875" style="131" customWidth="1"/>
    <col min="2816" max="2816" width="6.69921875" style="131" customWidth="1"/>
    <col min="2817" max="2817" width="9" style="131" customWidth="1"/>
    <col min="2818" max="2818" width="11.796875" style="131" customWidth="1"/>
    <col min="2819" max="2819" width="10.19921875" style="131" customWidth="1"/>
    <col min="2820" max="2820" width="9.8984375" style="131" customWidth="1"/>
    <col min="2821" max="3067" width="8.8984375" style="131"/>
    <col min="3068" max="3068" width="3.8984375" style="131" customWidth="1"/>
    <col min="3069" max="3069" width="12.09765625" style="131" customWidth="1"/>
    <col min="3070" max="3070" width="13.59765625" style="131" customWidth="1"/>
    <col min="3071" max="3071" width="5.69921875" style="131" customWidth="1"/>
    <col min="3072" max="3072" width="6.69921875" style="131" customWidth="1"/>
    <col min="3073" max="3073" width="9" style="131" customWidth="1"/>
    <col min="3074" max="3074" width="11.796875" style="131" customWidth="1"/>
    <col min="3075" max="3075" width="10.19921875" style="131" customWidth="1"/>
    <col min="3076" max="3076" width="9.8984375" style="131" customWidth="1"/>
    <col min="3077" max="3323" width="8.8984375" style="131"/>
    <col min="3324" max="3324" width="3.8984375" style="131" customWidth="1"/>
    <col min="3325" max="3325" width="12.09765625" style="131" customWidth="1"/>
    <col min="3326" max="3326" width="13.59765625" style="131" customWidth="1"/>
    <col min="3327" max="3327" width="5.69921875" style="131" customWidth="1"/>
    <col min="3328" max="3328" width="6.69921875" style="131" customWidth="1"/>
    <col min="3329" max="3329" width="9" style="131" customWidth="1"/>
    <col min="3330" max="3330" width="11.796875" style="131" customWidth="1"/>
    <col min="3331" max="3331" width="10.19921875" style="131" customWidth="1"/>
    <col min="3332" max="3332" width="9.8984375" style="131" customWidth="1"/>
    <col min="3333" max="3579" width="8.8984375" style="131"/>
    <col min="3580" max="3580" width="3.8984375" style="131" customWidth="1"/>
    <col min="3581" max="3581" width="12.09765625" style="131" customWidth="1"/>
    <col min="3582" max="3582" width="13.59765625" style="131" customWidth="1"/>
    <col min="3583" max="3583" width="5.69921875" style="131" customWidth="1"/>
    <col min="3584" max="3584" width="6.69921875" style="131" customWidth="1"/>
    <col min="3585" max="3585" width="9" style="131" customWidth="1"/>
    <col min="3586" max="3586" width="11.796875" style="131" customWidth="1"/>
    <col min="3587" max="3587" width="10.19921875" style="131" customWidth="1"/>
    <col min="3588" max="3588" width="9.8984375" style="131" customWidth="1"/>
    <col min="3589" max="3835" width="8.8984375" style="131"/>
    <col min="3836" max="3836" width="3.8984375" style="131" customWidth="1"/>
    <col min="3837" max="3837" width="12.09765625" style="131" customWidth="1"/>
    <col min="3838" max="3838" width="13.59765625" style="131" customWidth="1"/>
    <col min="3839" max="3839" width="5.69921875" style="131" customWidth="1"/>
    <col min="3840" max="3840" width="6.69921875" style="131" customWidth="1"/>
    <col min="3841" max="3841" width="9" style="131" customWidth="1"/>
    <col min="3842" max="3842" width="11.796875" style="131" customWidth="1"/>
    <col min="3843" max="3843" width="10.19921875" style="131" customWidth="1"/>
    <col min="3844" max="3844" width="9.8984375" style="131" customWidth="1"/>
    <col min="3845" max="4091" width="8.8984375" style="131"/>
    <col min="4092" max="4092" width="3.8984375" style="131" customWidth="1"/>
    <col min="4093" max="4093" width="12.09765625" style="131" customWidth="1"/>
    <col min="4094" max="4094" width="13.59765625" style="131" customWidth="1"/>
    <col min="4095" max="4095" width="5.69921875" style="131" customWidth="1"/>
    <col min="4096" max="4096" width="6.69921875" style="131" customWidth="1"/>
    <col min="4097" max="4097" width="9" style="131" customWidth="1"/>
    <col min="4098" max="4098" width="11.796875" style="131" customWidth="1"/>
    <col min="4099" max="4099" width="10.19921875" style="131" customWidth="1"/>
    <col min="4100" max="4100" width="9.8984375" style="131" customWidth="1"/>
    <col min="4101" max="4347" width="8.8984375" style="131"/>
    <col min="4348" max="4348" width="3.8984375" style="131" customWidth="1"/>
    <col min="4349" max="4349" width="12.09765625" style="131" customWidth="1"/>
    <col min="4350" max="4350" width="13.59765625" style="131" customWidth="1"/>
    <col min="4351" max="4351" width="5.69921875" style="131" customWidth="1"/>
    <col min="4352" max="4352" width="6.69921875" style="131" customWidth="1"/>
    <col min="4353" max="4353" width="9" style="131" customWidth="1"/>
    <col min="4354" max="4354" width="11.796875" style="131" customWidth="1"/>
    <col min="4355" max="4355" width="10.19921875" style="131" customWidth="1"/>
    <col min="4356" max="4356" width="9.8984375" style="131" customWidth="1"/>
    <col min="4357" max="4603" width="8.8984375" style="131"/>
    <col min="4604" max="4604" width="3.8984375" style="131" customWidth="1"/>
    <col min="4605" max="4605" width="12.09765625" style="131" customWidth="1"/>
    <col min="4606" max="4606" width="13.59765625" style="131" customWidth="1"/>
    <col min="4607" max="4607" width="5.69921875" style="131" customWidth="1"/>
    <col min="4608" max="4608" width="6.69921875" style="131" customWidth="1"/>
    <col min="4609" max="4609" width="9" style="131" customWidth="1"/>
    <col min="4610" max="4610" width="11.796875" style="131" customWidth="1"/>
    <col min="4611" max="4611" width="10.19921875" style="131" customWidth="1"/>
    <col min="4612" max="4612" width="9.8984375" style="131" customWidth="1"/>
    <col min="4613" max="4859" width="8.8984375" style="131"/>
    <col min="4860" max="4860" width="3.8984375" style="131" customWidth="1"/>
    <col min="4861" max="4861" width="12.09765625" style="131" customWidth="1"/>
    <col min="4862" max="4862" width="13.59765625" style="131" customWidth="1"/>
    <col min="4863" max="4863" width="5.69921875" style="131" customWidth="1"/>
    <col min="4864" max="4864" width="6.69921875" style="131" customWidth="1"/>
    <col min="4865" max="4865" width="9" style="131" customWidth="1"/>
    <col min="4866" max="4866" width="11.796875" style="131" customWidth="1"/>
    <col min="4867" max="4867" width="10.19921875" style="131" customWidth="1"/>
    <col min="4868" max="4868" width="9.8984375" style="131" customWidth="1"/>
    <col min="4869" max="5115" width="8.8984375" style="131"/>
    <col min="5116" max="5116" width="3.8984375" style="131" customWidth="1"/>
    <col min="5117" max="5117" width="12.09765625" style="131" customWidth="1"/>
    <col min="5118" max="5118" width="13.59765625" style="131" customWidth="1"/>
    <col min="5119" max="5119" width="5.69921875" style="131" customWidth="1"/>
    <col min="5120" max="5120" width="6.69921875" style="131" customWidth="1"/>
    <col min="5121" max="5121" width="9" style="131" customWidth="1"/>
    <col min="5122" max="5122" width="11.796875" style="131" customWidth="1"/>
    <col min="5123" max="5123" width="10.19921875" style="131" customWidth="1"/>
    <col min="5124" max="5124" width="9.8984375" style="131" customWidth="1"/>
    <col min="5125" max="5371" width="8.8984375" style="131"/>
    <col min="5372" max="5372" width="3.8984375" style="131" customWidth="1"/>
    <col min="5373" max="5373" width="12.09765625" style="131" customWidth="1"/>
    <col min="5374" max="5374" width="13.59765625" style="131" customWidth="1"/>
    <col min="5375" max="5375" width="5.69921875" style="131" customWidth="1"/>
    <col min="5376" max="5376" width="6.69921875" style="131" customWidth="1"/>
    <col min="5377" max="5377" width="9" style="131" customWidth="1"/>
    <col min="5378" max="5378" width="11.796875" style="131" customWidth="1"/>
    <col min="5379" max="5379" width="10.19921875" style="131" customWidth="1"/>
    <col min="5380" max="5380" width="9.8984375" style="131" customWidth="1"/>
    <col min="5381" max="5627" width="8.8984375" style="131"/>
    <col min="5628" max="5628" width="3.8984375" style="131" customWidth="1"/>
    <col min="5629" max="5629" width="12.09765625" style="131" customWidth="1"/>
    <col min="5630" max="5630" width="13.59765625" style="131" customWidth="1"/>
    <col min="5631" max="5631" width="5.69921875" style="131" customWidth="1"/>
    <col min="5632" max="5632" width="6.69921875" style="131" customWidth="1"/>
    <col min="5633" max="5633" width="9" style="131" customWidth="1"/>
    <col min="5634" max="5634" width="11.796875" style="131" customWidth="1"/>
    <col min="5635" max="5635" width="10.19921875" style="131" customWidth="1"/>
    <col min="5636" max="5636" width="9.8984375" style="131" customWidth="1"/>
    <col min="5637" max="5883" width="8.8984375" style="131"/>
    <col min="5884" max="5884" width="3.8984375" style="131" customWidth="1"/>
    <col min="5885" max="5885" width="12.09765625" style="131" customWidth="1"/>
    <col min="5886" max="5886" width="13.59765625" style="131" customWidth="1"/>
    <col min="5887" max="5887" width="5.69921875" style="131" customWidth="1"/>
    <col min="5888" max="5888" width="6.69921875" style="131" customWidth="1"/>
    <col min="5889" max="5889" width="9" style="131" customWidth="1"/>
    <col min="5890" max="5890" width="11.796875" style="131" customWidth="1"/>
    <col min="5891" max="5891" width="10.19921875" style="131" customWidth="1"/>
    <col min="5892" max="5892" width="9.8984375" style="131" customWidth="1"/>
    <col min="5893" max="6139" width="8.8984375" style="131"/>
    <col min="6140" max="6140" width="3.8984375" style="131" customWidth="1"/>
    <col min="6141" max="6141" width="12.09765625" style="131" customWidth="1"/>
    <col min="6142" max="6142" width="13.59765625" style="131" customWidth="1"/>
    <col min="6143" max="6143" width="5.69921875" style="131" customWidth="1"/>
    <col min="6144" max="6144" width="6.69921875" style="131" customWidth="1"/>
    <col min="6145" max="6145" width="9" style="131" customWidth="1"/>
    <col min="6146" max="6146" width="11.796875" style="131" customWidth="1"/>
    <col min="6147" max="6147" width="10.19921875" style="131" customWidth="1"/>
    <col min="6148" max="6148" width="9.8984375" style="131" customWidth="1"/>
    <col min="6149" max="6395" width="8.8984375" style="131"/>
    <col min="6396" max="6396" width="3.8984375" style="131" customWidth="1"/>
    <col min="6397" max="6397" width="12.09765625" style="131" customWidth="1"/>
    <col min="6398" max="6398" width="13.59765625" style="131" customWidth="1"/>
    <col min="6399" max="6399" width="5.69921875" style="131" customWidth="1"/>
    <col min="6400" max="6400" width="6.69921875" style="131" customWidth="1"/>
    <col min="6401" max="6401" width="9" style="131" customWidth="1"/>
    <col min="6402" max="6402" width="11.796875" style="131" customWidth="1"/>
    <col min="6403" max="6403" width="10.19921875" style="131" customWidth="1"/>
    <col min="6404" max="6404" width="9.8984375" style="131" customWidth="1"/>
    <col min="6405" max="6651" width="8.8984375" style="131"/>
    <col min="6652" max="6652" width="3.8984375" style="131" customWidth="1"/>
    <col min="6653" max="6653" width="12.09765625" style="131" customWidth="1"/>
    <col min="6654" max="6654" width="13.59765625" style="131" customWidth="1"/>
    <col min="6655" max="6655" width="5.69921875" style="131" customWidth="1"/>
    <col min="6656" max="6656" width="6.69921875" style="131" customWidth="1"/>
    <col min="6657" max="6657" width="9" style="131" customWidth="1"/>
    <col min="6658" max="6658" width="11.796875" style="131" customWidth="1"/>
    <col min="6659" max="6659" width="10.19921875" style="131" customWidth="1"/>
    <col min="6660" max="6660" width="9.8984375" style="131" customWidth="1"/>
    <col min="6661" max="6907" width="8.8984375" style="131"/>
    <col min="6908" max="6908" width="3.8984375" style="131" customWidth="1"/>
    <col min="6909" max="6909" width="12.09765625" style="131" customWidth="1"/>
    <col min="6910" max="6910" width="13.59765625" style="131" customWidth="1"/>
    <col min="6911" max="6911" width="5.69921875" style="131" customWidth="1"/>
    <col min="6912" max="6912" width="6.69921875" style="131" customWidth="1"/>
    <col min="6913" max="6913" width="9" style="131" customWidth="1"/>
    <col min="6914" max="6914" width="11.796875" style="131" customWidth="1"/>
    <col min="6915" max="6915" width="10.19921875" style="131" customWidth="1"/>
    <col min="6916" max="6916" width="9.8984375" style="131" customWidth="1"/>
    <col min="6917" max="7163" width="8.8984375" style="131"/>
    <col min="7164" max="7164" width="3.8984375" style="131" customWidth="1"/>
    <col min="7165" max="7165" width="12.09765625" style="131" customWidth="1"/>
    <col min="7166" max="7166" width="13.59765625" style="131" customWidth="1"/>
    <col min="7167" max="7167" width="5.69921875" style="131" customWidth="1"/>
    <col min="7168" max="7168" width="6.69921875" style="131" customWidth="1"/>
    <col min="7169" max="7169" width="9" style="131" customWidth="1"/>
    <col min="7170" max="7170" width="11.796875" style="131" customWidth="1"/>
    <col min="7171" max="7171" width="10.19921875" style="131" customWidth="1"/>
    <col min="7172" max="7172" width="9.8984375" style="131" customWidth="1"/>
    <col min="7173" max="7419" width="8.8984375" style="131"/>
    <col min="7420" max="7420" width="3.8984375" style="131" customWidth="1"/>
    <col min="7421" max="7421" width="12.09765625" style="131" customWidth="1"/>
    <col min="7422" max="7422" width="13.59765625" style="131" customWidth="1"/>
    <col min="7423" max="7423" width="5.69921875" style="131" customWidth="1"/>
    <col min="7424" max="7424" width="6.69921875" style="131" customWidth="1"/>
    <col min="7425" max="7425" width="9" style="131" customWidth="1"/>
    <col min="7426" max="7426" width="11.796875" style="131" customWidth="1"/>
    <col min="7427" max="7427" width="10.19921875" style="131" customWidth="1"/>
    <col min="7428" max="7428" width="9.8984375" style="131" customWidth="1"/>
    <col min="7429" max="7675" width="8.8984375" style="131"/>
    <col min="7676" max="7676" width="3.8984375" style="131" customWidth="1"/>
    <col min="7677" max="7677" width="12.09765625" style="131" customWidth="1"/>
    <col min="7678" max="7678" width="13.59765625" style="131" customWidth="1"/>
    <col min="7679" max="7679" width="5.69921875" style="131" customWidth="1"/>
    <col min="7680" max="7680" width="6.69921875" style="131" customWidth="1"/>
    <col min="7681" max="7681" width="9" style="131" customWidth="1"/>
    <col min="7682" max="7682" width="11.796875" style="131" customWidth="1"/>
    <col min="7683" max="7683" width="10.19921875" style="131" customWidth="1"/>
    <col min="7684" max="7684" width="9.8984375" style="131" customWidth="1"/>
    <col min="7685" max="7931" width="8.8984375" style="131"/>
    <col min="7932" max="7932" width="3.8984375" style="131" customWidth="1"/>
    <col min="7933" max="7933" width="12.09765625" style="131" customWidth="1"/>
    <col min="7934" max="7934" width="13.59765625" style="131" customWidth="1"/>
    <col min="7935" max="7935" width="5.69921875" style="131" customWidth="1"/>
    <col min="7936" max="7936" width="6.69921875" style="131" customWidth="1"/>
    <col min="7937" max="7937" width="9" style="131" customWidth="1"/>
    <col min="7938" max="7938" width="11.796875" style="131" customWidth="1"/>
    <col min="7939" max="7939" width="10.19921875" style="131" customWidth="1"/>
    <col min="7940" max="7940" width="9.8984375" style="131" customWidth="1"/>
    <col min="7941" max="8187" width="8.8984375" style="131"/>
    <col min="8188" max="8188" width="3.8984375" style="131" customWidth="1"/>
    <col min="8189" max="8189" width="12.09765625" style="131" customWidth="1"/>
    <col min="8190" max="8190" width="13.59765625" style="131" customWidth="1"/>
    <col min="8191" max="8191" width="5.69921875" style="131" customWidth="1"/>
    <col min="8192" max="8192" width="6.69921875" style="131" customWidth="1"/>
    <col min="8193" max="8193" width="9" style="131" customWidth="1"/>
    <col min="8194" max="8194" width="11.796875" style="131" customWidth="1"/>
    <col min="8195" max="8195" width="10.19921875" style="131" customWidth="1"/>
    <col min="8196" max="8196" width="9.8984375" style="131" customWidth="1"/>
    <col min="8197" max="8443" width="8.8984375" style="131"/>
    <col min="8444" max="8444" width="3.8984375" style="131" customWidth="1"/>
    <col min="8445" max="8445" width="12.09765625" style="131" customWidth="1"/>
    <col min="8446" max="8446" width="13.59765625" style="131" customWidth="1"/>
    <col min="8447" max="8447" width="5.69921875" style="131" customWidth="1"/>
    <col min="8448" max="8448" width="6.69921875" style="131" customWidth="1"/>
    <col min="8449" max="8449" width="9" style="131" customWidth="1"/>
    <col min="8450" max="8450" width="11.796875" style="131" customWidth="1"/>
    <col min="8451" max="8451" width="10.19921875" style="131" customWidth="1"/>
    <col min="8452" max="8452" width="9.8984375" style="131" customWidth="1"/>
    <col min="8453" max="8699" width="8.8984375" style="131"/>
    <col min="8700" max="8700" width="3.8984375" style="131" customWidth="1"/>
    <col min="8701" max="8701" width="12.09765625" style="131" customWidth="1"/>
    <col min="8702" max="8702" width="13.59765625" style="131" customWidth="1"/>
    <col min="8703" max="8703" width="5.69921875" style="131" customWidth="1"/>
    <col min="8704" max="8704" width="6.69921875" style="131" customWidth="1"/>
    <col min="8705" max="8705" width="9" style="131" customWidth="1"/>
    <col min="8706" max="8706" width="11.796875" style="131" customWidth="1"/>
    <col min="8707" max="8707" width="10.19921875" style="131" customWidth="1"/>
    <col min="8708" max="8708" width="9.8984375" style="131" customWidth="1"/>
    <col min="8709" max="8955" width="8.8984375" style="131"/>
    <col min="8956" max="8956" width="3.8984375" style="131" customWidth="1"/>
    <col min="8957" max="8957" width="12.09765625" style="131" customWidth="1"/>
    <col min="8958" max="8958" width="13.59765625" style="131" customWidth="1"/>
    <col min="8959" max="8959" width="5.69921875" style="131" customWidth="1"/>
    <col min="8960" max="8960" width="6.69921875" style="131" customWidth="1"/>
    <col min="8961" max="8961" width="9" style="131" customWidth="1"/>
    <col min="8962" max="8962" width="11.796875" style="131" customWidth="1"/>
    <col min="8963" max="8963" width="10.19921875" style="131" customWidth="1"/>
    <col min="8964" max="8964" width="9.8984375" style="131" customWidth="1"/>
    <col min="8965" max="9211" width="8.8984375" style="131"/>
    <col min="9212" max="9212" width="3.8984375" style="131" customWidth="1"/>
    <col min="9213" max="9213" width="12.09765625" style="131" customWidth="1"/>
    <col min="9214" max="9214" width="13.59765625" style="131" customWidth="1"/>
    <col min="9215" max="9215" width="5.69921875" style="131" customWidth="1"/>
    <col min="9216" max="9216" width="6.69921875" style="131" customWidth="1"/>
    <col min="9217" max="9217" width="9" style="131" customWidth="1"/>
    <col min="9218" max="9218" width="11.796875" style="131" customWidth="1"/>
    <col min="9219" max="9219" width="10.19921875" style="131" customWidth="1"/>
    <col min="9220" max="9220" width="9.8984375" style="131" customWidth="1"/>
    <col min="9221" max="9467" width="8.8984375" style="131"/>
    <col min="9468" max="9468" width="3.8984375" style="131" customWidth="1"/>
    <col min="9469" max="9469" width="12.09765625" style="131" customWidth="1"/>
    <col min="9470" max="9470" width="13.59765625" style="131" customWidth="1"/>
    <col min="9471" max="9471" width="5.69921875" style="131" customWidth="1"/>
    <col min="9472" max="9472" width="6.69921875" style="131" customWidth="1"/>
    <col min="9473" max="9473" width="9" style="131" customWidth="1"/>
    <col min="9474" max="9474" width="11.796875" style="131" customWidth="1"/>
    <col min="9475" max="9475" width="10.19921875" style="131" customWidth="1"/>
    <col min="9476" max="9476" width="9.8984375" style="131" customWidth="1"/>
    <col min="9477" max="9723" width="8.8984375" style="131"/>
    <col min="9724" max="9724" width="3.8984375" style="131" customWidth="1"/>
    <col min="9725" max="9725" width="12.09765625" style="131" customWidth="1"/>
    <col min="9726" max="9726" width="13.59765625" style="131" customWidth="1"/>
    <col min="9727" max="9727" width="5.69921875" style="131" customWidth="1"/>
    <col min="9728" max="9728" width="6.69921875" style="131" customWidth="1"/>
    <col min="9729" max="9729" width="9" style="131" customWidth="1"/>
    <col min="9730" max="9730" width="11.796875" style="131" customWidth="1"/>
    <col min="9731" max="9731" width="10.19921875" style="131" customWidth="1"/>
    <col min="9732" max="9732" width="9.8984375" style="131" customWidth="1"/>
    <col min="9733" max="9979" width="8.8984375" style="131"/>
    <col min="9980" max="9980" width="3.8984375" style="131" customWidth="1"/>
    <col min="9981" max="9981" width="12.09765625" style="131" customWidth="1"/>
    <col min="9982" max="9982" width="13.59765625" style="131" customWidth="1"/>
    <col min="9983" max="9983" width="5.69921875" style="131" customWidth="1"/>
    <col min="9984" max="9984" width="6.69921875" style="131" customWidth="1"/>
    <col min="9985" max="9985" width="9" style="131" customWidth="1"/>
    <col min="9986" max="9986" width="11.796875" style="131" customWidth="1"/>
    <col min="9987" max="9987" width="10.19921875" style="131" customWidth="1"/>
    <col min="9988" max="9988" width="9.8984375" style="131" customWidth="1"/>
    <col min="9989" max="10235" width="8.8984375" style="131"/>
    <col min="10236" max="10236" width="3.8984375" style="131" customWidth="1"/>
    <col min="10237" max="10237" width="12.09765625" style="131" customWidth="1"/>
    <col min="10238" max="10238" width="13.59765625" style="131" customWidth="1"/>
    <col min="10239" max="10239" width="5.69921875" style="131" customWidth="1"/>
    <col min="10240" max="10240" width="6.69921875" style="131" customWidth="1"/>
    <col min="10241" max="10241" width="9" style="131" customWidth="1"/>
    <col min="10242" max="10242" width="11.796875" style="131" customWidth="1"/>
    <col min="10243" max="10243" width="10.19921875" style="131" customWidth="1"/>
    <col min="10244" max="10244" width="9.8984375" style="131" customWidth="1"/>
    <col min="10245" max="10491" width="8.8984375" style="131"/>
    <col min="10492" max="10492" width="3.8984375" style="131" customWidth="1"/>
    <col min="10493" max="10493" width="12.09765625" style="131" customWidth="1"/>
    <col min="10494" max="10494" width="13.59765625" style="131" customWidth="1"/>
    <col min="10495" max="10495" width="5.69921875" style="131" customWidth="1"/>
    <col min="10496" max="10496" width="6.69921875" style="131" customWidth="1"/>
    <col min="10497" max="10497" width="9" style="131" customWidth="1"/>
    <col min="10498" max="10498" width="11.796875" style="131" customWidth="1"/>
    <col min="10499" max="10499" width="10.19921875" style="131" customWidth="1"/>
    <col min="10500" max="10500" width="9.8984375" style="131" customWidth="1"/>
    <col min="10501" max="10747" width="8.8984375" style="131"/>
    <col min="10748" max="10748" width="3.8984375" style="131" customWidth="1"/>
    <col min="10749" max="10749" width="12.09765625" style="131" customWidth="1"/>
    <col min="10750" max="10750" width="13.59765625" style="131" customWidth="1"/>
    <col min="10751" max="10751" width="5.69921875" style="131" customWidth="1"/>
    <col min="10752" max="10752" width="6.69921875" style="131" customWidth="1"/>
    <col min="10753" max="10753" width="9" style="131" customWidth="1"/>
    <col min="10754" max="10754" width="11.796875" style="131" customWidth="1"/>
    <col min="10755" max="10755" width="10.19921875" style="131" customWidth="1"/>
    <col min="10756" max="10756" width="9.8984375" style="131" customWidth="1"/>
    <col min="10757" max="11003" width="8.8984375" style="131"/>
    <col min="11004" max="11004" width="3.8984375" style="131" customWidth="1"/>
    <col min="11005" max="11005" width="12.09765625" style="131" customWidth="1"/>
    <col min="11006" max="11006" width="13.59765625" style="131" customWidth="1"/>
    <col min="11007" max="11007" width="5.69921875" style="131" customWidth="1"/>
    <col min="11008" max="11008" width="6.69921875" style="131" customWidth="1"/>
    <col min="11009" max="11009" width="9" style="131" customWidth="1"/>
    <col min="11010" max="11010" width="11.796875" style="131" customWidth="1"/>
    <col min="11011" max="11011" width="10.19921875" style="131" customWidth="1"/>
    <col min="11012" max="11012" width="9.8984375" style="131" customWidth="1"/>
    <col min="11013" max="11259" width="8.8984375" style="131"/>
    <col min="11260" max="11260" width="3.8984375" style="131" customWidth="1"/>
    <col min="11261" max="11261" width="12.09765625" style="131" customWidth="1"/>
    <col min="11262" max="11262" width="13.59765625" style="131" customWidth="1"/>
    <col min="11263" max="11263" width="5.69921875" style="131" customWidth="1"/>
    <col min="11264" max="11264" width="6.69921875" style="131" customWidth="1"/>
    <col min="11265" max="11265" width="9" style="131" customWidth="1"/>
    <col min="11266" max="11266" width="11.796875" style="131" customWidth="1"/>
    <col min="11267" max="11267" width="10.19921875" style="131" customWidth="1"/>
    <col min="11268" max="11268" width="9.8984375" style="131" customWidth="1"/>
    <col min="11269" max="11515" width="8.8984375" style="131"/>
    <col min="11516" max="11516" width="3.8984375" style="131" customWidth="1"/>
    <col min="11517" max="11517" width="12.09765625" style="131" customWidth="1"/>
    <col min="11518" max="11518" width="13.59765625" style="131" customWidth="1"/>
    <col min="11519" max="11519" width="5.69921875" style="131" customWidth="1"/>
    <col min="11520" max="11520" width="6.69921875" style="131" customWidth="1"/>
    <col min="11521" max="11521" width="9" style="131" customWidth="1"/>
    <col min="11522" max="11522" width="11.796875" style="131" customWidth="1"/>
    <col min="11523" max="11523" width="10.19921875" style="131" customWidth="1"/>
    <col min="11524" max="11524" width="9.8984375" style="131" customWidth="1"/>
    <col min="11525" max="11771" width="8.8984375" style="131"/>
    <col min="11772" max="11772" width="3.8984375" style="131" customWidth="1"/>
    <col min="11773" max="11773" width="12.09765625" style="131" customWidth="1"/>
    <col min="11774" max="11774" width="13.59765625" style="131" customWidth="1"/>
    <col min="11775" max="11775" width="5.69921875" style="131" customWidth="1"/>
    <col min="11776" max="11776" width="6.69921875" style="131" customWidth="1"/>
    <col min="11777" max="11777" width="9" style="131" customWidth="1"/>
    <col min="11778" max="11778" width="11.796875" style="131" customWidth="1"/>
    <col min="11779" max="11779" width="10.19921875" style="131" customWidth="1"/>
    <col min="11780" max="11780" width="9.8984375" style="131" customWidth="1"/>
    <col min="11781" max="12027" width="8.8984375" style="131"/>
    <col min="12028" max="12028" width="3.8984375" style="131" customWidth="1"/>
    <col min="12029" max="12029" width="12.09765625" style="131" customWidth="1"/>
    <col min="12030" max="12030" width="13.59765625" style="131" customWidth="1"/>
    <col min="12031" max="12031" width="5.69921875" style="131" customWidth="1"/>
    <col min="12032" max="12032" width="6.69921875" style="131" customWidth="1"/>
    <col min="12033" max="12033" width="9" style="131" customWidth="1"/>
    <col min="12034" max="12034" width="11.796875" style="131" customWidth="1"/>
    <col min="12035" max="12035" width="10.19921875" style="131" customWidth="1"/>
    <col min="12036" max="12036" width="9.8984375" style="131" customWidth="1"/>
    <col min="12037" max="12283" width="8.8984375" style="131"/>
    <col min="12284" max="12284" width="3.8984375" style="131" customWidth="1"/>
    <col min="12285" max="12285" width="12.09765625" style="131" customWidth="1"/>
    <col min="12286" max="12286" width="13.59765625" style="131" customWidth="1"/>
    <col min="12287" max="12287" width="5.69921875" style="131" customWidth="1"/>
    <col min="12288" max="12288" width="6.69921875" style="131" customWidth="1"/>
    <col min="12289" max="12289" width="9" style="131" customWidth="1"/>
    <col min="12290" max="12290" width="11.796875" style="131" customWidth="1"/>
    <col min="12291" max="12291" width="10.19921875" style="131" customWidth="1"/>
    <col min="12292" max="12292" width="9.8984375" style="131" customWidth="1"/>
    <col min="12293" max="12539" width="8.8984375" style="131"/>
    <col min="12540" max="12540" width="3.8984375" style="131" customWidth="1"/>
    <col min="12541" max="12541" width="12.09765625" style="131" customWidth="1"/>
    <col min="12542" max="12542" width="13.59765625" style="131" customWidth="1"/>
    <col min="12543" max="12543" width="5.69921875" style="131" customWidth="1"/>
    <col min="12544" max="12544" width="6.69921875" style="131" customWidth="1"/>
    <col min="12545" max="12545" width="9" style="131" customWidth="1"/>
    <col min="12546" max="12546" width="11.796875" style="131" customWidth="1"/>
    <col min="12547" max="12547" width="10.19921875" style="131" customWidth="1"/>
    <col min="12548" max="12548" width="9.8984375" style="131" customWidth="1"/>
    <col min="12549" max="12795" width="8.8984375" style="131"/>
    <col min="12796" max="12796" width="3.8984375" style="131" customWidth="1"/>
    <col min="12797" max="12797" width="12.09765625" style="131" customWidth="1"/>
    <col min="12798" max="12798" width="13.59765625" style="131" customWidth="1"/>
    <col min="12799" max="12799" width="5.69921875" style="131" customWidth="1"/>
    <col min="12800" max="12800" width="6.69921875" style="131" customWidth="1"/>
    <col min="12801" max="12801" width="9" style="131" customWidth="1"/>
    <col min="12802" max="12802" width="11.796875" style="131" customWidth="1"/>
    <col min="12803" max="12803" width="10.19921875" style="131" customWidth="1"/>
    <col min="12804" max="12804" width="9.8984375" style="131" customWidth="1"/>
    <col min="12805" max="13051" width="8.8984375" style="131"/>
    <col min="13052" max="13052" width="3.8984375" style="131" customWidth="1"/>
    <col min="13053" max="13053" width="12.09765625" style="131" customWidth="1"/>
    <col min="13054" max="13054" width="13.59765625" style="131" customWidth="1"/>
    <col min="13055" max="13055" width="5.69921875" style="131" customWidth="1"/>
    <col min="13056" max="13056" width="6.69921875" style="131" customWidth="1"/>
    <col min="13057" max="13057" width="9" style="131" customWidth="1"/>
    <col min="13058" max="13058" width="11.796875" style="131" customWidth="1"/>
    <col min="13059" max="13059" width="10.19921875" style="131" customWidth="1"/>
    <col min="13060" max="13060" width="9.8984375" style="131" customWidth="1"/>
    <col min="13061" max="13307" width="8.8984375" style="131"/>
    <col min="13308" max="13308" width="3.8984375" style="131" customWidth="1"/>
    <col min="13309" max="13309" width="12.09765625" style="131" customWidth="1"/>
    <col min="13310" max="13310" width="13.59765625" style="131" customWidth="1"/>
    <col min="13311" max="13311" width="5.69921875" style="131" customWidth="1"/>
    <col min="13312" max="13312" width="6.69921875" style="131" customWidth="1"/>
    <col min="13313" max="13313" width="9" style="131" customWidth="1"/>
    <col min="13314" max="13314" width="11.796875" style="131" customWidth="1"/>
    <col min="13315" max="13315" width="10.19921875" style="131" customWidth="1"/>
    <col min="13316" max="13316" width="9.8984375" style="131" customWidth="1"/>
    <col min="13317" max="13563" width="8.8984375" style="131"/>
    <col min="13564" max="13564" width="3.8984375" style="131" customWidth="1"/>
    <col min="13565" max="13565" width="12.09765625" style="131" customWidth="1"/>
    <col min="13566" max="13566" width="13.59765625" style="131" customWidth="1"/>
    <col min="13567" max="13567" width="5.69921875" style="131" customWidth="1"/>
    <col min="13568" max="13568" width="6.69921875" style="131" customWidth="1"/>
    <col min="13569" max="13569" width="9" style="131" customWidth="1"/>
    <col min="13570" max="13570" width="11.796875" style="131" customWidth="1"/>
    <col min="13571" max="13571" width="10.19921875" style="131" customWidth="1"/>
    <col min="13572" max="13572" width="9.8984375" style="131" customWidth="1"/>
    <col min="13573" max="13819" width="8.8984375" style="131"/>
    <col min="13820" max="13820" width="3.8984375" style="131" customWidth="1"/>
    <col min="13821" max="13821" width="12.09765625" style="131" customWidth="1"/>
    <col min="13822" max="13822" width="13.59765625" style="131" customWidth="1"/>
    <col min="13823" max="13823" width="5.69921875" style="131" customWidth="1"/>
    <col min="13824" max="13824" width="6.69921875" style="131" customWidth="1"/>
    <col min="13825" max="13825" width="9" style="131" customWidth="1"/>
    <col min="13826" max="13826" width="11.796875" style="131" customWidth="1"/>
    <col min="13827" max="13827" width="10.19921875" style="131" customWidth="1"/>
    <col min="13828" max="13828" width="9.8984375" style="131" customWidth="1"/>
    <col min="13829" max="14075" width="8.8984375" style="131"/>
    <col min="14076" max="14076" width="3.8984375" style="131" customWidth="1"/>
    <col min="14077" max="14077" width="12.09765625" style="131" customWidth="1"/>
    <col min="14078" max="14078" width="13.59765625" style="131" customWidth="1"/>
    <col min="14079" max="14079" width="5.69921875" style="131" customWidth="1"/>
    <col min="14080" max="14080" width="6.69921875" style="131" customWidth="1"/>
    <col min="14081" max="14081" width="9" style="131" customWidth="1"/>
    <col min="14082" max="14082" width="11.796875" style="131" customWidth="1"/>
    <col min="14083" max="14083" width="10.19921875" style="131" customWidth="1"/>
    <col min="14084" max="14084" width="9.8984375" style="131" customWidth="1"/>
    <col min="14085" max="14331" width="8.8984375" style="131"/>
    <col min="14332" max="14332" width="3.8984375" style="131" customWidth="1"/>
    <col min="14333" max="14333" width="12.09765625" style="131" customWidth="1"/>
    <col min="14334" max="14334" width="13.59765625" style="131" customWidth="1"/>
    <col min="14335" max="14335" width="5.69921875" style="131" customWidth="1"/>
    <col min="14336" max="14336" width="6.69921875" style="131" customWidth="1"/>
    <col min="14337" max="14337" width="9" style="131" customWidth="1"/>
    <col min="14338" max="14338" width="11.796875" style="131" customWidth="1"/>
    <col min="14339" max="14339" width="10.19921875" style="131" customWidth="1"/>
    <col min="14340" max="14340" width="9.8984375" style="131" customWidth="1"/>
    <col min="14341" max="14587" width="8.8984375" style="131"/>
    <col min="14588" max="14588" width="3.8984375" style="131" customWidth="1"/>
    <col min="14589" max="14589" width="12.09765625" style="131" customWidth="1"/>
    <col min="14590" max="14590" width="13.59765625" style="131" customWidth="1"/>
    <col min="14591" max="14591" width="5.69921875" style="131" customWidth="1"/>
    <col min="14592" max="14592" width="6.69921875" style="131" customWidth="1"/>
    <col min="14593" max="14593" width="9" style="131" customWidth="1"/>
    <col min="14594" max="14594" width="11.796875" style="131" customWidth="1"/>
    <col min="14595" max="14595" width="10.19921875" style="131" customWidth="1"/>
    <col min="14596" max="14596" width="9.8984375" style="131" customWidth="1"/>
    <col min="14597" max="14843" width="8.8984375" style="131"/>
    <col min="14844" max="14844" width="3.8984375" style="131" customWidth="1"/>
    <col min="14845" max="14845" width="12.09765625" style="131" customWidth="1"/>
    <col min="14846" max="14846" width="13.59765625" style="131" customWidth="1"/>
    <col min="14847" max="14847" width="5.69921875" style="131" customWidth="1"/>
    <col min="14848" max="14848" width="6.69921875" style="131" customWidth="1"/>
    <col min="14849" max="14849" width="9" style="131" customWidth="1"/>
    <col min="14850" max="14850" width="11.796875" style="131" customWidth="1"/>
    <col min="14851" max="14851" width="10.19921875" style="131" customWidth="1"/>
    <col min="14852" max="14852" width="9.8984375" style="131" customWidth="1"/>
    <col min="14853" max="15099" width="8.8984375" style="131"/>
    <col min="15100" max="15100" width="3.8984375" style="131" customWidth="1"/>
    <col min="15101" max="15101" width="12.09765625" style="131" customWidth="1"/>
    <col min="15102" max="15102" width="13.59765625" style="131" customWidth="1"/>
    <col min="15103" max="15103" width="5.69921875" style="131" customWidth="1"/>
    <col min="15104" max="15104" width="6.69921875" style="131" customWidth="1"/>
    <col min="15105" max="15105" width="9" style="131" customWidth="1"/>
    <col min="15106" max="15106" width="11.796875" style="131" customWidth="1"/>
    <col min="15107" max="15107" width="10.19921875" style="131" customWidth="1"/>
    <col min="15108" max="15108" width="9.8984375" style="131" customWidth="1"/>
    <col min="15109" max="15355" width="8.8984375" style="131"/>
    <col min="15356" max="15356" width="3.8984375" style="131" customWidth="1"/>
    <col min="15357" max="15357" width="12.09765625" style="131" customWidth="1"/>
    <col min="15358" max="15358" width="13.59765625" style="131" customWidth="1"/>
    <col min="15359" max="15359" width="5.69921875" style="131" customWidth="1"/>
    <col min="15360" max="15360" width="6.69921875" style="131" customWidth="1"/>
    <col min="15361" max="15361" width="9" style="131" customWidth="1"/>
    <col min="15362" max="15362" width="11.796875" style="131" customWidth="1"/>
    <col min="15363" max="15363" width="10.19921875" style="131" customWidth="1"/>
    <col min="15364" max="15364" width="9.8984375" style="131" customWidth="1"/>
    <col min="15365" max="15611" width="8.8984375" style="131"/>
    <col min="15612" max="15612" width="3.8984375" style="131" customWidth="1"/>
    <col min="15613" max="15613" width="12.09765625" style="131" customWidth="1"/>
    <col min="15614" max="15614" width="13.59765625" style="131" customWidth="1"/>
    <col min="15615" max="15615" width="5.69921875" style="131" customWidth="1"/>
    <col min="15616" max="15616" width="6.69921875" style="131" customWidth="1"/>
    <col min="15617" max="15617" width="9" style="131" customWidth="1"/>
    <col min="15618" max="15618" width="11.796875" style="131" customWidth="1"/>
    <col min="15619" max="15619" width="10.19921875" style="131" customWidth="1"/>
    <col min="15620" max="15620" width="9.8984375" style="131" customWidth="1"/>
    <col min="15621" max="15867" width="8.8984375" style="131"/>
    <col min="15868" max="15868" width="3.8984375" style="131" customWidth="1"/>
    <col min="15869" max="15869" width="12.09765625" style="131" customWidth="1"/>
    <col min="15870" max="15870" width="13.59765625" style="131" customWidth="1"/>
    <col min="15871" max="15871" width="5.69921875" style="131" customWidth="1"/>
    <col min="15872" max="15872" width="6.69921875" style="131" customWidth="1"/>
    <col min="15873" max="15873" width="9" style="131" customWidth="1"/>
    <col min="15874" max="15874" width="11.796875" style="131" customWidth="1"/>
    <col min="15875" max="15875" width="10.19921875" style="131" customWidth="1"/>
    <col min="15876" max="15876" width="9.8984375" style="131" customWidth="1"/>
    <col min="15877" max="16123" width="8.8984375" style="131"/>
    <col min="16124" max="16124" width="3.8984375" style="131" customWidth="1"/>
    <col min="16125" max="16125" width="12.09765625" style="131" customWidth="1"/>
    <col min="16126" max="16126" width="13.59765625" style="131" customWidth="1"/>
    <col min="16127" max="16127" width="5.69921875" style="131" customWidth="1"/>
    <col min="16128" max="16128" width="6.69921875" style="131" customWidth="1"/>
    <col min="16129" max="16129" width="9" style="131" customWidth="1"/>
    <col min="16130" max="16130" width="11.796875" style="131" customWidth="1"/>
    <col min="16131" max="16131" width="10.19921875" style="131" customWidth="1"/>
    <col min="16132" max="16132" width="9.8984375" style="131" customWidth="1"/>
    <col min="16133" max="16384" width="8.8984375" style="131"/>
  </cols>
  <sheetData>
    <row r="1" spans="1:12" s="130" customFormat="1" ht="28.5" customHeight="1">
      <c r="A1" s="365" t="s">
        <v>142</v>
      </c>
      <c r="B1" s="366"/>
      <c r="C1" s="366"/>
      <c r="D1" s="366"/>
      <c r="E1" s="366"/>
      <c r="F1" s="366"/>
      <c r="G1" s="366"/>
      <c r="H1" s="366"/>
    </row>
    <row r="2" spans="1:12" ht="22.5" customHeight="1">
      <c r="J2" s="350" t="s">
        <v>105</v>
      </c>
      <c r="K2" s="133" t="s">
        <v>106</v>
      </c>
      <c r="L2" s="134" t="s">
        <v>107</v>
      </c>
    </row>
    <row r="3" spans="1:12" ht="22.5" customHeight="1">
      <c r="J3" s="350"/>
      <c r="K3" s="133" t="s">
        <v>108</v>
      </c>
      <c r="L3" s="134" t="s">
        <v>109</v>
      </c>
    </row>
    <row r="4" spans="1:12" s="138" customFormat="1" ht="22.5" customHeight="1">
      <c r="A4" s="135" t="s">
        <v>110</v>
      </c>
      <c r="B4" s="136"/>
      <c r="C4" s="137" t="str">
        <f>종합!A4</f>
        <v>㈜우원기술</v>
      </c>
      <c r="D4" s="132"/>
      <c r="J4" s="139" t="s">
        <v>111</v>
      </c>
    </row>
    <row r="5" spans="1:12" s="138" customFormat="1" ht="22.5" customHeight="1">
      <c r="A5" s="135" t="s">
        <v>112</v>
      </c>
      <c r="B5" s="136"/>
      <c r="C5" s="137"/>
      <c r="D5" s="132"/>
      <c r="J5" s="139" t="s">
        <v>113</v>
      </c>
    </row>
    <row r="6" spans="1:12" s="138" customFormat="1" ht="22.5" customHeight="1">
      <c r="A6" s="135" t="s">
        <v>114</v>
      </c>
      <c r="B6" s="136"/>
      <c r="C6" s="137" t="s">
        <v>115</v>
      </c>
      <c r="D6" s="132"/>
      <c r="J6" s="139" t="s">
        <v>116</v>
      </c>
    </row>
    <row r="7" spans="1:12" s="138" customFormat="1" ht="22.5" customHeight="1">
      <c r="A7" s="135" t="s">
        <v>117</v>
      </c>
      <c r="B7" s="136"/>
      <c r="C7" s="137" t="s">
        <v>118</v>
      </c>
      <c r="D7" s="132"/>
      <c r="J7" s="139"/>
    </row>
    <row r="8" spans="1:12" s="138" customFormat="1" ht="22.5" customHeight="1">
      <c r="A8" s="135" t="s">
        <v>119</v>
      </c>
      <c r="B8" s="140"/>
      <c r="C8" s="141"/>
      <c r="D8" s="132"/>
      <c r="F8" s="142"/>
      <c r="G8" s="143"/>
      <c r="J8" s="139" t="s">
        <v>120</v>
      </c>
    </row>
    <row r="9" spans="1:12" s="138" customFormat="1" ht="22.5" customHeight="1">
      <c r="A9" s="135" t="s">
        <v>121</v>
      </c>
      <c r="B9" s="140"/>
      <c r="C9" s="144" t="s">
        <v>122</v>
      </c>
      <c r="D9" s="132"/>
      <c r="F9" s="142"/>
      <c r="G9" s="143"/>
      <c r="J9" s="139" t="s">
        <v>123</v>
      </c>
    </row>
    <row r="10" spans="1:12" s="138" customFormat="1" ht="22.5" customHeight="1">
      <c r="C10" s="138" t="s">
        <v>124</v>
      </c>
      <c r="D10" s="145"/>
      <c r="E10" s="367"/>
      <c r="F10" s="367"/>
      <c r="G10" s="367"/>
      <c r="H10" s="367"/>
    </row>
    <row r="11" spans="1:12" s="147" customFormat="1" ht="22.5" customHeight="1">
      <c r="A11" s="136" t="s">
        <v>125</v>
      </c>
      <c r="B11" s="146"/>
      <c r="D11" s="148"/>
    </row>
    <row r="12" spans="1:12" s="147" customFormat="1" ht="22.5" customHeight="1">
      <c r="A12" s="149" t="s">
        <v>126</v>
      </c>
      <c r="B12" s="150" t="s">
        <v>127</v>
      </c>
      <c r="C12" s="150" t="s">
        <v>128</v>
      </c>
      <c r="D12" s="151" t="s">
        <v>13</v>
      </c>
      <c r="E12" s="152" t="s">
        <v>129</v>
      </c>
      <c r="F12" s="152" t="s">
        <v>130</v>
      </c>
      <c r="G12" s="152" t="s">
        <v>131</v>
      </c>
      <c r="H12" s="150" t="s">
        <v>132</v>
      </c>
    </row>
    <row r="13" spans="1:12" s="138" customFormat="1" ht="22.5" customHeight="1">
      <c r="A13" s="368">
        <v>1</v>
      </c>
      <c r="B13" s="369" t="str">
        <f>C4</f>
        <v>㈜우원기술</v>
      </c>
      <c r="C13" s="153" t="s">
        <v>133</v>
      </c>
      <c r="D13" s="154">
        <v>1</v>
      </c>
      <c r="E13" s="155">
        <f>인건비!N4</f>
        <v>30925000</v>
      </c>
      <c r="F13" s="156">
        <f>E13</f>
        <v>30925000</v>
      </c>
      <c r="G13" s="156">
        <f>F13*0.1</f>
        <v>3092500</v>
      </c>
      <c r="H13" s="157" t="str">
        <f>인건비!K4</f>
        <v>계약금</v>
      </c>
    </row>
    <row r="14" spans="1:12" s="138" customFormat="1" ht="22.5" customHeight="1">
      <c r="A14" s="368"/>
      <c r="B14" s="369"/>
      <c r="C14" s="158"/>
      <c r="D14" s="154"/>
      <c r="E14" s="155"/>
      <c r="F14" s="156"/>
      <c r="G14" s="156"/>
      <c r="H14" s="157"/>
      <c r="I14" s="159"/>
    </row>
    <row r="15" spans="1:12" s="142" customFormat="1" ht="22.5" customHeight="1">
      <c r="A15" s="360" t="s">
        <v>134</v>
      </c>
      <c r="B15" s="370"/>
      <c r="C15" s="370"/>
      <c r="D15" s="370"/>
      <c r="E15" s="371"/>
      <c r="F15" s="160">
        <f>SUM(F13:F14)</f>
        <v>30925000</v>
      </c>
      <c r="G15" s="161">
        <f>SUM(G13:G14)</f>
        <v>3092500</v>
      </c>
      <c r="H15" s="162"/>
    </row>
    <row r="16" spans="1:12" s="142" customFormat="1" ht="22.5" customHeight="1">
      <c r="A16" s="360" t="s">
        <v>135</v>
      </c>
      <c r="B16" s="361"/>
      <c r="C16" s="361"/>
      <c r="D16" s="361"/>
      <c r="E16" s="362"/>
      <c r="F16" s="363">
        <f>F15+G15</f>
        <v>34017500</v>
      </c>
      <c r="G16" s="364"/>
      <c r="H16" s="163"/>
    </row>
    <row r="17" spans="1:8" s="139" customFormat="1" ht="22.5" customHeight="1">
      <c r="A17" s="344" t="s">
        <v>136</v>
      </c>
      <c r="B17" s="345"/>
      <c r="C17" s="164" t="s">
        <v>137</v>
      </c>
      <c r="D17" s="350"/>
      <c r="E17" s="350"/>
      <c r="F17" s="165" t="s">
        <v>138</v>
      </c>
      <c r="G17" s="351"/>
      <c r="H17" s="352"/>
    </row>
    <row r="18" spans="1:8" s="138" customFormat="1" ht="22.5" customHeight="1">
      <c r="A18" s="346"/>
      <c r="B18" s="347"/>
      <c r="C18" s="164" t="s">
        <v>139</v>
      </c>
      <c r="D18" s="351"/>
      <c r="E18" s="353"/>
      <c r="F18" s="353"/>
      <c r="G18" s="353"/>
      <c r="H18" s="352"/>
    </row>
    <row r="19" spans="1:8" s="138" customFormat="1" ht="22.5" customHeight="1">
      <c r="A19" s="346"/>
      <c r="B19" s="347"/>
      <c r="C19" s="164" t="s">
        <v>140</v>
      </c>
      <c r="D19" s="354"/>
      <c r="E19" s="354"/>
      <c r="F19" s="354"/>
      <c r="G19" s="354"/>
      <c r="H19" s="355"/>
    </row>
    <row r="20" spans="1:8" s="138" customFormat="1" ht="22.5" customHeight="1">
      <c r="A20" s="348"/>
      <c r="B20" s="349"/>
      <c r="C20" s="164" t="s">
        <v>141</v>
      </c>
      <c r="D20" s="356"/>
      <c r="E20" s="357"/>
      <c r="F20" s="165" t="s">
        <v>143</v>
      </c>
      <c r="G20" s="358"/>
      <c r="H20" s="359"/>
    </row>
    <row r="21" spans="1:8" s="166" customFormat="1" ht="22.5" customHeight="1">
      <c r="A21" s="343"/>
      <c r="B21" s="343"/>
      <c r="C21" s="343"/>
      <c r="D21" s="343"/>
      <c r="E21" s="343"/>
      <c r="F21" s="343"/>
      <c r="G21" s="343"/>
      <c r="H21" s="343"/>
    </row>
    <row r="34" spans="3:3" ht="22.5" customHeight="1">
      <c r="C34" s="167"/>
    </row>
    <row r="35" spans="3:3" ht="22.5" customHeight="1">
      <c r="C35" s="167"/>
    </row>
    <row r="36" spans="3:3" ht="22.5" customHeight="1">
      <c r="C36" s="167"/>
    </row>
  </sheetData>
  <mergeCells count="16">
    <mergeCell ref="J2:J3"/>
    <mergeCell ref="A16:E16"/>
    <mergeCell ref="F16:G16"/>
    <mergeCell ref="A1:H1"/>
    <mergeCell ref="E10:H10"/>
    <mergeCell ref="A13:A14"/>
    <mergeCell ref="B13:B14"/>
    <mergeCell ref="A15:E15"/>
    <mergeCell ref="A21:H21"/>
    <mergeCell ref="A17:B20"/>
    <mergeCell ref="D17:E17"/>
    <mergeCell ref="G17:H17"/>
    <mergeCell ref="D18:H18"/>
    <mergeCell ref="D19:H19"/>
    <mergeCell ref="D20:E20"/>
    <mergeCell ref="G20:H20"/>
  </mergeCells>
  <phoneticPr fontId="13" type="noConversion"/>
  <hyperlinks>
    <hyperlink ref="L2" r:id="rId1" xr:uid="{657A811F-6453-4AEC-B9B4-A0CF3DE2D546}"/>
    <hyperlink ref="L3" r:id="rId2" xr:uid="{79B8BC96-7B63-4695-A099-1AF77FF056D9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85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9352-DCCD-453D-9584-11BAA43E8663}">
  <sheetPr>
    <tabColor theme="0" tint="-0.34998626667073579"/>
  </sheetPr>
  <dimension ref="A1:L36"/>
  <sheetViews>
    <sheetView view="pageBreakPreview" zoomScaleNormal="100" zoomScaleSheetLayoutView="100" workbookViewId="0">
      <selection activeCell="G28" sqref="G28"/>
    </sheetView>
  </sheetViews>
  <sheetFormatPr defaultRowHeight="22.5" customHeight="1"/>
  <cols>
    <col min="1" max="1" width="3.8984375" style="131" customWidth="1"/>
    <col min="2" max="2" width="12.09765625" style="131" customWidth="1"/>
    <col min="3" max="3" width="18" style="131" customWidth="1"/>
    <col min="4" max="4" width="6.3984375" style="132" customWidth="1"/>
    <col min="5" max="6" width="14.09765625" style="131" customWidth="1"/>
    <col min="7" max="7" width="10.19921875" style="131" customWidth="1"/>
    <col min="8" max="8" width="9.8984375" style="131" customWidth="1"/>
    <col min="9" max="9" width="9.09765625" style="131" bestFit="1" customWidth="1"/>
    <col min="10" max="10" width="8.296875" style="131" bestFit="1" customWidth="1"/>
    <col min="11" max="11" width="10.296875" style="131" customWidth="1"/>
    <col min="12" max="12" width="19" style="131" customWidth="1"/>
    <col min="13" max="251" width="8.8984375" style="131"/>
    <col min="252" max="252" width="3.8984375" style="131" customWidth="1"/>
    <col min="253" max="253" width="12.09765625" style="131" customWidth="1"/>
    <col min="254" max="254" width="13.59765625" style="131" customWidth="1"/>
    <col min="255" max="255" width="5.69921875" style="131" customWidth="1"/>
    <col min="256" max="256" width="6.69921875" style="131" customWidth="1"/>
    <col min="257" max="257" width="9" style="131" customWidth="1"/>
    <col min="258" max="258" width="11.796875" style="131" customWidth="1"/>
    <col min="259" max="259" width="10.19921875" style="131" customWidth="1"/>
    <col min="260" max="260" width="9.8984375" style="131" customWidth="1"/>
    <col min="261" max="507" width="8.8984375" style="131"/>
    <col min="508" max="508" width="3.8984375" style="131" customWidth="1"/>
    <col min="509" max="509" width="12.09765625" style="131" customWidth="1"/>
    <col min="510" max="510" width="13.59765625" style="131" customWidth="1"/>
    <col min="511" max="511" width="5.69921875" style="131" customWidth="1"/>
    <col min="512" max="512" width="6.69921875" style="131" customWidth="1"/>
    <col min="513" max="513" width="9" style="131" customWidth="1"/>
    <col min="514" max="514" width="11.796875" style="131" customWidth="1"/>
    <col min="515" max="515" width="10.19921875" style="131" customWidth="1"/>
    <col min="516" max="516" width="9.8984375" style="131" customWidth="1"/>
    <col min="517" max="763" width="8.8984375" style="131"/>
    <col min="764" max="764" width="3.8984375" style="131" customWidth="1"/>
    <col min="765" max="765" width="12.09765625" style="131" customWidth="1"/>
    <col min="766" max="766" width="13.59765625" style="131" customWidth="1"/>
    <col min="767" max="767" width="5.69921875" style="131" customWidth="1"/>
    <col min="768" max="768" width="6.69921875" style="131" customWidth="1"/>
    <col min="769" max="769" width="9" style="131" customWidth="1"/>
    <col min="770" max="770" width="11.796875" style="131" customWidth="1"/>
    <col min="771" max="771" width="10.19921875" style="131" customWidth="1"/>
    <col min="772" max="772" width="9.8984375" style="131" customWidth="1"/>
    <col min="773" max="1019" width="8.8984375" style="131"/>
    <col min="1020" max="1020" width="3.8984375" style="131" customWidth="1"/>
    <col min="1021" max="1021" width="12.09765625" style="131" customWidth="1"/>
    <col min="1022" max="1022" width="13.59765625" style="131" customWidth="1"/>
    <col min="1023" max="1023" width="5.69921875" style="131" customWidth="1"/>
    <col min="1024" max="1024" width="6.69921875" style="131" customWidth="1"/>
    <col min="1025" max="1025" width="9" style="131" customWidth="1"/>
    <col min="1026" max="1026" width="11.796875" style="131" customWidth="1"/>
    <col min="1027" max="1027" width="10.19921875" style="131" customWidth="1"/>
    <col min="1028" max="1028" width="9.8984375" style="131" customWidth="1"/>
    <col min="1029" max="1275" width="8.8984375" style="131"/>
    <col min="1276" max="1276" width="3.8984375" style="131" customWidth="1"/>
    <col min="1277" max="1277" width="12.09765625" style="131" customWidth="1"/>
    <col min="1278" max="1278" width="13.59765625" style="131" customWidth="1"/>
    <col min="1279" max="1279" width="5.69921875" style="131" customWidth="1"/>
    <col min="1280" max="1280" width="6.69921875" style="131" customWidth="1"/>
    <col min="1281" max="1281" width="9" style="131" customWidth="1"/>
    <col min="1282" max="1282" width="11.796875" style="131" customWidth="1"/>
    <col min="1283" max="1283" width="10.19921875" style="131" customWidth="1"/>
    <col min="1284" max="1284" width="9.8984375" style="131" customWidth="1"/>
    <col min="1285" max="1531" width="8.8984375" style="131"/>
    <col min="1532" max="1532" width="3.8984375" style="131" customWidth="1"/>
    <col min="1533" max="1533" width="12.09765625" style="131" customWidth="1"/>
    <col min="1534" max="1534" width="13.59765625" style="131" customWidth="1"/>
    <col min="1535" max="1535" width="5.69921875" style="131" customWidth="1"/>
    <col min="1536" max="1536" width="6.69921875" style="131" customWidth="1"/>
    <col min="1537" max="1537" width="9" style="131" customWidth="1"/>
    <col min="1538" max="1538" width="11.796875" style="131" customWidth="1"/>
    <col min="1539" max="1539" width="10.19921875" style="131" customWidth="1"/>
    <col min="1540" max="1540" width="9.8984375" style="131" customWidth="1"/>
    <col min="1541" max="1787" width="8.8984375" style="131"/>
    <col min="1788" max="1788" width="3.8984375" style="131" customWidth="1"/>
    <col min="1789" max="1789" width="12.09765625" style="131" customWidth="1"/>
    <col min="1790" max="1790" width="13.59765625" style="131" customWidth="1"/>
    <col min="1791" max="1791" width="5.69921875" style="131" customWidth="1"/>
    <col min="1792" max="1792" width="6.69921875" style="131" customWidth="1"/>
    <col min="1793" max="1793" width="9" style="131" customWidth="1"/>
    <col min="1794" max="1794" width="11.796875" style="131" customWidth="1"/>
    <col min="1795" max="1795" width="10.19921875" style="131" customWidth="1"/>
    <col min="1796" max="1796" width="9.8984375" style="131" customWidth="1"/>
    <col min="1797" max="2043" width="8.8984375" style="131"/>
    <col min="2044" max="2044" width="3.8984375" style="131" customWidth="1"/>
    <col min="2045" max="2045" width="12.09765625" style="131" customWidth="1"/>
    <col min="2046" max="2046" width="13.59765625" style="131" customWidth="1"/>
    <col min="2047" max="2047" width="5.69921875" style="131" customWidth="1"/>
    <col min="2048" max="2048" width="6.69921875" style="131" customWidth="1"/>
    <col min="2049" max="2049" width="9" style="131" customWidth="1"/>
    <col min="2050" max="2050" width="11.796875" style="131" customWidth="1"/>
    <col min="2051" max="2051" width="10.19921875" style="131" customWidth="1"/>
    <col min="2052" max="2052" width="9.8984375" style="131" customWidth="1"/>
    <col min="2053" max="2299" width="8.8984375" style="131"/>
    <col min="2300" max="2300" width="3.8984375" style="131" customWidth="1"/>
    <col min="2301" max="2301" width="12.09765625" style="131" customWidth="1"/>
    <col min="2302" max="2302" width="13.59765625" style="131" customWidth="1"/>
    <col min="2303" max="2303" width="5.69921875" style="131" customWidth="1"/>
    <col min="2304" max="2304" width="6.69921875" style="131" customWidth="1"/>
    <col min="2305" max="2305" width="9" style="131" customWidth="1"/>
    <col min="2306" max="2306" width="11.796875" style="131" customWidth="1"/>
    <col min="2307" max="2307" width="10.19921875" style="131" customWidth="1"/>
    <col min="2308" max="2308" width="9.8984375" style="131" customWidth="1"/>
    <col min="2309" max="2555" width="8.8984375" style="131"/>
    <col min="2556" max="2556" width="3.8984375" style="131" customWidth="1"/>
    <col min="2557" max="2557" width="12.09765625" style="131" customWidth="1"/>
    <col min="2558" max="2558" width="13.59765625" style="131" customWidth="1"/>
    <col min="2559" max="2559" width="5.69921875" style="131" customWidth="1"/>
    <col min="2560" max="2560" width="6.69921875" style="131" customWidth="1"/>
    <col min="2561" max="2561" width="9" style="131" customWidth="1"/>
    <col min="2562" max="2562" width="11.796875" style="131" customWidth="1"/>
    <col min="2563" max="2563" width="10.19921875" style="131" customWidth="1"/>
    <col min="2564" max="2564" width="9.8984375" style="131" customWidth="1"/>
    <col min="2565" max="2811" width="8.8984375" style="131"/>
    <col min="2812" max="2812" width="3.8984375" style="131" customWidth="1"/>
    <col min="2813" max="2813" width="12.09765625" style="131" customWidth="1"/>
    <col min="2814" max="2814" width="13.59765625" style="131" customWidth="1"/>
    <col min="2815" max="2815" width="5.69921875" style="131" customWidth="1"/>
    <col min="2816" max="2816" width="6.69921875" style="131" customWidth="1"/>
    <col min="2817" max="2817" width="9" style="131" customWidth="1"/>
    <col min="2818" max="2818" width="11.796875" style="131" customWidth="1"/>
    <col min="2819" max="2819" width="10.19921875" style="131" customWidth="1"/>
    <col min="2820" max="2820" width="9.8984375" style="131" customWidth="1"/>
    <col min="2821" max="3067" width="8.8984375" style="131"/>
    <col min="3068" max="3068" width="3.8984375" style="131" customWidth="1"/>
    <col min="3069" max="3069" width="12.09765625" style="131" customWidth="1"/>
    <col min="3070" max="3070" width="13.59765625" style="131" customWidth="1"/>
    <col min="3071" max="3071" width="5.69921875" style="131" customWidth="1"/>
    <col min="3072" max="3072" width="6.69921875" style="131" customWidth="1"/>
    <col min="3073" max="3073" width="9" style="131" customWidth="1"/>
    <col min="3074" max="3074" width="11.796875" style="131" customWidth="1"/>
    <col min="3075" max="3075" width="10.19921875" style="131" customWidth="1"/>
    <col min="3076" max="3076" width="9.8984375" style="131" customWidth="1"/>
    <col min="3077" max="3323" width="8.8984375" style="131"/>
    <col min="3324" max="3324" width="3.8984375" style="131" customWidth="1"/>
    <col min="3325" max="3325" width="12.09765625" style="131" customWidth="1"/>
    <col min="3326" max="3326" width="13.59765625" style="131" customWidth="1"/>
    <col min="3327" max="3327" width="5.69921875" style="131" customWidth="1"/>
    <col min="3328" max="3328" width="6.69921875" style="131" customWidth="1"/>
    <col min="3329" max="3329" width="9" style="131" customWidth="1"/>
    <col min="3330" max="3330" width="11.796875" style="131" customWidth="1"/>
    <col min="3331" max="3331" width="10.19921875" style="131" customWidth="1"/>
    <col min="3332" max="3332" width="9.8984375" style="131" customWidth="1"/>
    <col min="3333" max="3579" width="8.8984375" style="131"/>
    <col min="3580" max="3580" width="3.8984375" style="131" customWidth="1"/>
    <col min="3581" max="3581" width="12.09765625" style="131" customWidth="1"/>
    <col min="3582" max="3582" width="13.59765625" style="131" customWidth="1"/>
    <col min="3583" max="3583" width="5.69921875" style="131" customWidth="1"/>
    <col min="3584" max="3584" width="6.69921875" style="131" customWidth="1"/>
    <col min="3585" max="3585" width="9" style="131" customWidth="1"/>
    <col min="3586" max="3586" width="11.796875" style="131" customWidth="1"/>
    <col min="3587" max="3587" width="10.19921875" style="131" customWidth="1"/>
    <col min="3588" max="3588" width="9.8984375" style="131" customWidth="1"/>
    <col min="3589" max="3835" width="8.8984375" style="131"/>
    <col min="3836" max="3836" width="3.8984375" style="131" customWidth="1"/>
    <col min="3837" max="3837" width="12.09765625" style="131" customWidth="1"/>
    <col min="3838" max="3838" width="13.59765625" style="131" customWidth="1"/>
    <col min="3839" max="3839" width="5.69921875" style="131" customWidth="1"/>
    <col min="3840" max="3840" width="6.69921875" style="131" customWidth="1"/>
    <col min="3841" max="3841" width="9" style="131" customWidth="1"/>
    <col min="3842" max="3842" width="11.796875" style="131" customWidth="1"/>
    <col min="3843" max="3843" width="10.19921875" style="131" customWidth="1"/>
    <col min="3844" max="3844" width="9.8984375" style="131" customWidth="1"/>
    <col min="3845" max="4091" width="8.8984375" style="131"/>
    <col min="4092" max="4092" width="3.8984375" style="131" customWidth="1"/>
    <col min="4093" max="4093" width="12.09765625" style="131" customWidth="1"/>
    <col min="4094" max="4094" width="13.59765625" style="131" customWidth="1"/>
    <col min="4095" max="4095" width="5.69921875" style="131" customWidth="1"/>
    <col min="4096" max="4096" width="6.69921875" style="131" customWidth="1"/>
    <col min="4097" max="4097" width="9" style="131" customWidth="1"/>
    <col min="4098" max="4098" width="11.796875" style="131" customWidth="1"/>
    <col min="4099" max="4099" width="10.19921875" style="131" customWidth="1"/>
    <col min="4100" max="4100" width="9.8984375" style="131" customWidth="1"/>
    <col min="4101" max="4347" width="8.8984375" style="131"/>
    <col min="4348" max="4348" width="3.8984375" style="131" customWidth="1"/>
    <col min="4349" max="4349" width="12.09765625" style="131" customWidth="1"/>
    <col min="4350" max="4350" width="13.59765625" style="131" customWidth="1"/>
    <col min="4351" max="4351" width="5.69921875" style="131" customWidth="1"/>
    <col min="4352" max="4352" width="6.69921875" style="131" customWidth="1"/>
    <col min="4353" max="4353" width="9" style="131" customWidth="1"/>
    <col min="4354" max="4354" width="11.796875" style="131" customWidth="1"/>
    <col min="4355" max="4355" width="10.19921875" style="131" customWidth="1"/>
    <col min="4356" max="4356" width="9.8984375" style="131" customWidth="1"/>
    <col min="4357" max="4603" width="8.8984375" style="131"/>
    <col min="4604" max="4604" width="3.8984375" style="131" customWidth="1"/>
    <col min="4605" max="4605" width="12.09765625" style="131" customWidth="1"/>
    <col min="4606" max="4606" width="13.59765625" style="131" customWidth="1"/>
    <col min="4607" max="4607" width="5.69921875" style="131" customWidth="1"/>
    <col min="4608" max="4608" width="6.69921875" style="131" customWidth="1"/>
    <col min="4609" max="4609" width="9" style="131" customWidth="1"/>
    <col min="4610" max="4610" width="11.796875" style="131" customWidth="1"/>
    <col min="4611" max="4611" width="10.19921875" style="131" customWidth="1"/>
    <col min="4612" max="4612" width="9.8984375" style="131" customWidth="1"/>
    <col min="4613" max="4859" width="8.8984375" style="131"/>
    <col min="4860" max="4860" width="3.8984375" style="131" customWidth="1"/>
    <col min="4861" max="4861" width="12.09765625" style="131" customWidth="1"/>
    <col min="4862" max="4862" width="13.59765625" style="131" customWidth="1"/>
    <col min="4863" max="4863" width="5.69921875" style="131" customWidth="1"/>
    <col min="4864" max="4864" width="6.69921875" style="131" customWidth="1"/>
    <col min="4865" max="4865" width="9" style="131" customWidth="1"/>
    <col min="4866" max="4866" width="11.796875" style="131" customWidth="1"/>
    <col min="4867" max="4867" width="10.19921875" style="131" customWidth="1"/>
    <col min="4868" max="4868" width="9.8984375" style="131" customWidth="1"/>
    <col min="4869" max="5115" width="8.8984375" style="131"/>
    <col min="5116" max="5116" width="3.8984375" style="131" customWidth="1"/>
    <col min="5117" max="5117" width="12.09765625" style="131" customWidth="1"/>
    <col min="5118" max="5118" width="13.59765625" style="131" customWidth="1"/>
    <col min="5119" max="5119" width="5.69921875" style="131" customWidth="1"/>
    <col min="5120" max="5120" width="6.69921875" style="131" customWidth="1"/>
    <col min="5121" max="5121" width="9" style="131" customWidth="1"/>
    <col min="5122" max="5122" width="11.796875" style="131" customWidth="1"/>
    <col min="5123" max="5123" width="10.19921875" style="131" customWidth="1"/>
    <col min="5124" max="5124" width="9.8984375" style="131" customWidth="1"/>
    <col min="5125" max="5371" width="8.8984375" style="131"/>
    <col min="5372" max="5372" width="3.8984375" style="131" customWidth="1"/>
    <col min="5373" max="5373" width="12.09765625" style="131" customWidth="1"/>
    <col min="5374" max="5374" width="13.59765625" style="131" customWidth="1"/>
    <col min="5375" max="5375" width="5.69921875" style="131" customWidth="1"/>
    <col min="5376" max="5376" width="6.69921875" style="131" customWidth="1"/>
    <col min="5377" max="5377" width="9" style="131" customWidth="1"/>
    <col min="5378" max="5378" width="11.796875" style="131" customWidth="1"/>
    <col min="5379" max="5379" width="10.19921875" style="131" customWidth="1"/>
    <col min="5380" max="5380" width="9.8984375" style="131" customWidth="1"/>
    <col min="5381" max="5627" width="8.8984375" style="131"/>
    <col min="5628" max="5628" width="3.8984375" style="131" customWidth="1"/>
    <col min="5629" max="5629" width="12.09765625" style="131" customWidth="1"/>
    <col min="5630" max="5630" width="13.59765625" style="131" customWidth="1"/>
    <col min="5631" max="5631" width="5.69921875" style="131" customWidth="1"/>
    <col min="5632" max="5632" width="6.69921875" style="131" customWidth="1"/>
    <col min="5633" max="5633" width="9" style="131" customWidth="1"/>
    <col min="5634" max="5634" width="11.796875" style="131" customWidth="1"/>
    <col min="5635" max="5635" width="10.19921875" style="131" customWidth="1"/>
    <col min="5636" max="5636" width="9.8984375" style="131" customWidth="1"/>
    <col min="5637" max="5883" width="8.8984375" style="131"/>
    <col min="5884" max="5884" width="3.8984375" style="131" customWidth="1"/>
    <col min="5885" max="5885" width="12.09765625" style="131" customWidth="1"/>
    <col min="5886" max="5886" width="13.59765625" style="131" customWidth="1"/>
    <col min="5887" max="5887" width="5.69921875" style="131" customWidth="1"/>
    <col min="5888" max="5888" width="6.69921875" style="131" customWidth="1"/>
    <col min="5889" max="5889" width="9" style="131" customWidth="1"/>
    <col min="5890" max="5890" width="11.796875" style="131" customWidth="1"/>
    <col min="5891" max="5891" width="10.19921875" style="131" customWidth="1"/>
    <col min="5892" max="5892" width="9.8984375" style="131" customWidth="1"/>
    <col min="5893" max="6139" width="8.8984375" style="131"/>
    <col min="6140" max="6140" width="3.8984375" style="131" customWidth="1"/>
    <col min="6141" max="6141" width="12.09765625" style="131" customWidth="1"/>
    <col min="6142" max="6142" width="13.59765625" style="131" customWidth="1"/>
    <col min="6143" max="6143" width="5.69921875" style="131" customWidth="1"/>
    <col min="6144" max="6144" width="6.69921875" style="131" customWidth="1"/>
    <col min="6145" max="6145" width="9" style="131" customWidth="1"/>
    <col min="6146" max="6146" width="11.796875" style="131" customWidth="1"/>
    <col min="6147" max="6147" width="10.19921875" style="131" customWidth="1"/>
    <col min="6148" max="6148" width="9.8984375" style="131" customWidth="1"/>
    <col min="6149" max="6395" width="8.8984375" style="131"/>
    <col min="6396" max="6396" width="3.8984375" style="131" customWidth="1"/>
    <col min="6397" max="6397" width="12.09765625" style="131" customWidth="1"/>
    <col min="6398" max="6398" width="13.59765625" style="131" customWidth="1"/>
    <col min="6399" max="6399" width="5.69921875" style="131" customWidth="1"/>
    <col min="6400" max="6400" width="6.69921875" style="131" customWidth="1"/>
    <col min="6401" max="6401" width="9" style="131" customWidth="1"/>
    <col min="6402" max="6402" width="11.796875" style="131" customWidth="1"/>
    <col min="6403" max="6403" width="10.19921875" style="131" customWidth="1"/>
    <col min="6404" max="6404" width="9.8984375" style="131" customWidth="1"/>
    <col min="6405" max="6651" width="8.8984375" style="131"/>
    <col min="6652" max="6652" width="3.8984375" style="131" customWidth="1"/>
    <col min="6653" max="6653" width="12.09765625" style="131" customWidth="1"/>
    <col min="6654" max="6654" width="13.59765625" style="131" customWidth="1"/>
    <col min="6655" max="6655" width="5.69921875" style="131" customWidth="1"/>
    <col min="6656" max="6656" width="6.69921875" style="131" customWidth="1"/>
    <col min="6657" max="6657" width="9" style="131" customWidth="1"/>
    <col min="6658" max="6658" width="11.796875" style="131" customWidth="1"/>
    <col min="6659" max="6659" width="10.19921875" style="131" customWidth="1"/>
    <col min="6660" max="6660" width="9.8984375" style="131" customWidth="1"/>
    <col min="6661" max="6907" width="8.8984375" style="131"/>
    <col min="6908" max="6908" width="3.8984375" style="131" customWidth="1"/>
    <col min="6909" max="6909" width="12.09765625" style="131" customWidth="1"/>
    <col min="6910" max="6910" width="13.59765625" style="131" customWidth="1"/>
    <col min="6911" max="6911" width="5.69921875" style="131" customWidth="1"/>
    <col min="6912" max="6912" width="6.69921875" style="131" customWidth="1"/>
    <col min="6913" max="6913" width="9" style="131" customWidth="1"/>
    <col min="6914" max="6914" width="11.796875" style="131" customWidth="1"/>
    <col min="6915" max="6915" width="10.19921875" style="131" customWidth="1"/>
    <col min="6916" max="6916" width="9.8984375" style="131" customWidth="1"/>
    <col min="6917" max="7163" width="8.8984375" style="131"/>
    <col min="7164" max="7164" width="3.8984375" style="131" customWidth="1"/>
    <col min="7165" max="7165" width="12.09765625" style="131" customWidth="1"/>
    <col min="7166" max="7166" width="13.59765625" style="131" customWidth="1"/>
    <col min="7167" max="7167" width="5.69921875" style="131" customWidth="1"/>
    <col min="7168" max="7168" width="6.69921875" style="131" customWidth="1"/>
    <col min="7169" max="7169" width="9" style="131" customWidth="1"/>
    <col min="7170" max="7170" width="11.796875" style="131" customWidth="1"/>
    <col min="7171" max="7171" width="10.19921875" style="131" customWidth="1"/>
    <col min="7172" max="7172" width="9.8984375" style="131" customWidth="1"/>
    <col min="7173" max="7419" width="8.8984375" style="131"/>
    <col min="7420" max="7420" width="3.8984375" style="131" customWidth="1"/>
    <col min="7421" max="7421" width="12.09765625" style="131" customWidth="1"/>
    <col min="7422" max="7422" width="13.59765625" style="131" customWidth="1"/>
    <col min="7423" max="7423" width="5.69921875" style="131" customWidth="1"/>
    <col min="7424" max="7424" width="6.69921875" style="131" customWidth="1"/>
    <col min="7425" max="7425" width="9" style="131" customWidth="1"/>
    <col min="7426" max="7426" width="11.796875" style="131" customWidth="1"/>
    <col min="7427" max="7427" width="10.19921875" style="131" customWidth="1"/>
    <col min="7428" max="7428" width="9.8984375" style="131" customWidth="1"/>
    <col min="7429" max="7675" width="8.8984375" style="131"/>
    <col min="7676" max="7676" width="3.8984375" style="131" customWidth="1"/>
    <col min="7677" max="7677" width="12.09765625" style="131" customWidth="1"/>
    <col min="7678" max="7678" width="13.59765625" style="131" customWidth="1"/>
    <col min="7679" max="7679" width="5.69921875" style="131" customWidth="1"/>
    <col min="7680" max="7680" width="6.69921875" style="131" customWidth="1"/>
    <col min="7681" max="7681" width="9" style="131" customWidth="1"/>
    <col min="7682" max="7682" width="11.796875" style="131" customWidth="1"/>
    <col min="7683" max="7683" width="10.19921875" style="131" customWidth="1"/>
    <col min="7684" max="7684" width="9.8984375" style="131" customWidth="1"/>
    <col min="7685" max="7931" width="8.8984375" style="131"/>
    <col min="7932" max="7932" width="3.8984375" style="131" customWidth="1"/>
    <col min="7933" max="7933" width="12.09765625" style="131" customWidth="1"/>
    <col min="7934" max="7934" width="13.59765625" style="131" customWidth="1"/>
    <col min="7935" max="7935" width="5.69921875" style="131" customWidth="1"/>
    <col min="7936" max="7936" width="6.69921875" style="131" customWidth="1"/>
    <col min="7937" max="7937" width="9" style="131" customWidth="1"/>
    <col min="7938" max="7938" width="11.796875" style="131" customWidth="1"/>
    <col min="7939" max="7939" width="10.19921875" style="131" customWidth="1"/>
    <col min="7940" max="7940" width="9.8984375" style="131" customWidth="1"/>
    <col min="7941" max="8187" width="8.8984375" style="131"/>
    <col min="8188" max="8188" width="3.8984375" style="131" customWidth="1"/>
    <col min="8189" max="8189" width="12.09765625" style="131" customWidth="1"/>
    <col min="8190" max="8190" width="13.59765625" style="131" customWidth="1"/>
    <col min="8191" max="8191" width="5.69921875" style="131" customWidth="1"/>
    <col min="8192" max="8192" width="6.69921875" style="131" customWidth="1"/>
    <col min="8193" max="8193" width="9" style="131" customWidth="1"/>
    <col min="8194" max="8194" width="11.796875" style="131" customWidth="1"/>
    <col min="8195" max="8195" width="10.19921875" style="131" customWidth="1"/>
    <col min="8196" max="8196" width="9.8984375" style="131" customWidth="1"/>
    <col min="8197" max="8443" width="8.8984375" style="131"/>
    <col min="8444" max="8444" width="3.8984375" style="131" customWidth="1"/>
    <col min="8445" max="8445" width="12.09765625" style="131" customWidth="1"/>
    <col min="8446" max="8446" width="13.59765625" style="131" customWidth="1"/>
    <col min="8447" max="8447" width="5.69921875" style="131" customWidth="1"/>
    <col min="8448" max="8448" width="6.69921875" style="131" customWidth="1"/>
    <col min="8449" max="8449" width="9" style="131" customWidth="1"/>
    <col min="8450" max="8450" width="11.796875" style="131" customWidth="1"/>
    <col min="8451" max="8451" width="10.19921875" style="131" customWidth="1"/>
    <col min="8452" max="8452" width="9.8984375" style="131" customWidth="1"/>
    <col min="8453" max="8699" width="8.8984375" style="131"/>
    <col min="8700" max="8700" width="3.8984375" style="131" customWidth="1"/>
    <col min="8701" max="8701" width="12.09765625" style="131" customWidth="1"/>
    <col min="8702" max="8702" width="13.59765625" style="131" customWidth="1"/>
    <col min="8703" max="8703" width="5.69921875" style="131" customWidth="1"/>
    <col min="8704" max="8704" width="6.69921875" style="131" customWidth="1"/>
    <col min="8705" max="8705" width="9" style="131" customWidth="1"/>
    <col min="8706" max="8706" width="11.796875" style="131" customWidth="1"/>
    <col min="8707" max="8707" width="10.19921875" style="131" customWidth="1"/>
    <col min="8708" max="8708" width="9.8984375" style="131" customWidth="1"/>
    <col min="8709" max="8955" width="8.8984375" style="131"/>
    <col min="8956" max="8956" width="3.8984375" style="131" customWidth="1"/>
    <col min="8957" max="8957" width="12.09765625" style="131" customWidth="1"/>
    <col min="8958" max="8958" width="13.59765625" style="131" customWidth="1"/>
    <col min="8959" max="8959" width="5.69921875" style="131" customWidth="1"/>
    <col min="8960" max="8960" width="6.69921875" style="131" customWidth="1"/>
    <col min="8961" max="8961" width="9" style="131" customWidth="1"/>
    <col min="8962" max="8962" width="11.796875" style="131" customWidth="1"/>
    <col min="8963" max="8963" width="10.19921875" style="131" customWidth="1"/>
    <col min="8964" max="8964" width="9.8984375" style="131" customWidth="1"/>
    <col min="8965" max="9211" width="8.8984375" style="131"/>
    <col min="9212" max="9212" width="3.8984375" style="131" customWidth="1"/>
    <col min="9213" max="9213" width="12.09765625" style="131" customWidth="1"/>
    <col min="9214" max="9214" width="13.59765625" style="131" customWidth="1"/>
    <col min="9215" max="9215" width="5.69921875" style="131" customWidth="1"/>
    <col min="9216" max="9216" width="6.69921875" style="131" customWidth="1"/>
    <col min="9217" max="9217" width="9" style="131" customWidth="1"/>
    <col min="9218" max="9218" width="11.796875" style="131" customWidth="1"/>
    <col min="9219" max="9219" width="10.19921875" style="131" customWidth="1"/>
    <col min="9220" max="9220" width="9.8984375" style="131" customWidth="1"/>
    <col min="9221" max="9467" width="8.8984375" style="131"/>
    <col min="9468" max="9468" width="3.8984375" style="131" customWidth="1"/>
    <col min="9469" max="9469" width="12.09765625" style="131" customWidth="1"/>
    <col min="9470" max="9470" width="13.59765625" style="131" customWidth="1"/>
    <col min="9471" max="9471" width="5.69921875" style="131" customWidth="1"/>
    <col min="9472" max="9472" width="6.69921875" style="131" customWidth="1"/>
    <col min="9473" max="9473" width="9" style="131" customWidth="1"/>
    <col min="9474" max="9474" width="11.796875" style="131" customWidth="1"/>
    <col min="9475" max="9475" width="10.19921875" style="131" customWidth="1"/>
    <col min="9476" max="9476" width="9.8984375" style="131" customWidth="1"/>
    <col min="9477" max="9723" width="8.8984375" style="131"/>
    <col min="9724" max="9724" width="3.8984375" style="131" customWidth="1"/>
    <col min="9725" max="9725" width="12.09765625" style="131" customWidth="1"/>
    <col min="9726" max="9726" width="13.59765625" style="131" customWidth="1"/>
    <col min="9727" max="9727" width="5.69921875" style="131" customWidth="1"/>
    <col min="9728" max="9728" width="6.69921875" style="131" customWidth="1"/>
    <col min="9729" max="9729" width="9" style="131" customWidth="1"/>
    <col min="9730" max="9730" width="11.796875" style="131" customWidth="1"/>
    <col min="9731" max="9731" width="10.19921875" style="131" customWidth="1"/>
    <col min="9732" max="9732" width="9.8984375" style="131" customWidth="1"/>
    <col min="9733" max="9979" width="8.8984375" style="131"/>
    <col min="9980" max="9980" width="3.8984375" style="131" customWidth="1"/>
    <col min="9981" max="9981" width="12.09765625" style="131" customWidth="1"/>
    <col min="9982" max="9982" width="13.59765625" style="131" customWidth="1"/>
    <col min="9983" max="9983" width="5.69921875" style="131" customWidth="1"/>
    <col min="9984" max="9984" width="6.69921875" style="131" customWidth="1"/>
    <col min="9985" max="9985" width="9" style="131" customWidth="1"/>
    <col min="9986" max="9986" width="11.796875" style="131" customWidth="1"/>
    <col min="9987" max="9987" width="10.19921875" style="131" customWidth="1"/>
    <col min="9988" max="9988" width="9.8984375" style="131" customWidth="1"/>
    <col min="9989" max="10235" width="8.8984375" style="131"/>
    <col min="10236" max="10236" width="3.8984375" style="131" customWidth="1"/>
    <col min="10237" max="10237" width="12.09765625" style="131" customWidth="1"/>
    <col min="10238" max="10238" width="13.59765625" style="131" customWidth="1"/>
    <col min="10239" max="10239" width="5.69921875" style="131" customWidth="1"/>
    <col min="10240" max="10240" width="6.69921875" style="131" customWidth="1"/>
    <col min="10241" max="10241" width="9" style="131" customWidth="1"/>
    <col min="10242" max="10242" width="11.796875" style="131" customWidth="1"/>
    <col min="10243" max="10243" width="10.19921875" style="131" customWidth="1"/>
    <col min="10244" max="10244" width="9.8984375" style="131" customWidth="1"/>
    <col min="10245" max="10491" width="8.8984375" style="131"/>
    <col min="10492" max="10492" width="3.8984375" style="131" customWidth="1"/>
    <col min="10493" max="10493" width="12.09765625" style="131" customWidth="1"/>
    <col min="10494" max="10494" width="13.59765625" style="131" customWidth="1"/>
    <col min="10495" max="10495" width="5.69921875" style="131" customWidth="1"/>
    <col min="10496" max="10496" width="6.69921875" style="131" customWidth="1"/>
    <col min="10497" max="10497" width="9" style="131" customWidth="1"/>
    <col min="10498" max="10498" width="11.796875" style="131" customWidth="1"/>
    <col min="10499" max="10499" width="10.19921875" style="131" customWidth="1"/>
    <col min="10500" max="10500" width="9.8984375" style="131" customWidth="1"/>
    <col min="10501" max="10747" width="8.8984375" style="131"/>
    <col min="10748" max="10748" width="3.8984375" style="131" customWidth="1"/>
    <col min="10749" max="10749" width="12.09765625" style="131" customWidth="1"/>
    <col min="10750" max="10750" width="13.59765625" style="131" customWidth="1"/>
    <col min="10751" max="10751" width="5.69921875" style="131" customWidth="1"/>
    <col min="10752" max="10752" width="6.69921875" style="131" customWidth="1"/>
    <col min="10753" max="10753" width="9" style="131" customWidth="1"/>
    <col min="10754" max="10754" width="11.796875" style="131" customWidth="1"/>
    <col min="10755" max="10755" width="10.19921875" style="131" customWidth="1"/>
    <col min="10756" max="10756" width="9.8984375" style="131" customWidth="1"/>
    <col min="10757" max="11003" width="8.8984375" style="131"/>
    <col min="11004" max="11004" width="3.8984375" style="131" customWidth="1"/>
    <col min="11005" max="11005" width="12.09765625" style="131" customWidth="1"/>
    <col min="11006" max="11006" width="13.59765625" style="131" customWidth="1"/>
    <col min="11007" max="11007" width="5.69921875" style="131" customWidth="1"/>
    <col min="11008" max="11008" width="6.69921875" style="131" customWidth="1"/>
    <col min="11009" max="11009" width="9" style="131" customWidth="1"/>
    <col min="11010" max="11010" width="11.796875" style="131" customWidth="1"/>
    <col min="11011" max="11011" width="10.19921875" style="131" customWidth="1"/>
    <col min="11012" max="11012" width="9.8984375" style="131" customWidth="1"/>
    <col min="11013" max="11259" width="8.8984375" style="131"/>
    <col min="11260" max="11260" width="3.8984375" style="131" customWidth="1"/>
    <col min="11261" max="11261" width="12.09765625" style="131" customWidth="1"/>
    <col min="11262" max="11262" width="13.59765625" style="131" customWidth="1"/>
    <col min="11263" max="11263" width="5.69921875" style="131" customWidth="1"/>
    <col min="11264" max="11264" width="6.69921875" style="131" customWidth="1"/>
    <col min="11265" max="11265" width="9" style="131" customWidth="1"/>
    <col min="11266" max="11266" width="11.796875" style="131" customWidth="1"/>
    <col min="11267" max="11267" width="10.19921875" style="131" customWidth="1"/>
    <col min="11268" max="11268" width="9.8984375" style="131" customWidth="1"/>
    <col min="11269" max="11515" width="8.8984375" style="131"/>
    <col min="11516" max="11516" width="3.8984375" style="131" customWidth="1"/>
    <col min="11517" max="11517" width="12.09765625" style="131" customWidth="1"/>
    <col min="11518" max="11518" width="13.59765625" style="131" customWidth="1"/>
    <col min="11519" max="11519" width="5.69921875" style="131" customWidth="1"/>
    <col min="11520" max="11520" width="6.69921875" style="131" customWidth="1"/>
    <col min="11521" max="11521" width="9" style="131" customWidth="1"/>
    <col min="11522" max="11522" width="11.796875" style="131" customWidth="1"/>
    <col min="11523" max="11523" width="10.19921875" style="131" customWidth="1"/>
    <col min="11524" max="11524" width="9.8984375" style="131" customWidth="1"/>
    <col min="11525" max="11771" width="8.8984375" style="131"/>
    <col min="11772" max="11772" width="3.8984375" style="131" customWidth="1"/>
    <col min="11773" max="11773" width="12.09765625" style="131" customWidth="1"/>
    <col min="11774" max="11774" width="13.59765625" style="131" customWidth="1"/>
    <col min="11775" max="11775" width="5.69921875" style="131" customWidth="1"/>
    <col min="11776" max="11776" width="6.69921875" style="131" customWidth="1"/>
    <col min="11777" max="11777" width="9" style="131" customWidth="1"/>
    <col min="11778" max="11778" width="11.796875" style="131" customWidth="1"/>
    <col min="11779" max="11779" width="10.19921875" style="131" customWidth="1"/>
    <col min="11780" max="11780" width="9.8984375" style="131" customWidth="1"/>
    <col min="11781" max="12027" width="8.8984375" style="131"/>
    <col min="12028" max="12028" width="3.8984375" style="131" customWidth="1"/>
    <col min="12029" max="12029" width="12.09765625" style="131" customWidth="1"/>
    <col min="12030" max="12030" width="13.59765625" style="131" customWidth="1"/>
    <col min="12031" max="12031" width="5.69921875" style="131" customWidth="1"/>
    <col min="12032" max="12032" width="6.69921875" style="131" customWidth="1"/>
    <col min="12033" max="12033" width="9" style="131" customWidth="1"/>
    <col min="12034" max="12034" width="11.796875" style="131" customWidth="1"/>
    <col min="12035" max="12035" width="10.19921875" style="131" customWidth="1"/>
    <col min="12036" max="12036" width="9.8984375" style="131" customWidth="1"/>
    <col min="12037" max="12283" width="8.8984375" style="131"/>
    <col min="12284" max="12284" width="3.8984375" style="131" customWidth="1"/>
    <col min="12285" max="12285" width="12.09765625" style="131" customWidth="1"/>
    <col min="12286" max="12286" width="13.59765625" style="131" customWidth="1"/>
    <col min="12287" max="12287" width="5.69921875" style="131" customWidth="1"/>
    <col min="12288" max="12288" width="6.69921875" style="131" customWidth="1"/>
    <col min="12289" max="12289" width="9" style="131" customWidth="1"/>
    <col min="12290" max="12290" width="11.796875" style="131" customWidth="1"/>
    <col min="12291" max="12291" width="10.19921875" style="131" customWidth="1"/>
    <col min="12292" max="12292" width="9.8984375" style="131" customWidth="1"/>
    <col min="12293" max="12539" width="8.8984375" style="131"/>
    <col min="12540" max="12540" width="3.8984375" style="131" customWidth="1"/>
    <col min="12541" max="12541" width="12.09765625" style="131" customWidth="1"/>
    <col min="12542" max="12542" width="13.59765625" style="131" customWidth="1"/>
    <col min="12543" max="12543" width="5.69921875" style="131" customWidth="1"/>
    <col min="12544" max="12544" width="6.69921875" style="131" customWidth="1"/>
    <col min="12545" max="12545" width="9" style="131" customWidth="1"/>
    <col min="12546" max="12546" width="11.796875" style="131" customWidth="1"/>
    <col min="12547" max="12547" width="10.19921875" style="131" customWidth="1"/>
    <col min="12548" max="12548" width="9.8984375" style="131" customWidth="1"/>
    <col min="12549" max="12795" width="8.8984375" style="131"/>
    <col min="12796" max="12796" width="3.8984375" style="131" customWidth="1"/>
    <col min="12797" max="12797" width="12.09765625" style="131" customWidth="1"/>
    <col min="12798" max="12798" width="13.59765625" style="131" customWidth="1"/>
    <col min="12799" max="12799" width="5.69921875" style="131" customWidth="1"/>
    <col min="12800" max="12800" width="6.69921875" style="131" customWidth="1"/>
    <col min="12801" max="12801" width="9" style="131" customWidth="1"/>
    <col min="12802" max="12802" width="11.796875" style="131" customWidth="1"/>
    <col min="12803" max="12803" width="10.19921875" style="131" customWidth="1"/>
    <col min="12804" max="12804" width="9.8984375" style="131" customWidth="1"/>
    <col min="12805" max="13051" width="8.8984375" style="131"/>
    <col min="13052" max="13052" width="3.8984375" style="131" customWidth="1"/>
    <col min="13053" max="13053" width="12.09765625" style="131" customWidth="1"/>
    <col min="13054" max="13054" width="13.59765625" style="131" customWidth="1"/>
    <col min="13055" max="13055" width="5.69921875" style="131" customWidth="1"/>
    <col min="13056" max="13056" width="6.69921875" style="131" customWidth="1"/>
    <col min="13057" max="13057" width="9" style="131" customWidth="1"/>
    <col min="13058" max="13058" width="11.796875" style="131" customWidth="1"/>
    <col min="13059" max="13059" width="10.19921875" style="131" customWidth="1"/>
    <col min="13060" max="13060" width="9.8984375" style="131" customWidth="1"/>
    <col min="13061" max="13307" width="8.8984375" style="131"/>
    <col min="13308" max="13308" width="3.8984375" style="131" customWidth="1"/>
    <col min="13309" max="13309" width="12.09765625" style="131" customWidth="1"/>
    <col min="13310" max="13310" width="13.59765625" style="131" customWidth="1"/>
    <col min="13311" max="13311" width="5.69921875" style="131" customWidth="1"/>
    <col min="13312" max="13312" width="6.69921875" style="131" customWidth="1"/>
    <col min="13313" max="13313" width="9" style="131" customWidth="1"/>
    <col min="13314" max="13314" width="11.796875" style="131" customWidth="1"/>
    <col min="13315" max="13315" width="10.19921875" style="131" customWidth="1"/>
    <col min="13316" max="13316" width="9.8984375" style="131" customWidth="1"/>
    <col min="13317" max="13563" width="8.8984375" style="131"/>
    <col min="13564" max="13564" width="3.8984375" style="131" customWidth="1"/>
    <col min="13565" max="13565" width="12.09765625" style="131" customWidth="1"/>
    <col min="13566" max="13566" width="13.59765625" style="131" customWidth="1"/>
    <col min="13567" max="13567" width="5.69921875" style="131" customWidth="1"/>
    <col min="13568" max="13568" width="6.69921875" style="131" customWidth="1"/>
    <col min="13569" max="13569" width="9" style="131" customWidth="1"/>
    <col min="13570" max="13570" width="11.796875" style="131" customWidth="1"/>
    <col min="13571" max="13571" width="10.19921875" style="131" customWidth="1"/>
    <col min="13572" max="13572" width="9.8984375" style="131" customWidth="1"/>
    <col min="13573" max="13819" width="8.8984375" style="131"/>
    <col min="13820" max="13820" width="3.8984375" style="131" customWidth="1"/>
    <col min="13821" max="13821" width="12.09765625" style="131" customWidth="1"/>
    <col min="13822" max="13822" width="13.59765625" style="131" customWidth="1"/>
    <col min="13823" max="13823" width="5.69921875" style="131" customWidth="1"/>
    <col min="13824" max="13824" width="6.69921875" style="131" customWidth="1"/>
    <col min="13825" max="13825" width="9" style="131" customWidth="1"/>
    <col min="13826" max="13826" width="11.796875" style="131" customWidth="1"/>
    <col min="13827" max="13827" width="10.19921875" style="131" customWidth="1"/>
    <col min="13828" max="13828" width="9.8984375" style="131" customWidth="1"/>
    <col min="13829" max="14075" width="8.8984375" style="131"/>
    <col min="14076" max="14076" width="3.8984375" style="131" customWidth="1"/>
    <col min="14077" max="14077" width="12.09765625" style="131" customWidth="1"/>
    <col min="14078" max="14078" width="13.59765625" style="131" customWidth="1"/>
    <col min="14079" max="14079" width="5.69921875" style="131" customWidth="1"/>
    <col min="14080" max="14080" width="6.69921875" style="131" customWidth="1"/>
    <col min="14081" max="14081" width="9" style="131" customWidth="1"/>
    <col min="14082" max="14082" width="11.796875" style="131" customWidth="1"/>
    <col min="14083" max="14083" width="10.19921875" style="131" customWidth="1"/>
    <col min="14084" max="14084" width="9.8984375" style="131" customWidth="1"/>
    <col min="14085" max="14331" width="8.8984375" style="131"/>
    <col min="14332" max="14332" width="3.8984375" style="131" customWidth="1"/>
    <col min="14333" max="14333" width="12.09765625" style="131" customWidth="1"/>
    <col min="14334" max="14334" width="13.59765625" style="131" customWidth="1"/>
    <col min="14335" max="14335" width="5.69921875" style="131" customWidth="1"/>
    <col min="14336" max="14336" width="6.69921875" style="131" customWidth="1"/>
    <col min="14337" max="14337" width="9" style="131" customWidth="1"/>
    <col min="14338" max="14338" width="11.796875" style="131" customWidth="1"/>
    <col min="14339" max="14339" width="10.19921875" style="131" customWidth="1"/>
    <col min="14340" max="14340" width="9.8984375" style="131" customWidth="1"/>
    <col min="14341" max="14587" width="8.8984375" style="131"/>
    <col min="14588" max="14588" width="3.8984375" style="131" customWidth="1"/>
    <col min="14589" max="14589" width="12.09765625" style="131" customWidth="1"/>
    <col min="14590" max="14590" width="13.59765625" style="131" customWidth="1"/>
    <col min="14591" max="14591" width="5.69921875" style="131" customWidth="1"/>
    <col min="14592" max="14592" width="6.69921875" style="131" customWidth="1"/>
    <col min="14593" max="14593" width="9" style="131" customWidth="1"/>
    <col min="14594" max="14594" width="11.796875" style="131" customWidth="1"/>
    <col min="14595" max="14595" width="10.19921875" style="131" customWidth="1"/>
    <col min="14596" max="14596" width="9.8984375" style="131" customWidth="1"/>
    <col min="14597" max="14843" width="8.8984375" style="131"/>
    <col min="14844" max="14844" width="3.8984375" style="131" customWidth="1"/>
    <col min="14845" max="14845" width="12.09765625" style="131" customWidth="1"/>
    <col min="14846" max="14846" width="13.59765625" style="131" customWidth="1"/>
    <col min="14847" max="14847" width="5.69921875" style="131" customWidth="1"/>
    <col min="14848" max="14848" width="6.69921875" style="131" customWidth="1"/>
    <col min="14849" max="14849" width="9" style="131" customWidth="1"/>
    <col min="14850" max="14850" width="11.796875" style="131" customWidth="1"/>
    <col min="14851" max="14851" width="10.19921875" style="131" customWidth="1"/>
    <col min="14852" max="14852" width="9.8984375" style="131" customWidth="1"/>
    <col min="14853" max="15099" width="8.8984375" style="131"/>
    <col min="15100" max="15100" width="3.8984375" style="131" customWidth="1"/>
    <col min="15101" max="15101" width="12.09765625" style="131" customWidth="1"/>
    <col min="15102" max="15102" width="13.59765625" style="131" customWidth="1"/>
    <col min="15103" max="15103" width="5.69921875" style="131" customWidth="1"/>
    <col min="15104" max="15104" width="6.69921875" style="131" customWidth="1"/>
    <col min="15105" max="15105" width="9" style="131" customWidth="1"/>
    <col min="15106" max="15106" width="11.796875" style="131" customWidth="1"/>
    <col min="15107" max="15107" width="10.19921875" style="131" customWidth="1"/>
    <col min="15108" max="15108" width="9.8984375" style="131" customWidth="1"/>
    <col min="15109" max="15355" width="8.8984375" style="131"/>
    <col min="15356" max="15356" width="3.8984375" style="131" customWidth="1"/>
    <col min="15357" max="15357" width="12.09765625" style="131" customWidth="1"/>
    <col min="15358" max="15358" width="13.59765625" style="131" customWidth="1"/>
    <col min="15359" max="15359" width="5.69921875" style="131" customWidth="1"/>
    <col min="15360" max="15360" width="6.69921875" style="131" customWidth="1"/>
    <col min="15361" max="15361" width="9" style="131" customWidth="1"/>
    <col min="15362" max="15362" width="11.796875" style="131" customWidth="1"/>
    <col min="15363" max="15363" width="10.19921875" style="131" customWidth="1"/>
    <col min="15364" max="15364" width="9.8984375" style="131" customWidth="1"/>
    <col min="15365" max="15611" width="8.8984375" style="131"/>
    <col min="15612" max="15612" width="3.8984375" style="131" customWidth="1"/>
    <col min="15613" max="15613" width="12.09765625" style="131" customWidth="1"/>
    <col min="15614" max="15614" width="13.59765625" style="131" customWidth="1"/>
    <col min="15615" max="15615" width="5.69921875" style="131" customWidth="1"/>
    <col min="15616" max="15616" width="6.69921875" style="131" customWidth="1"/>
    <col min="15617" max="15617" width="9" style="131" customWidth="1"/>
    <col min="15618" max="15618" width="11.796875" style="131" customWidth="1"/>
    <col min="15619" max="15619" width="10.19921875" style="131" customWidth="1"/>
    <col min="15620" max="15620" width="9.8984375" style="131" customWidth="1"/>
    <col min="15621" max="15867" width="8.8984375" style="131"/>
    <col min="15868" max="15868" width="3.8984375" style="131" customWidth="1"/>
    <col min="15869" max="15869" width="12.09765625" style="131" customWidth="1"/>
    <col min="15870" max="15870" width="13.59765625" style="131" customWidth="1"/>
    <col min="15871" max="15871" width="5.69921875" style="131" customWidth="1"/>
    <col min="15872" max="15872" width="6.69921875" style="131" customWidth="1"/>
    <col min="15873" max="15873" width="9" style="131" customWidth="1"/>
    <col min="15874" max="15874" width="11.796875" style="131" customWidth="1"/>
    <col min="15875" max="15875" width="10.19921875" style="131" customWidth="1"/>
    <col min="15876" max="15876" width="9.8984375" style="131" customWidth="1"/>
    <col min="15877" max="16123" width="8.8984375" style="131"/>
    <col min="16124" max="16124" width="3.8984375" style="131" customWidth="1"/>
    <col min="16125" max="16125" width="12.09765625" style="131" customWidth="1"/>
    <col min="16126" max="16126" width="13.59765625" style="131" customWidth="1"/>
    <col min="16127" max="16127" width="5.69921875" style="131" customWidth="1"/>
    <col min="16128" max="16128" width="6.69921875" style="131" customWidth="1"/>
    <col min="16129" max="16129" width="9" style="131" customWidth="1"/>
    <col min="16130" max="16130" width="11.796875" style="131" customWidth="1"/>
    <col min="16131" max="16131" width="10.19921875" style="131" customWidth="1"/>
    <col min="16132" max="16132" width="9.8984375" style="131" customWidth="1"/>
    <col min="16133" max="16384" width="8.8984375" style="131"/>
  </cols>
  <sheetData>
    <row r="1" spans="1:12" s="130" customFormat="1" ht="28.5" customHeight="1">
      <c r="A1" s="365" t="s">
        <v>142</v>
      </c>
      <c r="B1" s="366"/>
      <c r="C1" s="366"/>
      <c r="D1" s="366"/>
      <c r="E1" s="366"/>
      <c r="F1" s="366"/>
      <c r="G1" s="366"/>
      <c r="H1" s="366"/>
    </row>
    <row r="2" spans="1:12" ht="22.5" customHeight="1">
      <c r="J2" s="350" t="s">
        <v>105</v>
      </c>
      <c r="K2" s="133" t="s">
        <v>106</v>
      </c>
      <c r="L2" s="134" t="s">
        <v>107</v>
      </c>
    </row>
    <row r="3" spans="1:12" ht="22.5" customHeight="1">
      <c r="J3" s="350"/>
      <c r="K3" s="133" t="s">
        <v>108</v>
      </c>
      <c r="L3" s="134" t="s">
        <v>109</v>
      </c>
    </row>
    <row r="4" spans="1:12" s="138" customFormat="1" ht="22.5" customHeight="1">
      <c r="A4" s="135" t="s">
        <v>110</v>
      </c>
      <c r="B4" s="136"/>
      <c r="C4" s="137" t="str">
        <f>계약금_세금계산서!C4</f>
        <v>㈜우원기술</v>
      </c>
      <c r="D4" s="132"/>
      <c r="J4" s="139" t="s">
        <v>111</v>
      </c>
    </row>
    <row r="5" spans="1:12" s="138" customFormat="1" ht="22.5" customHeight="1">
      <c r="A5" s="135" t="s">
        <v>112</v>
      </c>
      <c r="B5" s="136"/>
      <c r="C5" s="137"/>
      <c r="D5" s="132"/>
      <c r="J5" s="139" t="s">
        <v>113</v>
      </c>
    </row>
    <row r="6" spans="1:12" s="138" customFormat="1" ht="22.5" customHeight="1">
      <c r="A6" s="135" t="s">
        <v>114</v>
      </c>
      <c r="B6" s="136"/>
      <c r="C6" s="137" t="str">
        <f>계약금_세금계산서!C6</f>
        <v>고객가치사업부</v>
      </c>
      <c r="D6" s="132"/>
      <c r="J6" s="139" t="s">
        <v>116</v>
      </c>
    </row>
    <row r="7" spans="1:12" s="138" customFormat="1" ht="22.5" customHeight="1">
      <c r="A7" s="135" t="s">
        <v>117</v>
      </c>
      <c r="B7" s="136"/>
      <c r="C7" s="137" t="str">
        <f>계약금_세금계산서!C7</f>
        <v>김재호</v>
      </c>
      <c r="D7" s="132"/>
      <c r="J7" s="139"/>
    </row>
    <row r="8" spans="1:12" s="138" customFormat="1" ht="22.5" customHeight="1">
      <c r="A8" s="135" t="s">
        <v>119</v>
      </c>
      <c r="B8" s="140"/>
      <c r="C8" s="141"/>
      <c r="D8" s="132"/>
      <c r="F8" s="142"/>
      <c r="G8" s="143"/>
      <c r="J8" s="139" t="s">
        <v>120</v>
      </c>
    </row>
    <row r="9" spans="1:12" s="138" customFormat="1" ht="22.5" customHeight="1">
      <c r="A9" s="135" t="s">
        <v>121</v>
      </c>
      <c r="B9" s="140"/>
      <c r="C9" s="144" t="str">
        <f>계약금_세금계산서!$C$9</f>
        <v>익월말</v>
      </c>
      <c r="D9" s="132"/>
      <c r="F9" s="142"/>
      <c r="G9" s="143"/>
      <c r="J9" s="139" t="s">
        <v>123</v>
      </c>
    </row>
    <row r="10" spans="1:12" s="138" customFormat="1" ht="22.5" customHeight="1">
      <c r="C10" s="138" t="s">
        <v>124</v>
      </c>
      <c r="D10" s="145"/>
      <c r="E10" s="367"/>
      <c r="F10" s="367"/>
      <c r="G10" s="367"/>
      <c r="H10" s="367"/>
    </row>
    <row r="11" spans="1:12" s="147" customFormat="1" ht="22.5" customHeight="1">
      <c r="A11" s="136" t="s">
        <v>125</v>
      </c>
      <c r="B11" s="146"/>
      <c r="D11" s="148"/>
    </row>
    <row r="12" spans="1:12" s="147" customFormat="1" ht="22.5" customHeight="1">
      <c r="A12" s="149" t="s">
        <v>126</v>
      </c>
      <c r="B12" s="150" t="s">
        <v>127</v>
      </c>
      <c r="C12" s="150" t="s">
        <v>128</v>
      </c>
      <c r="D12" s="151" t="s">
        <v>13</v>
      </c>
      <c r="E12" s="152" t="s">
        <v>129</v>
      </c>
      <c r="F12" s="152" t="s">
        <v>130</v>
      </c>
      <c r="G12" s="152" t="s">
        <v>131</v>
      </c>
      <c r="H12" s="150" t="s">
        <v>132</v>
      </c>
    </row>
    <row r="13" spans="1:12" s="138" customFormat="1" ht="22.5" customHeight="1">
      <c r="A13" s="368">
        <v>1</v>
      </c>
      <c r="B13" s="369" t="str">
        <f>C4</f>
        <v>㈜우원기술</v>
      </c>
      <c r="C13" s="153" t="str">
        <f>계약금_세금계산서!C13</f>
        <v>추가개발</v>
      </c>
      <c r="D13" s="154">
        <v>1</v>
      </c>
      <c r="E13" s="155">
        <f>인건비!N6</f>
        <v>30925000</v>
      </c>
      <c r="F13" s="156">
        <f>E13</f>
        <v>30925000</v>
      </c>
      <c r="G13" s="156">
        <f>F13*0.1</f>
        <v>3092500</v>
      </c>
      <c r="H13" s="157" t="str">
        <f>인건비!K6</f>
        <v>잔금</v>
      </c>
    </row>
    <row r="14" spans="1:12" s="138" customFormat="1" ht="22.5" customHeight="1">
      <c r="A14" s="368"/>
      <c r="B14" s="369"/>
      <c r="C14" s="158"/>
      <c r="D14" s="154"/>
      <c r="E14" s="155"/>
      <c r="F14" s="156"/>
      <c r="G14" s="156"/>
      <c r="H14" s="157"/>
      <c r="I14" s="159"/>
    </row>
    <row r="15" spans="1:12" s="142" customFormat="1" ht="22.5" customHeight="1">
      <c r="A15" s="360" t="s">
        <v>134</v>
      </c>
      <c r="B15" s="370"/>
      <c r="C15" s="370"/>
      <c r="D15" s="370"/>
      <c r="E15" s="371"/>
      <c r="F15" s="160">
        <f>SUM(F13:F14)</f>
        <v>30925000</v>
      </c>
      <c r="G15" s="161">
        <f>SUM(G13:G14)</f>
        <v>3092500</v>
      </c>
      <c r="H15" s="162"/>
    </row>
    <row r="16" spans="1:12" s="142" customFormat="1" ht="22.5" customHeight="1">
      <c r="A16" s="360" t="s">
        <v>135</v>
      </c>
      <c r="B16" s="361"/>
      <c r="C16" s="361"/>
      <c r="D16" s="361"/>
      <c r="E16" s="362"/>
      <c r="F16" s="363">
        <f>F15+G15</f>
        <v>34017500</v>
      </c>
      <c r="G16" s="364"/>
      <c r="H16" s="163"/>
    </row>
    <row r="17" spans="1:8" s="139" customFormat="1" ht="22.5" customHeight="1">
      <c r="A17" s="344" t="s">
        <v>136</v>
      </c>
      <c r="B17" s="345"/>
      <c r="C17" s="164" t="s">
        <v>137</v>
      </c>
      <c r="D17" s="350"/>
      <c r="E17" s="350"/>
      <c r="F17" s="165" t="s">
        <v>138</v>
      </c>
      <c r="G17" s="351"/>
      <c r="H17" s="352"/>
    </row>
    <row r="18" spans="1:8" s="138" customFormat="1" ht="22.5" customHeight="1">
      <c r="A18" s="346"/>
      <c r="B18" s="347"/>
      <c r="C18" s="164" t="s">
        <v>139</v>
      </c>
      <c r="D18" s="351"/>
      <c r="E18" s="353"/>
      <c r="F18" s="353"/>
      <c r="G18" s="353"/>
      <c r="H18" s="352"/>
    </row>
    <row r="19" spans="1:8" s="138" customFormat="1" ht="22.5" customHeight="1">
      <c r="A19" s="346"/>
      <c r="B19" s="347"/>
      <c r="C19" s="164" t="s">
        <v>140</v>
      </c>
      <c r="D19" s="354"/>
      <c r="E19" s="354"/>
      <c r="F19" s="354"/>
      <c r="G19" s="354"/>
      <c r="H19" s="355"/>
    </row>
    <row r="20" spans="1:8" s="138" customFormat="1" ht="22.5" customHeight="1">
      <c r="A20" s="348"/>
      <c r="B20" s="349"/>
      <c r="C20" s="164" t="s">
        <v>141</v>
      </c>
      <c r="D20" s="356"/>
      <c r="E20" s="357"/>
      <c r="F20" s="165" t="s">
        <v>143</v>
      </c>
      <c r="G20" s="358"/>
      <c r="H20" s="359"/>
    </row>
    <row r="21" spans="1:8" s="166" customFormat="1" ht="22.5" customHeight="1">
      <c r="A21" s="343"/>
      <c r="B21" s="343"/>
      <c r="C21" s="343"/>
      <c r="D21" s="343"/>
      <c r="E21" s="343"/>
      <c r="F21" s="343"/>
      <c r="G21" s="343"/>
      <c r="H21" s="343"/>
    </row>
    <row r="34" spans="3:3" ht="22.5" customHeight="1">
      <c r="C34" s="167"/>
    </row>
    <row r="35" spans="3:3" ht="22.5" customHeight="1">
      <c r="C35" s="167"/>
    </row>
    <row r="36" spans="3:3" ht="22.5" customHeight="1">
      <c r="C36" s="167"/>
    </row>
  </sheetData>
  <mergeCells count="16">
    <mergeCell ref="J2:J3"/>
    <mergeCell ref="A16:E16"/>
    <mergeCell ref="F16:G16"/>
    <mergeCell ref="A1:H1"/>
    <mergeCell ref="E10:H10"/>
    <mergeCell ref="A13:A14"/>
    <mergeCell ref="B13:B14"/>
    <mergeCell ref="A15:E15"/>
    <mergeCell ref="A21:H21"/>
    <mergeCell ref="A17:B20"/>
    <mergeCell ref="D17:E17"/>
    <mergeCell ref="G17:H17"/>
    <mergeCell ref="D18:H18"/>
    <mergeCell ref="D19:H19"/>
    <mergeCell ref="D20:E20"/>
    <mergeCell ref="G20:H20"/>
  </mergeCells>
  <phoneticPr fontId="13" type="noConversion"/>
  <hyperlinks>
    <hyperlink ref="L2" r:id="rId1" xr:uid="{44572FEF-3C57-4EA8-847C-1DE5E37E79F3}"/>
    <hyperlink ref="L3" r:id="rId2" xr:uid="{30BC04C4-B1F7-4A4E-AB02-F85244FBF1B0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85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7388-DB2C-4D8C-8381-F415BE32DE7E}">
  <sheetPr>
    <tabColor theme="0" tint="-0.34998626667073579"/>
  </sheetPr>
  <dimension ref="A1:L36"/>
  <sheetViews>
    <sheetView view="pageBreakPreview" zoomScaleNormal="100" zoomScaleSheetLayoutView="100" workbookViewId="0">
      <selection activeCell="G28" sqref="G28"/>
    </sheetView>
  </sheetViews>
  <sheetFormatPr defaultRowHeight="22.5" customHeight="1"/>
  <cols>
    <col min="1" max="1" width="3.8984375" style="131" customWidth="1"/>
    <col min="2" max="2" width="12.09765625" style="131" customWidth="1"/>
    <col min="3" max="3" width="18" style="131" customWidth="1"/>
    <col min="4" max="4" width="6.3984375" style="132" customWidth="1"/>
    <col min="5" max="6" width="14.09765625" style="131" customWidth="1"/>
    <col min="7" max="7" width="10.19921875" style="131" customWidth="1"/>
    <col min="8" max="8" width="9.8984375" style="131" customWidth="1"/>
    <col min="9" max="9" width="9.09765625" style="131" bestFit="1" customWidth="1"/>
    <col min="10" max="10" width="8.296875" style="131" bestFit="1" customWidth="1"/>
    <col min="11" max="11" width="10.296875" style="131" customWidth="1"/>
    <col min="12" max="12" width="20.09765625" style="131" customWidth="1"/>
    <col min="13" max="251" width="8.8984375" style="131"/>
    <col min="252" max="252" width="3.8984375" style="131" customWidth="1"/>
    <col min="253" max="253" width="12.09765625" style="131" customWidth="1"/>
    <col min="254" max="254" width="13.59765625" style="131" customWidth="1"/>
    <col min="255" max="255" width="5.69921875" style="131" customWidth="1"/>
    <col min="256" max="256" width="6.69921875" style="131" customWidth="1"/>
    <col min="257" max="257" width="9" style="131" customWidth="1"/>
    <col min="258" max="258" width="11.796875" style="131" customWidth="1"/>
    <col min="259" max="259" width="10.19921875" style="131" customWidth="1"/>
    <col min="260" max="260" width="9.8984375" style="131" customWidth="1"/>
    <col min="261" max="507" width="8.8984375" style="131"/>
    <col min="508" max="508" width="3.8984375" style="131" customWidth="1"/>
    <col min="509" max="509" width="12.09765625" style="131" customWidth="1"/>
    <col min="510" max="510" width="13.59765625" style="131" customWidth="1"/>
    <col min="511" max="511" width="5.69921875" style="131" customWidth="1"/>
    <col min="512" max="512" width="6.69921875" style="131" customWidth="1"/>
    <col min="513" max="513" width="9" style="131" customWidth="1"/>
    <col min="514" max="514" width="11.796875" style="131" customWidth="1"/>
    <col min="515" max="515" width="10.19921875" style="131" customWidth="1"/>
    <col min="516" max="516" width="9.8984375" style="131" customWidth="1"/>
    <col min="517" max="763" width="8.8984375" style="131"/>
    <col min="764" max="764" width="3.8984375" style="131" customWidth="1"/>
    <col min="765" max="765" width="12.09765625" style="131" customWidth="1"/>
    <col min="766" max="766" width="13.59765625" style="131" customWidth="1"/>
    <col min="767" max="767" width="5.69921875" style="131" customWidth="1"/>
    <col min="768" max="768" width="6.69921875" style="131" customWidth="1"/>
    <col min="769" max="769" width="9" style="131" customWidth="1"/>
    <col min="770" max="770" width="11.796875" style="131" customWidth="1"/>
    <col min="771" max="771" width="10.19921875" style="131" customWidth="1"/>
    <col min="772" max="772" width="9.8984375" style="131" customWidth="1"/>
    <col min="773" max="1019" width="8.8984375" style="131"/>
    <col min="1020" max="1020" width="3.8984375" style="131" customWidth="1"/>
    <col min="1021" max="1021" width="12.09765625" style="131" customWidth="1"/>
    <col min="1022" max="1022" width="13.59765625" style="131" customWidth="1"/>
    <col min="1023" max="1023" width="5.69921875" style="131" customWidth="1"/>
    <col min="1024" max="1024" width="6.69921875" style="131" customWidth="1"/>
    <col min="1025" max="1025" width="9" style="131" customWidth="1"/>
    <col min="1026" max="1026" width="11.796875" style="131" customWidth="1"/>
    <col min="1027" max="1027" width="10.19921875" style="131" customWidth="1"/>
    <col min="1028" max="1028" width="9.8984375" style="131" customWidth="1"/>
    <col min="1029" max="1275" width="8.8984375" style="131"/>
    <col min="1276" max="1276" width="3.8984375" style="131" customWidth="1"/>
    <col min="1277" max="1277" width="12.09765625" style="131" customWidth="1"/>
    <col min="1278" max="1278" width="13.59765625" style="131" customWidth="1"/>
    <col min="1279" max="1279" width="5.69921875" style="131" customWidth="1"/>
    <col min="1280" max="1280" width="6.69921875" style="131" customWidth="1"/>
    <col min="1281" max="1281" width="9" style="131" customWidth="1"/>
    <col min="1282" max="1282" width="11.796875" style="131" customWidth="1"/>
    <col min="1283" max="1283" width="10.19921875" style="131" customWidth="1"/>
    <col min="1284" max="1284" width="9.8984375" style="131" customWidth="1"/>
    <col min="1285" max="1531" width="8.8984375" style="131"/>
    <col min="1532" max="1532" width="3.8984375" style="131" customWidth="1"/>
    <col min="1533" max="1533" width="12.09765625" style="131" customWidth="1"/>
    <col min="1534" max="1534" width="13.59765625" style="131" customWidth="1"/>
    <col min="1535" max="1535" width="5.69921875" style="131" customWidth="1"/>
    <col min="1536" max="1536" width="6.69921875" style="131" customWidth="1"/>
    <col min="1537" max="1537" width="9" style="131" customWidth="1"/>
    <col min="1538" max="1538" width="11.796875" style="131" customWidth="1"/>
    <col min="1539" max="1539" width="10.19921875" style="131" customWidth="1"/>
    <col min="1540" max="1540" width="9.8984375" style="131" customWidth="1"/>
    <col min="1541" max="1787" width="8.8984375" style="131"/>
    <col min="1788" max="1788" width="3.8984375" style="131" customWidth="1"/>
    <col min="1789" max="1789" width="12.09765625" style="131" customWidth="1"/>
    <col min="1790" max="1790" width="13.59765625" style="131" customWidth="1"/>
    <col min="1791" max="1791" width="5.69921875" style="131" customWidth="1"/>
    <col min="1792" max="1792" width="6.69921875" style="131" customWidth="1"/>
    <col min="1793" max="1793" width="9" style="131" customWidth="1"/>
    <col min="1794" max="1794" width="11.796875" style="131" customWidth="1"/>
    <col min="1795" max="1795" width="10.19921875" style="131" customWidth="1"/>
    <col min="1796" max="1796" width="9.8984375" style="131" customWidth="1"/>
    <col min="1797" max="2043" width="8.8984375" style="131"/>
    <col min="2044" max="2044" width="3.8984375" style="131" customWidth="1"/>
    <col min="2045" max="2045" width="12.09765625" style="131" customWidth="1"/>
    <col min="2046" max="2046" width="13.59765625" style="131" customWidth="1"/>
    <col min="2047" max="2047" width="5.69921875" style="131" customWidth="1"/>
    <col min="2048" max="2048" width="6.69921875" style="131" customWidth="1"/>
    <col min="2049" max="2049" width="9" style="131" customWidth="1"/>
    <col min="2050" max="2050" width="11.796875" style="131" customWidth="1"/>
    <col min="2051" max="2051" width="10.19921875" style="131" customWidth="1"/>
    <col min="2052" max="2052" width="9.8984375" style="131" customWidth="1"/>
    <col min="2053" max="2299" width="8.8984375" style="131"/>
    <col min="2300" max="2300" width="3.8984375" style="131" customWidth="1"/>
    <col min="2301" max="2301" width="12.09765625" style="131" customWidth="1"/>
    <col min="2302" max="2302" width="13.59765625" style="131" customWidth="1"/>
    <col min="2303" max="2303" width="5.69921875" style="131" customWidth="1"/>
    <col min="2304" max="2304" width="6.69921875" style="131" customWidth="1"/>
    <col min="2305" max="2305" width="9" style="131" customWidth="1"/>
    <col min="2306" max="2306" width="11.796875" style="131" customWidth="1"/>
    <col min="2307" max="2307" width="10.19921875" style="131" customWidth="1"/>
    <col min="2308" max="2308" width="9.8984375" style="131" customWidth="1"/>
    <col min="2309" max="2555" width="8.8984375" style="131"/>
    <col min="2556" max="2556" width="3.8984375" style="131" customWidth="1"/>
    <col min="2557" max="2557" width="12.09765625" style="131" customWidth="1"/>
    <col min="2558" max="2558" width="13.59765625" style="131" customWidth="1"/>
    <col min="2559" max="2559" width="5.69921875" style="131" customWidth="1"/>
    <col min="2560" max="2560" width="6.69921875" style="131" customWidth="1"/>
    <col min="2561" max="2561" width="9" style="131" customWidth="1"/>
    <col min="2562" max="2562" width="11.796875" style="131" customWidth="1"/>
    <col min="2563" max="2563" width="10.19921875" style="131" customWidth="1"/>
    <col min="2564" max="2564" width="9.8984375" style="131" customWidth="1"/>
    <col min="2565" max="2811" width="8.8984375" style="131"/>
    <col min="2812" max="2812" width="3.8984375" style="131" customWidth="1"/>
    <col min="2813" max="2813" width="12.09765625" style="131" customWidth="1"/>
    <col min="2814" max="2814" width="13.59765625" style="131" customWidth="1"/>
    <col min="2815" max="2815" width="5.69921875" style="131" customWidth="1"/>
    <col min="2816" max="2816" width="6.69921875" style="131" customWidth="1"/>
    <col min="2817" max="2817" width="9" style="131" customWidth="1"/>
    <col min="2818" max="2818" width="11.796875" style="131" customWidth="1"/>
    <col min="2819" max="2819" width="10.19921875" style="131" customWidth="1"/>
    <col min="2820" max="2820" width="9.8984375" style="131" customWidth="1"/>
    <col min="2821" max="3067" width="8.8984375" style="131"/>
    <col min="3068" max="3068" width="3.8984375" style="131" customWidth="1"/>
    <col min="3069" max="3069" width="12.09765625" style="131" customWidth="1"/>
    <col min="3070" max="3070" width="13.59765625" style="131" customWidth="1"/>
    <col min="3071" max="3071" width="5.69921875" style="131" customWidth="1"/>
    <col min="3072" max="3072" width="6.69921875" style="131" customWidth="1"/>
    <col min="3073" max="3073" width="9" style="131" customWidth="1"/>
    <col min="3074" max="3074" width="11.796875" style="131" customWidth="1"/>
    <col min="3075" max="3075" width="10.19921875" style="131" customWidth="1"/>
    <col min="3076" max="3076" width="9.8984375" style="131" customWidth="1"/>
    <col min="3077" max="3323" width="8.8984375" style="131"/>
    <col min="3324" max="3324" width="3.8984375" style="131" customWidth="1"/>
    <col min="3325" max="3325" width="12.09765625" style="131" customWidth="1"/>
    <col min="3326" max="3326" width="13.59765625" style="131" customWidth="1"/>
    <col min="3327" max="3327" width="5.69921875" style="131" customWidth="1"/>
    <col min="3328" max="3328" width="6.69921875" style="131" customWidth="1"/>
    <col min="3329" max="3329" width="9" style="131" customWidth="1"/>
    <col min="3330" max="3330" width="11.796875" style="131" customWidth="1"/>
    <col min="3331" max="3331" width="10.19921875" style="131" customWidth="1"/>
    <col min="3332" max="3332" width="9.8984375" style="131" customWidth="1"/>
    <col min="3333" max="3579" width="8.8984375" style="131"/>
    <col min="3580" max="3580" width="3.8984375" style="131" customWidth="1"/>
    <col min="3581" max="3581" width="12.09765625" style="131" customWidth="1"/>
    <col min="3582" max="3582" width="13.59765625" style="131" customWidth="1"/>
    <col min="3583" max="3583" width="5.69921875" style="131" customWidth="1"/>
    <col min="3584" max="3584" width="6.69921875" style="131" customWidth="1"/>
    <col min="3585" max="3585" width="9" style="131" customWidth="1"/>
    <col min="3586" max="3586" width="11.796875" style="131" customWidth="1"/>
    <col min="3587" max="3587" width="10.19921875" style="131" customWidth="1"/>
    <col min="3588" max="3588" width="9.8984375" style="131" customWidth="1"/>
    <col min="3589" max="3835" width="8.8984375" style="131"/>
    <col min="3836" max="3836" width="3.8984375" style="131" customWidth="1"/>
    <col min="3837" max="3837" width="12.09765625" style="131" customWidth="1"/>
    <col min="3838" max="3838" width="13.59765625" style="131" customWidth="1"/>
    <col min="3839" max="3839" width="5.69921875" style="131" customWidth="1"/>
    <col min="3840" max="3840" width="6.69921875" style="131" customWidth="1"/>
    <col min="3841" max="3841" width="9" style="131" customWidth="1"/>
    <col min="3842" max="3842" width="11.796875" style="131" customWidth="1"/>
    <col min="3843" max="3843" width="10.19921875" style="131" customWidth="1"/>
    <col min="3844" max="3844" width="9.8984375" style="131" customWidth="1"/>
    <col min="3845" max="4091" width="8.8984375" style="131"/>
    <col min="4092" max="4092" width="3.8984375" style="131" customWidth="1"/>
    <col min="4093" max="4093" width="12.09765625" style="131" customWidth="1"/>
    <col min="4094" max="4094" width="13.59765625" style="131" customWidth="1"/>
    <col min="4095" max="4095" width="5.69921875" style="131" customWidth="1"/>
    <col min="4096" max="4096" width="6.69921875" style="131" customWidth="1"/>
    <col min="4097" max="4097" width="9" style="131" customWidth="1"/>
    <col min="4098" max="4098" width="11.796875" style="131" customWidth="1"/>
    <col min="4099" max="4099" width="10.19921875" style="131" customWidth="1"/>
    <col min="4100" max="4100" width="9.8984375" style="131" customWidth="1"/>
    <col min="4101" max="4347" width="8.8984375" style="131"/>
    <col min="4348" max="4348" width="3.8984375" style="131" customWidth="1"/>
    <col min="4349" max="4349" width="12.09765625" style="131" customWidth="1"/>
    <col min="4350" max="4350" width="13.59765625" style="131" customWidth="1"/>
    <col min="4351" max="4351" width="5.69921875" style="131" customWidth="1"/>
    <col min="4352" max="4352" width="6.69921875" style="131" customWidth="1"/>
    <col min="4353" max="4353" width="9" style="131" customWidth="1"/>
    <col min="4354" max="4354" width="11.796875" style="131" customWidth="1"/>
    <col min="4355" max="4355" width="10.19921875" style="131" customWidth="1"/>
    <col min="4356" max="4356" width="9.8984375" style="131" customWidth="1"/>
    <col min="4357" max="4603" width="8.8984375" style="131"/>
    <col min="4604" max="4604" width="3.8984375" style="131" customWidth="1"/>
    <col min="4605" max="4605" width="12.09765625" style="131" customWidth="1"/>
    <col min="4606" max="4606" width="13.59765625" style="131" customWidth="1"/>
    <col min="4607" max="4607" width="5.69921875" style="131" customWidth="1"/>
    <col min="4608" max="4608" width="6.69921875" style="131" customWidth="1"/>
    <col min="4609" max="4609" width="9" style="131" customWidth="1"/>
    <col min="4610" max="4610" width="11.796875" style="131" customWidth="1"/>
    <col min="4611" max="4611" width="10.19921875" style="131" customWidth="1"/>
    <col min="4612" max="4612" width="9.8984375" style="131" customWidth="1"/>
    <col min="4613" max="4859" width="8.8984375" style="131"/>
    <col min="4860" max="4860" width="3.8984375" style="131" customWidth="1"/>
    <col min="4861" max="4861" width="12.09765625" style="131" customWidth="1"/>
    <col min="4862" max="4862" width="13.59765625" style="131" customWidth="1"/>
    <col min="4863" max="4863" width="5.69921875" style="131" customWidth="1"/>
    <col min="4864" max="4864" width="6.69921875" style="131" customWidth="1"/>
    <col min="4865" max="4865" width="9" style="131" customWidth="1"/>
    <col min="4866" max="4866" width="11.796875" style="131" customWidth="1"/>
    <col min="4867" max="4867" width="10.19921875" style="131" customWidth="1"/>
    <col min="4868" max="4868" width="9.8984375" style="131" customWidth="1"/>
    <col min="4869" max="5115" width="8.8984375" style="131"/>
    <col min="5116" max="5116" width="3.8984375" style="131" customWidth="1"/>
    <col min="5117" max="5117" width="12.09765625" style="131" customWidth="1"/>
    <col min="5118" max="5118" width="13.59765625" style="131" customWidth="1"/>
    <col min="5119" max="5119" width="5.69921875" style="131" customWidth="1"/>
    <col min="5120" max="5120" width="6.69921875" style="131" customWidth="1"/>
    <col min="5121" max="5121" width="9" style="131" customWidth="1"/>
    <col min="5122" max="5122" width="11.796875" style="131" customWidth="1"/>
    <col min="5123" max="5123" width="10.19921875" style="131" customWidth="1"/>
    <col min="5124" max="5124" width="9.8984375" style="131" customWidth="1"/>
    <col min="5125" max="5371" width="8.8984375" style="131"/>
    <col min="5372" max="5372" width="3.8984375" style="131" customWidth="1"/>
    <col min="5373" max="5373" width="12.09765625" style="131" customWidth="1"/>
    <col min="5374" max="5374" width="13.59765625" style="131" customWidth="1"/>
    <col min="5375" max="5375" width="5.69921875" style="131" customWidth="1"/>
    <col min="5376" max="5376" width="6.69921875" style="131" customWidth="1"/>
    <col min="5377" max="5377" width="9" style="131" customWidth="1"/>
    <col min="5378" max="5378" width="11.796875" style="131" customWidth="1"/>
    <col min="5379" max="5379" width="10.19921875" style="131" customWidth="1"/>
    <col min="5380" max="5380" width="9.8984375" style="131" customWidth="1"/>
    <col min="5381" max="5627" width="8.8984375" style="131"/>
    <col min="5628" max="5628" width="3.8984375" style="131" customWidth="1"/>
    <col min="5629" max="5629" width="12.09765625" style="131" customWidth="1"/>
    <col min="5630" max="5630" width="13.59765625" style="131" customWidth="1"/>
    <col min="5631" max="5631" width="5.69921875" style="131" customWidth="1"/>
    <col min="5632" max="5632" width="6.69921875" style="131" customWidth="1"/>
    <col min="5633" max="5633" width="9" style="131" customWidth="1"/>
    <col min="5634" max="5634" width="11.796875" style="131" customWidth="1"/>
    <col min="5635" max="5635" width="10.19921875" style="131" customWidth="1"/>
    <col min="5636" max="5636" width="9.8984375" style="131" customWidth="1"/>
    <col min="5637" max="5883" width="8.8984375" style="131"/>
    <col min="5884" max="5884" width="3.8984375" style="131" customWidth="1"/>
    <col min="5885" max="5885" width="12.09765625" style="131" customWidth="1"/>
    <col min="5886" max="5886" width="13.59765625" style="131" customWidth="1"/>
    <col min="5887" max="5887" width="5.69921875" style="131" customWidth="1"/>
    <col min="5888" max="5888" width="6.69921875" style="131" customWidth="1"/>
    <col min="5889" max="5889" width="9" style="131" customWidth="1"/>
    <col min="5890" max="5890" width="11.796875" style="131" customWidth="1"/>
    <col min="5891" max="5891" width="10.19921875" style="131" customWidth="1"/>
    <col min="5892" max="5892" width="9.8984375" style="131" customWidth="1"/>
    <col min="5893" max="6139" width="8.8984375" style="131"/>
    <col min="6140" max="6140" width="3.8984375" style="131" customWidth="1"/>
    <col min="6141" max="6141" width="12.09765625" style="131" customWidth="1"/>
    <col min="6142" max="6142" width="13.59765625" style="131" customWidth="1"/>
    <col min="6143" max="6143" width="5.69921875" style="131" customWidth="1"/>
    <col min="6144" max="6144" width="6.69921875" style="131" customWidth="1"/>
    <col min="6145" max="6145" width="9" style="131" customWidth="1"/>
    <col min="6146" max="6146" width="11.796875" style="131" customWidth="1"/>
    <col min="6147" max="6147" width="10.19921875" style="131" customWidth="1"/>
    <col min="6148" max="6148" width="9.8984375" style="131" customWidth="1"/>
    <col min="6149" max="6395" width="8.8984375" style="131"/>
    <col min="6396" max="6396" width="3.8984375" style="131" customWidth="1"/>
    <col min="6397" max="6397" width="12.09765625" style="131" customWidth="1"/>
    <col min="6398" max="6398" width="13.59765625" style="131" customWidth="1"/>
    <col min="6399" max="6399" width="5.69921875" style="131" customWidth="1"/>
    <col min="6400" max="6400" width="6.69921875" style="131" customWidth="1"/>
    <col min="6401" max="6401" width="9" style="131" customWidth="1"/>
    <col min="6402" max="6402" width="11.796875" style="131" customWidth="1"/>
    <col min="6403" max="6403" width="10.19921875" style="131" customWidth="1"/>
    <col min="6404" max="6404" width="9.8984375" style="131" customWidth="1"/>
    <col min="6405" max="6651" width="8.8984375" style="131"/>
    <col min="6652" max="6652" width="3.8984375" style="131" customWidth="1"/>
    <col min="6653" max="6653" width="12.09765625" style="131" customWidth="1"/>
    <col min="6654" max="6654" width="13.59765625" style="131" customWidth="1"/>
    <col min="6655" max="6655" width="5.69921875" style="131" customWidth="1"/>
    <col min="6656" max="6656" width="6.69921875" style="131" customWidth="1"/>
    <col min="6657" max="6657" width="9" style="131" customWidth="1"/>
    <col min="6658" max="6658" width="11.796875" style="131" customWidth="1"/>
    <col min="6659" max="6659" width="10.19921875" style="131" customWidth="1"/>
    <col min="6660" max="6660" width="9.8984375" style="131" customWidth="1"/>
    <col min="6661" max="6907" width="8.8984375" style="131"/>
    <col min="6908" max="6908" width="3.8984375" style="131" customWidth="1"/>
    <col min="6909" max="6909" width="12.09765625" style="131" customWidth="1"/>
    <col min="6910" max="6910" width="13.59765625" style="131" customWidth="1"/>
    <col min="6911" max="6911" width="5.69921875" style="131" customWidth="1"/>
    <col min="6912" max="6912" width="6.69921875" style="131" customWidth="1"/>
    <col min="6913" max="6913" width="9" style="131" customWidth="1"/>
    <col min="6914" max="6914" width="11.796875" style="131" customWidth="1"/>
    <col min="6915" max="6915" width="10.19921875" style="131" customWidth="1"/>
    <col min="6916" max="6916" width="9.8984375" style="131" customWidth="1"/>
    <col min="6917" max="7163" width="8.8984375" style="131"/>
    <col min="7164" max="7164" width="3.8984375" style="131" customWidth="1"/>
    <col min="7165" max="7165" width="12.09765625" style="131" customWidth="1"/>
    <col min="7166" max="7166" width="13.59765625" style="131" customWidth="1"/>
    <col min="7167" max="7167" width="5.69921875" style="131" customWidth="1"/>
    <col min="7168" max="7168" width="6.69921875" style="131" customWidth="1"/>
    <col min="7169" max="7169" width="9" style="131" customWidth="1"/>
    <col min="7170" max="7170" width="11.796875" style="131" customWidth="1"/>
    <col min="7171" max="7171" width="10.19921875" style="131" customWidth="1"/>
    <col min="7172" max="7172" width="9.8984375" style="131" customWidth="1"/>
    <col min="7173" max="7419" width="8.8984375" style="131"/>
    <col min="7420" max="7420" width="3.8984375" style="131" customWidth="1"/>
    <col min="7421" max="7421" width="12.09765625" style="131" customWidth="1"/>
    <col min="7422" max="7422" width="13.59765625" style="131" customWidth="1"/>
    <col min="7423" max="7423" width="5.69921875" style="131" customWidth="1"/>
    <col min="7424" max="7424" width="6.69921875" style="131" customWidth="1"/>
    <col min="7425" max="7425" width="9" style="131" customWidth="1"/>
    <col min="7426" max="7426" width="11.796875" style="131" customWidth="1"/>
    <col min="7427" max="7427" width="10.19921875" style="131" customWidth="1"/>
    <col min="7428" max="7428" width="9.8984375" style="131" customWidth="1"/>
    <col min="7429" max="7675" width="8.8984375" style="131"/>
    <col min="7676" max="7676" width="3.8984375" style="131" customWidth="1"/>
    <col min="7677" max="7677" width="12.09765625" style="131" customWidth="1"/>
    <col min="7678" max="7678" width="13.59765625" style="131" customWidth="1"/>
    <col min="7679" max="7679" width="5.69921875" style="131" customWidth="1"/>
    <col min="7680" max="7680" width="6.69921875" style="131" customWidth="1"/>
    <col min="7681" max="7681" width="9" style="131" customWidth="1"/>
    <col min="7682" max="7682" width="11.796875" style="131" customWidth="1"/>
    <col min="7683" max="7683" width="10.19921875" style="131" customWidth="1"/>
    <col min="7684" max="7684" width="9.8984375" style="131" customWidth="1"/>
    <col min="7685" max="7931" width="8.8984375" style="131"/>
    <col min="7932" max="7932" width="3.8984375" style="131" customWidth="1"/>
    <col min="7933" max="7933" width="12.09765625" style="131" customWidth="1"/>
    <col min="7934" max="7934" width="13.59765625" style="131" customWidth="1"/>
    <col min="7935" max="7935" width="5.69921875" style="131" customWidth="1"/>
    <col min="7936" max="7936" width="6.69921875" style="131" customWidth="1"/>
    <col min="7937" max="7937" width="9" style="131" customWidth="1"/>
    <col min="7938" max="7938" width="11.796875" style="131" customWidth="1"/>
    <col min="7939" max="7939" width="10.19921875" style="131" customWidth="1"/>
    <col min="7940" max="7940" width="9.8984375" style="131" customWidth="1"/>
    <col min="7941" max="8187" width="8.8984375" style="131"/>
    <col min="8188" max="8188" width="3.8984375" style="131" customWidth="1"/>
    <col min="8189" max="8189" width="12.09765625" style="131" customWidth="1"/>
    <col min="8190" max="8190" width="13.59765625" style="131" customWidth="1"/>
    <col min="8191" max="8191" width="5.69921875" style="131" customWidth="1"/>
    <col min="8192" max="8192" width="6.69921875" style="131" customWidth="1"/>
    <col min="8193" max="8193" width="9" style="131" customWidth="1"/>
    <col min="8194" max="8194" width="11.796875" style="131" customWidth="1"/>
    <col min="8195" max="8195" width="10.19921875" style="131" customWidth="1"/>
    <col min="8196" max="8196" width="9.8984375" style="131" customWidth="1"/>
    <col min="8197" max="8443" width="8.8984375" style="131"/>
    <col min="8444" max="8444" width="3.8984375" style="131" customWidth="1"/>
    <col min="8445" max="8445" width="12.09765625" style="131" customWidth="1"/>
    <col min="8446" max="8446" width="13.59765625" style="131" customWidth="1"/>
    <col min="8447" max="8447" width="5.69921875" style="131" customWidth="1"/>
    <col min="8448" max="8448" width="6.69921875" style="131" customWidth="1"/>
    <col min="8449" max="8449" width="9" style="131" customWidth="1"/>
    <col min="8450" max="8450" width="11.796875" style="131" customWidth="1"/>
    <col min="8451" max="8451" width="10.19921875" style="131" customWidth="1"/>
    <col min="8452" max="8452" width="9.8984375" style="131" customWidth="1"/>
    <col min="8453" max="8699" width="8.8984375" style="131"/>
    <col min="8700" max="8700" width="3.8984375" style="131" customWidth="1"/>
    <col min="8701" max="8701" width="12.09765625" style="131" customWidth="1"/>
    <col min="8702" max="8702" width="13.59765625" style="131" customWidth="1"/>
    <col min="8703" max="8703" width="5.69921875" style="131" customWidth="1"/>
    <col min="8704" max="8704" width="6.69921875" style="131" customWidth="1"/>
    <col min="8705" max="8705" width="9" style="131" customWidth="1"/>
    <col min="8706" max="8706" width="11.796875" style="131" customWidth="1"/>
    <col min="8707" max="8707" width="10.19921875" style="131" customWidth="1"/>
    <col min="8708" max="8708" width="9.8984375" style="131" customWidth="1"/>
    <col min="8709" max="8955" width="8.8984375" style="131"/>
    <col min="8956" max="8956" width="3.8984375" style="131" customWidth="1"/>
    <col min="8957" max="8957" width="12.09765625" style="131" customWidth="1"/>
    <col min="8958" max="8958" width="13.59765625" style="131" customWidth="1"/>
    <col min="8959" max="8959" width="5.69921875" style="131" customWidth="1"/>
    <col min="8960" max="8960" width="6.69921875" style="131" customWidth="1"/>
    <col min="8961" max="8961" width="9" style="131" customWidth="1"/>
    <col min="8962" max="8962" width="11.796875" style="131" customWidth="1"/>
    <col min="8963" max="8963" width="10.19921875" style="131" customWidth="1"/>
    <col min="8964" max="8964" width="9.8984375" style="131" customWidth="1"/>
    <col min="8965" max="9211" width="8.8984375" style="131"/>
    <col min="9212" max="9212" width="3.8984375" style="131" customWidth="1"/>
    <col min="9213" max="9213" width="12.09765625" style="131" customWidth="1"/>
    <col min="9214" max="9214" width="13.59765625" style="131" customWidth="1"/>
    <col min="9215" max="9215" width="5.69921875" style="131" customWidth="1"/>
    <col min="9216" max="9216" width="6.69921875" style="131" customWidth="1"/>
    <col min="9217" max="9217" width="9" style="131" customWidth="1"/>
    <col min="9218" max="9218" width="11.796875" style="131" customWidth="1"/>
    <col min="9219" max="9219" width="10.19921875" style="131" customWidth="1"/>
    <col min="9220" max="9220" width="9.8984375" style="131" customWidth="1"/>
    <col min="9221" max="9467" width="8.8984375" style="131"/>
    <col min="9468" max="9468" width="3.8984375" style="131" customWidth="1"/>
    <col min="9469" max="9469" width="12.09765625" style="131" customWidth="1"/>
    <col min="9470" max="9470" width="13.59765625" style="131" customWidth="1"/>
    <col min="9471" max="9471" width="5.69921875" style="131" customWidth="1"/>
    <col min="9472" max="9472" width="6.69921875" style="131" customWidth="1"/>
    <col min="9473" max="9473" width="9" style="131" customWidth="1"/>
    <col min="9474" max="9474" width="11.796875" style="131" customWidth="1"/>
    <col min="9475" max="9475" width="10.19921875" style="131" customWidth="1"/>
    <col min="9476" max="9476" width="9.8984375" style="131" customWidth="1"/>
    <col min="9477" max="9723" width="8.8984375" style="131"/>
    <col min="9724" max="9724" width="3.8984375" style="131" customWidth="1"/>
    <col min="9725" max="9725" width="12.09765625" style="131" customWidth="1"/>
    <col min="9726" max="9726" width="13.59765625" style="131" customWidth="1"/>
    <col min="9727" max="9727" width="5.69921875" style="131" customWidth="1"/>
    <col min="9728" max="9728" width="6.69921875" style="131" customWidth="1"/>
    <col min="9729" max="9729" width="9" style="131" customWidth="1"/>
    <col min="9730" max="9730" width="11.796875" style="131" customWidth="1"/>
    <col min="9731" max="9731" width="10.19921875" style="131" customWidth="1"/>
    <col min="9732" max="9732" width="9.8984375" style="131" customWidth="1"/>
    <col min="9733" max="9979" width="8.8984375" style="131"/>
    <col min="9980" max="9980" width="3.8984375" style="131" customWidth="1"/>
    <col min="9981" max="9981" width="12.09765625" style="131" customWidth="1"/>
    <col min="9982" max="9982" width="13.59765625" style="131" customWidth="1"/>
    <col min="9983" max="9983" width="5.69921875" style="131" customWidth="1"/>
    <col min="9984" max="9984" width="6.69921875" style="131" customWidth="1"/>
    <col min="9985" max="9985" width="9" style="131" customWidth="1"/>
    <col min="9986" max="9986" width="11.796875" style="131" customWidth="1"/>
    <col min="9987" max="9987" width="10.19921875" style="131" customWidth="1"/>
    <col min="9988" max="9988" width="9.8984375" style="131" customWidth="1"/>
    <col min="9989" max="10235" width="8.8984375" style="131"/>
    <col min="10236" max="10236" width="3.8984375" style="131" customWidth="1"/>
    <col min="10237" max="10237" width="12.09765625" style="131" customWidth="1"/>
    <col min="10238" max="10238" width="13.59765625" style="131" customWidth="1"/>
    <col min="10239" max="10239" width="5.69921875" style="131" customWidth="1"/>
    <col min="10240" max="10240" width="6.69921875" style="131" customWidth="1"/>
    <col min="10241" max="10241" width="9" style="131" customWidth="1"/>
    <col min="10242" max="10242" width="11.796875" style="131" customWidth="1"/>
    <col min="10243" max="10243" width="10.19921875" style="131" customWidth="1"/>
    <col min="10244" max="10244" width="9.8984375" style="131" customWidth="1"/>
    <col min="10245" max="10491" width="8.8984375" style="131"/>
    <col min="10492" max="10492" width="3.8984375" style="131" customWidth="1"/>
    <col min="10493" max="10493" width="12.09765625" style="131" customWidth="1"/>
    <col min="10494" max="10494" width="13.59765625" style="131" customWidth="1"/>
    <col min="10495" max="10495" width="5.69921875" style="131" customWidth="1"/>
    <col min="10496" max="10496" width="6.69921875" style="131" customWidth="1"/>
    <col min="10497" max="10497" width="9" style="131" customWidth="1"/>
    <col min="10498" max="10498" width="11.796875" style="131" customWidth="1"/>
    <col min="10499" max="10499" width="10.19921875" style="131" customWidth="1"/>
    <col min="10500" max="10500" width="9.8984375" style="131" customWidth="1"/>
    <col min="10501" max="10747" width="8.8984375" style="131"/>
    <col min="10748" max="10748" width="3.8984375" style="131" customWidth="1"/>
    <col min="10749" max="10749" width="12.09765625" style="131" customWidth="1"/>
    <col min="10750" max="10750" width="13.59765625" style="131" customWidth="1"/>
    <col min="10751" max="10751" width="5.69921875" style="131" customWidth="1"/>
    <col min="10752" max="10752" width="6.69921875" style="131" customWidth="1"/>
    <col min="10753" max="10753" width="9" style="131" customWidth="1"/>
    <col min="10754" max="10754" width="11.796875" style="131" customWidth="1"/>
    <col min="10755" max="10755" width="10.19921875" style="131" customWidth="1"/>
    <col min="10756" max="10756" width="9.8984375" style="131" customWidth="1"/>
    <col min="10757" max="11003" width="8.8984375" style="131"/>
    <col min="11004" max="11004" width="3.8984375" style="131" customWidth="1"/>
    <col min="11005" max="11005" width="12.09765625" style="131" customWidth="1"/>
    <col min="11006" max="11006" width="13.59765625" style="131" customWidth="1"/>
    <col min="11007" max="11007" width="5.69921875" style="131" customWidth="1"/>
    <col min="11008" max="11008" width="6.69921875" style="131" customWidth="1"/>
    <col min="11009" max="11009" width="9" style="131" customWidth="1"/>
    <col min="11010" max="11010" width="11.796875" style="131" customWidth="1"/>
    <col min="11011" max="11011" width="10.19921875" style="131" customWidth="1"/>
    <col min="11012" max="11012" width="9.8984375" style="131" customWidth="1"/>
    <col min="11013" max="11259" width="8.8984375" style="131"/>
    <col min="11260" max="11260" width="3.8984375" style="131" customWidth="1"/>
    <col min="11261" max="11261" width="12.09765625" style="131" customWidth="1"/>
    <col min="11262" max="11262" width="13.59765625" style="131" customWidth="1"/>
    <col min="11263" max="11263" width="5.69921875" style="131" customWidth="1"/>
    <col min="11264" max="11264" width="6.69921875" style="131" customWidth="1"/>
    <col min="11265" max="11265" width="9" style="131" customWidth="1"/>
    <col min="11266" max="11266" width="11.796875" style="131" customWidth="1"/>
    <col min="11267" max="11267" width="10.19921875" style="131" customWidth="1"/>
    <col min="11268" max="11268" width="9.8984375" style="131" customWidth="1"/>
    <col min="11269" max="11515" width="8.8984375" style="131"/>
    <col min="11516" max="11516" width="3.8984375" style="131" customWidth="1"/>
    <col min="11517" max="11517" width="12.09765625" style="131" customWidth="1"/>
    <col min="11518" max="11518" width="13.59765625" style="131" customWidth="1"/>
    <col min="11519" max="11519" width="5.69921875" style="131" customWidth="1"/>
    <col min="11520" max="11520" width="6.69921875" style="131" customWidth="1"/>
    <col min="11521" max="11521" width="9" style="131" customWidth="1"/>
    <col min="11522" max="11522" width="11.796875" style="131" customWidth="1"/>
    <col min="11523" max="11523" width="10.19921875" style="131" customWidth="1"/>
    <col min="11524" max="11524" width="9.8984375" style="131" customWidth="1"/>
    <col min="11525" max="11771" width="8.8984375" style="131"/>
    <col min="11772" max="11772" width="3.8984375" style="131" customWidth="1"/>
    <col min="11773" max="11773" width="12.09765625" style="131" customWidth="1"/>
    <col min="11774" max="11774" width="13.59765625" style="131" customWidth="1"/>
    <col min="11775" max="11775" width="5.69921875" style="131" customWidth="1"/>
    <col min="11776" max="11776" width="6.69921875" style="131" customWidth="1"/>
    <col min="11777" max="11777" width="9" style="131" customWidth="1"/>
    <col min="11778" max="11778" width="11.796875" style="131" customWidth="1"/>
    <col min="11779" max="11779" width="10.19921875" style="131" customWidth="1"/>
    <col min="11780" max="11780" width="9.8984375" style="131" customWidth="1"/>
    <col min="11781" max="12027" width="8.8984375" style="131"/>
    <col min="12028" max="12028" width="3.8984375" style="131" customWidth="1"/>
    <col min="12029" max="12029" width="12.09765625" style="131" customWidth="1"/>
    <col min="12030" max="12030" width="13.59765625" style="131" customWidth="1"/>
    <col min="12031" max="12031" width="5.69921875" style="131" customWidth="1"/>
    <col min="12032" max="12032" width="6.69921875" style="131" customWidth="1"/>
    <col min="12033" max="12033" width="9" style="131" customWidth="1"/>
    <col min="12034" max="12034" width="11.796875" style="131" customWidth="1"/>
    <col min="12035" max="12035" width="10.19921875" style="131" customWidth="1"/>
    <col min="12036" max="12036" width="9.8984375" style="131" customWidth="1"/>
    <col min="12037" max="12283" width="8.8984375" style="131"/>
    <col min="12284" max="12284" width="3.8984375" style="131" customWidth="1"/>
    <col min="12285" max="12285" width="12.09765625" style="131" customWidth="1"/>
    <col min="12286" max="12286" width="13.59765625" style="131" customWidth="1"/>
    <col min="12287" max="12287" width="5.69921875" style="131" customWidth="1"/>
    <col min="12288" max="12288" width="6.69921875" style="131" customWidth="1"/>
    <col min="12289" max="12289" width="9" style="131" customWidth="1"/>
    <col min="12290" max="12290" width="11.796875" style="131" customWidth="1"/>
    <col min="12291" max="12291" width="10.19921875" style="131" customWidth="1"/>
    <col min="12292" max="12292" width="9.8984375" style="131" customWidth="1"/>
    <col min="12293" max="12539" width="8.8984375" style="131"/>
    <col min="12540" max="12540" width="3.8984375" style="131" customWidth="1"/>
    <col min="12541" max="12541" width="12.09765625" style="131" customWidth="1"/>
    <col min="12542" max="12542" width="13.59765625" style="131" customWidth="1"/>
    <col min="12543" max="12543" width="5.69921875" style="131" customWidth="1"/>
    <col min="12544" max="12544" width="6.69921875" style="131" customWidth="1"/>
    <col min="12545" max="12545" width="9" style="131" customWidth="1"/>
    <col min="12546" max="12546" width="11.796875" style="131" customWidth="1"/>
    <col min="12547" max="12547" width="10.19921875" style="131" customWidth="1"/>
    <col min="12548" max="12548" width="9.8984375" style="131" customWidth="1"/>
    <col min="12549" max="12795" width="8.8984375" style="131"/>
    <col min="12796" max="12796" width="3.8984375" style="131" customWidth="1"/>
    <col min="12797" max="12797" width="12.09765625" style="131" customWidth="1"/>
    <col min="12798" max="12798" width="13.59765625" style="131" customWidth="1"/>
    <col min="12799" max="12799" width="5.69921875" style="131" customWidth="1"/>
    <col min="12800" max="12800" width="6.69921875" style="131" customWidth="1"/>
    <col min="12801" max="12801" width="9" style="131" customWidth="1"/>
    <col min="12802" max="12802" width="11.796875" style="131" customWidth="1"/>
    <col min="12803" max="12803" width="10.19921875" style="131" customWidth="1"/>
    <col min="12804" max="12804" width="9.8984375" style="131" customWidth="1"/>
    <col min="12805" max="13051" width="8.8984375" style="131"/>
    <col min="13052" max="13052" width="3.8984375" style="131" customWidth="1"/>
    <col min="13053" max="13053" width="12.09765625" style="131" customWidth="1"/>
    <col min="13054" max="13054" width="13.59765625" style="131" customWidth="1"/>
    <col min="13055" max="13055" width="5.69921875" style="131" customWidth="1"/>
    <col min="13056" max="13056" width="6.69921875" style="131" customWidth="1"/>
    <col min="13057" max="13057" width="9" style="131" customWidth="1"/>
    <col min="13058" max="13058" width="11.796875" style="131" customWidth="1"/>
    <col min="13059" max="13059" width="10.19921875" style="131" customWidth="1"/>
    <col min="13060" max="13060" width="9.8984375" style="131" customWidth="1"/>
    <col min="13061" max="13307" width="8.8984375" style="131"/>
    <col min="13308" max="13308" width="3.8984375" style="131" customWidth="1"/>
    <col min="13309" max="13309" width="12.09765625" style="131" customWidth="1"/>
    <col min="13310" max="13310" width="13.59765625" style="131" customWidth="1"/>
    <col min="13311" max="13311" width="5.69921875" style="131" customWidth="1"/>
    <col min="13312" max="13312" width="6.69921875" style="131" customWidth="1"/>
    <col min="13313" max="13313" width="9" style="131" customWidth="1"/>
    <col min="13314" max="13314" width="11.796875" style="131" customWidth="1"/>
    <col min="13315" max="13315" width="10.19921875" style="131" customWidth="1"/>
    <col min="13316" max="13316" width="9.8984375" style="131" customWidth="1"/>
    <col min="13317" max="13563" width="8.8984375" style="131"/>
    <col min="13564" max="13564" width="3.8984375" style="131" customWidth="1"/>
    <col min="13565" max="13565" width="12.09765625" style="131" customWidth="1"/>
    <col min="13566" max="13566" width="13.59765625" style="131" customWidth="1"/>
    <col min="13567" max="13567" width="5.69921875" style="131" customWidth="1"/>
    <col min="13568" max="13568" width="6.69921875" style="131" customWidth="1"/>
    <col min="13569" max="13569" width="9" style="131" customWidth="1"/>
    <col min="13570" max="13570" width="11.796875" style="131" customWidth="1"/>
    <col min="13571" max="13571" width="10.19921875" style="131" customWidth="1"/>
    <col min="13572" max="13572" width="9.8984375" style="131" customWidth="1"/>
    <col min="13573" max="13819" width="8.8984375" style="131"/>
    <col min="13820" max="13820" width="3.8984375" style="131" customWidth="1"/>
    <col min="13821" max="13821" width="12.09765625" style="131" customWidth="1"/>
    <col min="13822" max="13822" width="13.59765625" style="131" customWidth="1"/>
    <col min="13823" max="13823" width="5.69921875" style="131" customWidth="1"/>
    <col min="13824" max="13824" width="6.69921875" style="131" customWidth="1"/>
    <col min="13825" max="13825" width="9" style="131" customWidth="1"/>
    <col min="13826" max="13826" width="11.796875" style="131" customWidth="1"/>
    <col min="13827" max="13827" width="10.19921875" style="131" customWidth="1"/>
    <col min="13828" max="13828" width="9.8984375" style="131" customWidth="1"/>
    <col min="13829" max="14075" width="8.8984375" style="131"/>
    <col min="14076" max="14076" width="3.8984375" style="131" customWidth="1"/>
    <col min="14077" max="14077" width="12.09765625" style="131" customWidth="1"/>
    <col min="14078" max="14078" width="13.59765625" style="131" customWidth="1"/>
    <col min="14079" max="14079" width="5.69921875" style="131" customWidth="1"/>
    <col min="14080" max="14080" width="6.69921875" style="131" customWidth="1"/>
    <col min="14081" max="14081" width="9" style="131" customWidth="1"/>
    <col min="14082" max="14082" width="11.796875" style="131" customWidth="1"/>
    <col min="14083" max="14083" width="10.19921875" style="131" customWidth="1"/>
    <col min="14084" max="14084" width="9.8984375" style="131" customWidth="1"/>
    <col min="14085" max="14331" width="8.8984375" style="131"/>
    <col min="14332" max="14332" width="3.8984375" style="131" customWidth="1"/>
    <col min="14333" max="14333" width="12.09765625" style="131" customWidth="1"/>
    <col min="14334" max="14334" width="13.59765625" style="131" customWidth="1"/>
    <col min="14335" max="14335" width="5.69921875" style="131" customWidth="1"/>
    <col min="14336" max="14336" width="6.69921875" style="131" customWidth="1"/>
    <col min="14337" max="14337" width="9" style="131" customWidth="1"/>
    <col min="14338" max="14338" width="11.796875" style="131" customWidth="1"/>
    <col min="14339" max="14339" width="10.19921875" style="131" customWidth="1"/>
    <col min="14340" max="14340" width="9.8984375" style="131" customWidth="1"/>
    <col min="14341" max="14587" width="8.8984375" style="131"/>
    <col min="14588" max="14588" width="3.8984375" style="131" customWidth="1"/>
    <col min="14589" max="14589" width="12.09765625" style="131" customWidth="1"/>
    <col min="14590" max="14590" width="13.59765625" style="131" customWidth="1"/>
    <col min="14591" max="14591" width="5.69921875" style="131" customWidth="1"/>
    <col min="14592" max="14592" width="6.69921875" style="131" customWidth="1"/>
    <col min="14593" max="14593" width="9" style="131" customWidth="1"/>
    <col min="14594" max="14594" width="11.796875" style="131" customWidth="1"/>
    <col min="14595" max="14595" width="10.19921875" style="131" customWidth="1"/>
    <col min="14596" max="14596" width="9.8984375" style="131" customWidth="1"/>
    <col min="14597" max="14843" width="8.8984375" style="131"/>
    <col min="14844" max="14844" width="3.8984375" style="131" customWidth="1"/>
    <col min="14845" max="14845" width="12.09765625" style="131" customWidth="1"/>
    <col min="14846" max="14846" width="13.59765625" style="131" customWidth="1"/>
    <col min="14847" max="14847" width="5.69921875" style="131" customWidth="1"/>
    <col min="14848" max="14848" width="6.69921875" style="131" customWidth="1"/>
    <col min="14849" max="14849" width="9" style="131" customWidth="1"/>
    <col min="14850" max="14850" width="11.796875" style="131" customWidth="1"/>
    <col min="14851" max="14851" width="10.19921875" style="131" customWidth="1"/>
    <col min="14852" max="14852" width="9.8984375" style="131" customWidth="1"/>
    <col min="14853" max="15099" width="8.8984375" style="131"/>
    <col min="15100" max="15100" width="3.8984375" style="131" customWidth="1"/>
    <col min="15101" max="15101" width="12.09765625" style="131" customWidth="1"/>
    <col min="15102" max="15102" width="13.59765625" style="131" customWidth="1"/>
    <col min="15103" max="15103" width="5.69921875" style="131" customWidth="1"/>
    <col min="15104" max="15104" width="6.69921875" style="131" customWidth="1"/>
    <col min="15105" max="15105" width="9" style="131" customWidth="1"/>
    <col min="15106" max="15106" width="11.796875" style="131" customWidth="1"/>
    <col min="15107" max="15107" width="10.19921875" style="131" customWidth="1"/>
    <col min="15108" max="15108" width="9.8984375" style="131" customWidth="1"/>
    <col min="15109" max="15355" width="8.8984375" style="131"/>
    <col min="15356" max="15356" width="3.8984375" style="131" customWidth="1"/>
    <col min="15357" max="15357" width="12.09765625" style="131" customWidth="1"/>
    <col min="15358" max="15358" width="13.59765625" style="131" customWidth="1"/>
    <col min="15359" max="15359" width="5.69921875" style="131" customWidth="1"/>
    <col min="15360" max="15360" width="6.69921875" style="131" customWidth="1"/>
    <col min="15361" max="15361" width="9" style="131" customWidth="1"/>
    <col min="15362" max="15362" width="11.796875" style="131" customWidth="1"/>
    <col min="15363" max="15363" width="10.19921875" style="131" customWidth="1"/>
    <col min="15364" max="15364" width="9.8984375" style="131" customWidth="1"/>
    <col min="15365" max="15611" width="8.8984375" style="131"/>
    <col min="15612" max="15612" width="3.8984375" style="131" customWidth="1"/>
    <col min="15613" max="15613" width="12.09765625" style="131" customWidth="1"/>
    <col min="15614" max="15614" width="13.59765625" style="131" customWidth="1"/>
    <col min="15615" max="15615" width="5.69921875" style="131" customWidth="1"/>
    <col min="15616" max="15616" width="6.69921875" style="131" customWidth="1"/>
    <col min="15617" max="15617" width="9" style="131" customWidth="1"/>
    <col min="15618" max="15618" width="11.796875" style="131" customWidth="1"/>
    <col min="15619" max="15619" width="10.19921875" style="131" customWidth="1"/>
    <col min="15620" max="15620" width="9.8984375" style="131" customWidth="1"/>
    <col min="15621" max="15867" width="8.8984375" style="131"/>
    <col min="15868" max="15868" width="3.8984375" style="131" customWidth="1"/>
    <col min="15869" max="15869" width="12.09765625" style="131" customWidth="1"/>
    <col min="15870" max="15870" width="13.59765625" style="131" customWidth="1"/>
    <col min="15871" max="15871" width="5.69921875" style="131" customWidth="1"/>
    <col min="15872" max="15872" width="6.69921875" style="131" customWidth="1"/>
    <col min="15873" max="15873" width="9" style="131" customWidth="1"/>
    <col min="15874" max="15874" width="11.796875" style="131" customWidth="1"/>
    <col min="15875" max="15875" width="10.19921875" style="131" customWidth="1"/>
    <col min="15876" max="15876" width="9.8984375" style="131" customWidth="1"/>
    <col min="15877" max="16123" width="8.8984375" style="131"/>
    <col min="16124" max="16124" width="3.8984375" style="131" customWidth="1"/>
    <col min="16125" max="16125" width="12.09765625" style="131" customWidth="1"/>
    <col min="16126" max="16126" width="13.59765625" style="131" customWidth="1"/>
    <col min="16127" max="16127" width="5.69921875" style="131" customWidth="1"/>
    <col min="16128" max="16128" width="6.69921875" style="131" customWidth="1"/>
    <col min="16129" max="16129" width="9" style="131" customWidth="1"/>
    <col min="16130" max="16130" width="11.796875" style="131" customWidth="1"/>
    <col min="16131" max="16131" width="10.19921875" style="131" customWidth="1"/>
    <col min="16132" max="16132" width="9.8984375" style="131" customWidth="1"/>
    <col min="16133" max="16384" width="8.8984375" style="131"/>
  </cols>
  <sheetData>
    <row r="1" spans="1:12" s="130" customFormat="1" ht="28.5" customHeight="1">
      <c r="A1" s="365" t="s">
        <v>142</v>
      </c>
      <c r="B1" s="366"/>
      <c r="C1" s="366"/>
      <c r="D1" s="366"/>
      <c r="E1" s="366"/>
      <c r="F1" s="366"/>
      <c r="G1" s="366"/>
      <c r="H1" s="366"/>
    </row>
    <row r="2" spans="1:12" ht="22.5" customHeight="1">
      <c r="J2" s="350" t="s">
        <v>105</v>
      </c>
      <c r="K2" s="133" t="s">
        <v>106</v>
      </c>
      <c r="L2" s="134" t="s">
        <v>107</v>
      </c>
    </row>
    <row r="3" spans="1:12" ht="22.5" customHeight="1">
      <c r="J3" s="350"/>
      <c r="K3" s="133" t="s">
        <v>108</v>
      </c>
      <c r="L3" s="134" t="s">
        <v>109</v>
      </c>
    </row>
    <row r="4" spans="1:12" s="138" customFormat="1" ht="22.5" customHeight="1">
      <c r="A4" s="135" t="s">
        <v>110</v>
      </c>
      <c r="B4" s="136"/>
      <c r="C4" s="137" t="str">
        <f>계약금_세금계산서!$C$4</f>
        <v>㈜우원기술</v>
      </c>
      <c r="D4" s="132"/>
      <c r="J4" s="139" t="s">
        <v>111</v>
      </c>
    </row>
    <row r="5" spans="1:12" s="138" customFormat="1" ht="22.5" customHeight="1">
      <c r="A5" s="135" t="s">
        <v>112</v>
      </c>
      <c r="B5" s="136"/>
      <c r="C5" s="137"/>
      <c r="D5" s="132"/>
      <c r="J5" s="139" t="s">
        <v>113</v>
      </c>
    </row>
    <row r="6" spans="1:12" s="138" customFormat="1" ht="22.5" customHeight="1">
      <c r="A6" s="135" t="s">
        <v>114</v>
      </c>
      <c r="B6" s="136"/>
      <c r="C6" s="137" t="str">
        <f>계약금_세금계산서!C6</f>
        <v>고객가치사업부</v>
      </c>
      <c r="D6" s="132"/>
      <c r="J6" s="139" t="s">
        <v>116</v>
      </c>
    </row>
    <row r="7" spans="1:12" s="138" customFormat="1" ht="22.5" customHeight="1">
      <c r="A7" s="135" t="s">
        <v>117</v>
      </c>
      <c r="B7" s="136"/>
      <c r="C7" s="137" t="str">
        <f>계약금_세금계산서!C7</f>
        <v>김재호</v>
      </c>
      <c r="D7" s="132"/>
      <c r="J7" s="139"/>
    </row>
    <row r="8" spans="1:12" s="138" customFormat="1" ht="22.5" customHeight="1">
      <c r="A8" s="135" t="s">
        <v>119</v>
      </c>
      <c r="B8" s="140"/>
      <c r="C8" s="141"/>
      <c r="D8" s="132"/>
      <c r="F8" s="142"/>
      <c r="G8" s="143"/>
      <c r="J8" s="139" t="s">
        <v>120</v>
      </c>
    </row>
    <row r="9" spans="1:12" s="138" customFormat="1" ht="22.5" customHeight="1">
      <c r="A9" s="135" t="s">
        <v>121</v>
      </c>
      <c r="B9" s="140"/>
      <c r="C9" s="144" t="str">
        <f>계약금_세금계산서!$C$9</f>
        <v>익월말</v>
      </c>
      <c r="D9" s="132"/>
      <c r="F9" s="142"/>
      <c r="G9" s="143"/>
      <c r="J9" s="139" t="s">
        <v>123</v>
      </c>
    </row>
    <row r="10" spans="1:12" s="138" customFormat="1" ht="22.5" customHeight="1">
      <c r="C10" s="138" t="s">
        <v>124</v>
      </c>
      <c r="D10" s="145"/>
      <c r="E10" s="367"/>
      <c r="F10" s="367"/>
      <c r="G10" s="367"/>
      <c r="H10" s="367"/>
    </row>
    <row r="11" spans="1:12" s="147" customFormat="1" ht="22.5" customHeight="1">
      <c r="A11" s="136" t="s">
        <v>125</v>
      </c>
      <c r="B11" s="146"/>
      <c r="D11" s="148"/>
    </row>
    <row r="12" spans="1:12" s="147" customFormat="1" ht="22.5" customHeight="1">
      <c r="A12" s="149" t="s">
        <v>126</v>
      </c>
      <c r="B12" s="150" t="s">
        <v>127</v>
      </c>
      <c r="C12" s="150" t="s">
        <v>128</v>
      </c>
      <c r="D12" s="151" t="s">
        <v>13</v>
      </c>
      <c r="E12" s="152" t="s">
        <v>129</v>
      </c>
      <c r="F12" s="152" t="s">
        <v>130</v>
      </c>
      <c r="G12" s="152" t="s">
        <v>131</v>
      </c>
      <c r="H12" s="150" t="s">
        <v>132</v>
      </c>
    </row>
    <row r="13" spans="1:12" s="138" customFormat="1" ht="22.5" customHeight="1">
      <c r="A13" s="368">
        <v>1</v>
      </c>
      <c r="B13" s="369" t="str">
        <f>C4</f>
        <v>㈜우원기술</v>
      </c>
      <c r="C13" s="153" t="str">
        <f>계약금_세금계산서!$C$13</f>
        <v>추가개발</v>
      </c>
      <c r="D13" s="154">
        <v>1</v>
      </c>
      <c r="E13" s="155">
        <f>인건비!N5</f>
        <v>0</v>
      </c>
      <c r="F13" s="156">
        <f>E13</f>
        <v>0</v>
      </c>
      <c r="G13" s="156">
        <f>F13*0.1</f>
        <v>0</v>
      </c>
      <c r="H13" s="157" t="str">
        <f>인건비!K5</f>
        <v>중도금</v>
      </c>
    </row>
    <row r="14" spans="1:12" s="138" customFormat="1" ht="22.5" customHeight="1">
      <c r="A14" s="368"/>
      <c r="B14" s="369"/>
      <c r="C14" s="158"/>
      <c r="D14" s="154"/>
      <c r="E14" s="155"/>
      <c r="F14" s="156"/>
      <c r="G14" s="156"/>
      <c r="H14" s="157"/>
      <c r="I14" s="159"/>
    </row>
    <row r="15" spans="1:12" s="142" customFormat="1" ht="22.5" customHeight="1">
      <c r="A15" s="360" t="s">
        <v>134</v>
      </c>
      <c r="B15" s="370"/>
      <c r="C15" s="370"/>
      <c r="D15" s="370"/>
      <c r="E15" s="371"/>
      <c r="F15" s="160">
        <f>SUM(F13:F14)</f>
        <v>0</v>
      </c>
      <c r="G15" s="161">
        <f>SUM(G13:G14)</f>
        <v>0</v>
      </c>
      <c r="H15" s="162"/>
    </row>
    <row r="16" spans="1:12" s="142" customFormat="1" ht="22.5" customHeight="1">
      <c r="A16" s="360" t="s">
        <v>135</v>
      </c>
      <c r="B16" s="361"/>
      <c r="C16" s="361"/>
      <c r="D16" s="361"/>
      <c r="E16" s="362"/>
      <c r="F16" s="363">
        <f>F15+G15</f>
        <v>0</v>
      </c>
      <c r="G16" s="364"/>
      <c r="H16" s="163"/>
    </row>
    <row r="17" spans="1:8" s="139" customFormat="1" ht="22.5" customHeight="1">
      <c r="A17" s="344" t="s">
        <v>136</v>
      </c>
      <c r="B17" s="345"/>
      <c r="C17" s="164" t="s">
        <v>137</v>
      </c>
      <c r="D17" s="350"/>
      <c r="E17" s="350"/>
      <c r="F17" s="165" t="s">
        <v>138</v>
      </c>
      <c r="G17" s="351"/>
      <c r="H17" s="352"/>
    </row>
    <row r="18" spans="1:8" s="138" customFormat="1" ht="22.5" customHeight="1">
      <c r="A18" s="346"/>
      <c r="B18" s="347"/>
      <c r="C18" s="164" t="s">
        <v>139</v>
      </c>
      <c r="D18" s="351"/>
      <c r="E18" s="353"/>
      <c r="F18" s="353"/>
      <c r="G18" s="353"/>
      <c r="H18" s="352"/>
    </row>
    <row r="19" spans="1:8" s="138" customFormat="1" ht="22.5" customHeight="1">
      <c r="A19" s="346"/>
      <c r="B19" s="347"/>
      <c r="C19" s="164" t="s">
        <v>140</v>
      </c>
      <c r="D19" s="354"/>
      <c r="E19" s="354"/>
      <c r="F19" s="354"/>
      <c r="G19" s="354"/>
      <c r="H19" s="355"/>
    </row>
    <row r="20" spans="1:8" s="138" customFormat="1" ht="22.5" customHeight="1">
      <c r="A20" s="348"/>
      <c r="B20" s="349"/>
      <c r="C20" s="164" t="s">
        <v>141</v>
      </c>
      <c r="D20" s="356"/>
      <c r="E20" s="357"/>
      <c r="F20" s="165" t="s">
        <v>143</v>
      </c>
      <c r="G20" s="358"/>
      <c r="H20" s="359"/>
    </row>
    <row r="21" spans="1:8" s="166" customFormat="1" ht="22.5" customHeight="1">
      <c r="A21" s="343"/>
      <c r="B21" s="343"/>
      <c r="C21" s="343"/>
      <c r="D21" s="343"/>
      <c r="E21" s="343"/>
      <c r="F21" s="343"/>
      <c r="G21" s="343"/>
      <c r="H21" s="343"/>
    </row>
    <row r="34" spans="3:3" ht="22.5" customHeight="1">
      <c r="C34" s="167"/>
    </row>
    <row r="35" spans="3:3" ht="22.5" customHeight="1">
      <c r="C35" s="167"/>
    </row>
    <row r="36" spans="3:3" ht="22.5" customHeight="1">
      <c r="C36" s="167"/>
    </row>
  </sheetData>
  <mergeCells count="16">
    <mergeCell ref="J2:J3"/>
    <mergeCell ref="A16:E16"/>
    <mergeCell ref="F16:G16"/>
    <mergeCell ref="A1:H1"/>
    <mergeCell ref="E10:H10"/>
    <mergeCell ref="A13:A14"/>
    <mergeCell ref="B13:B14"/>
    <mergeCell ref="A15:E15"/>
    <mergeCell ref="A21:H21"/>
    <mergeCell ref="A17:B20"/>
    <mergeCell ref="D17:E17"/>
    <mergeCell ref="G17:H17"/>
    <mergeCell ref="D18:H18"/>
    <mergeCell ref="D19:H19"/>
    <mergeCell ref="D20:E20"/>
    <mergeCell ref="G20:H20"/>
  </mergeCells>
  <phoneticPr fontId="13" type="noConversion"/>
  <hyperlinks>
    <hyperlink ref="L2" r:id="rId1" xr:uid="{2056225D-31E2-4B73-B19E-5D6649853782}"/>
    <hyperlink ref="L3" r:id="rId2" xr:uid="{CE2AB287-E54C-4A37-A590-1B8235C9F627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85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25FD07E57DF08498A0FD1BA6C65F542" ma:contentTypeVersion="14" ma:contentTypeDescription="새 문서를 만듭니다." ma:contentTypeScope="" ma:versionID="4e9580f66e247f055f2172982606f4a2">
  <xsd:schema xmlns:xsd="http://www.w3.org/2001/XMLSchema" xmlns:xs="http://www.w3.org/2001/XMLSchema" xmlns:p="http://schemas.microsoft.com/office/2006/metadata/properties" xmlns:ns2="43fe3633-ecbf-4d5d-8e18-c92a755c51f6" xmlns:ns3="b73b940a-921f-4035-8cf3-5c79d9bf1fb0" targetNamespace="http://schemas.microsoft.com/office/2006/metadata/properties" ma:root="true" ma:fieldsID="175863027ee0a4a1a60e18803181537e" ns2:_="" ns3:_="">
    <xsd:import namespace="43fe3633-ecbf-4d5d-8e18-c92a755c51f6"/>
    <xsd:import namespace="b73b940a-921f-4035-8cf3-5c79d9bf1f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e3633-ecbf-4d5d-8e18-c92a755c51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e1a3a419-3df2-4eb5-9bcd-a6c2c4bf1f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b940a-921f-4035-8cf3-5c79d9bf1fb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5719f6d-6a13-4c62-8154-292a97f3a85f}" ma:internalName="TaxCatchAll" ma:showField="CatchAllData" ma:web="b73b940a-921f-4035-8cf3-5c79d9bf1f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fe3633-ecbf-4d5d-8e18-c92a755c51f6">
      <Terms xmlns="http://schemas.microsoft.com/office/infopath/2007/PartnerControls"/>
    </lcf76f155ced4ddcb4097134ff3c332f>
    <TaxCatchAll xmlns="b73b940a-921f-4035-8cf3-5c79d9bf1fb0" xsi:nil="true"/>
    <SharedWithUsers xmlns="b73b940a-921f-4035-8cf3-5c79d9bf1fb0">
      <UserInfo>
        <DisplayName>김 진원</DisplayName>
        <AccountId>76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FCD5DB-F650-4950-82D9-7644BD87E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e3633-ecbf-4d5d-8e18-c92a755c51f6"/>
    <ds:schemaRef ds:uri="b73b940a-921f-4035-8cf3-5c79d9bf1f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05CF18-4064-429E-8BA3-979E6DE8DC13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b73b940a-921f-4035-8cf3-5c79d9bf1fb0"/>
    <ds:schemaRef ds:uri="http://purl.org/dc/dcmitype/"/>
    <ds:schemaRef ds:uri="43fe3633-ecbf-4d5d-8e18-c92a755c51f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FB30CE2-9E12-484C-ACC8-79D8271BBD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8</vt:i4>
      </vt:variant>
    </vt:vector>
  </HeadingPairs>
  <TitlesOfParts>
    <vt:vector size="17" baseType="lpstr">
      <vt:lpstr>표지</vt:lpstr>
      <vt:lpstr>종합</vt:lpstr>
      <vt:lpstr>인건비</vt:lpstr>
      <vt:lpstr>개발상세공수</vt:lpstr>
      <vt:lpstr>별첨1.등급별 산정 근거(노임단가)</vt:lpstr>
      <vt:lpstr>(내부용)세금계산서의뢰---&gt;</vt:lpstr>
      <vt:lpstr>계약금_세금계산서</vt:lpstr>
      <vt:lpstr>잔금_세금계산서</vt:lpstr>
      <vt:lpstr>중도금_세금계산서</vt:lpstr>
      <vt:lpstr>개발상세공수!Print_Area</vt:lpstr>
      <vt:lpstr>계약금_세금계산서!Print_Area</vt:lpstr>
      <vt:lpstr>'별첨1.등급별 산정 근거(노임단가)'!Print_Area</vt:lpstr>
      <vt:lpstr>인건비!Print_Area</vt:lpstr>
      <vt:lpstr>잔금_세금계산서!Print_Area</vt:lpstr>
      <vt:lpstr>종합!Print_Area</vt:lpstr>
      <vt:lpstr>중도금_세금계산서!Print_Area</vt:lpstr>
      <vt:lpstr>표지!Print_Area</vt:lpstr>
    </vt:vector>
  </TitlesOfParts>
  <Manager/>
  <Company>(주)공영디비엠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추가개발견적서</dc:title>
  <dc:subject>견적서</dc:subject>
  <dc:creator>김 재호(영업)</dc:creator>
  <cp:keywords>견적</cp:keywords>
  <dc:description/>
  <cp:lastModifiedBy>김 명남</cp:lastModifiedBy>
  <cp:revision/>
  <cp:lastPrinted>2025-04-20T05:40:29Z</cp:lastPrinted>
  <dcterms:created xsi:type="dcterms:W3CDTF">2001-04-12T11:51:32Z</dcterms:created>
  <dcterms:modified xsi:type="dcterms:W3CDTF">2025-04-21T02:04:29Z</dcterms:modified>
  <cp:category>견적서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0x010100625FD07E57DF08498A0FD1BA6C65F542</vt:lpwstr>
  </property>
</Properties>
</file>