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우원기술/"/>
    </mc:Choice>
  </mc:AlternateContent>
  <xr:revisionPtr revIDLastSave="0" documentId="13_ncr:1_{D6ECA9F8-4579-4AAF-9F12-4746D40F6D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3" r:id="rId2"/>
    <sheet name="매입권한테이블 전자세금계산서(매입)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6" i="3"/>
  <c r="B6" i="3"/>
  <c r="B5" i="3"/>
  <c r="G3" i="1"/>
  <c r="G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<sst xmlns="http://schemas.openxmlformats.org/spreadsheetml/2006/main" count="124" uniqueCount="87">
  <si>
    <t>개발내역</t>
    <phoneticPr fontId="1" type="noConversion"/>
  </si>
  <si>
    <t>순서</t>
    <phoneticPr fontId="1" type="noConversion"/>
  </si>
  <si>
    <t>[계정별원장조회(기간별)]
 1. 기간별 계정의 원장을 조회할 수 있도록 개발</t>
    <phoneticPr fontId="1" type="noConversion"/>
  </si>
  <si>
    <t>[원가배부처리]
 1. 코스트센터 사용부서가 2개 이상일 경우에도 각 부서별로만 배부처리하도록 개발</t>
    <phoneticPr fontId="1" type="noConversion"/>
  </si>
  <si>
    <t>[원가배부내역조회]
 1. 받는 코스트센터 기준의 기간별 배부내역조회</t>
    <phoneticPr fontId="1" type="noConversion"/>
  </si>
  <si>
    <t>[Super유지 권한관리]
 1. 전표입력 권한과 승인권한 분리</t>
    <phoneticPr fontId="1" type="noConversion"/>
  </si>
  <si>
    <t xml:space="preserve">[프로젝트Miss율조회]
 1. 진성Miss 추가
 2. 그래프 표현방식 </t>
    <phoneticPr fontId="1" type="noConversion"/>
  </si>
  <si>
    <t xml:space="preserve">as is </t>
    <phoneticPr fontId="1" type="noConversion"/>
  </si>
  <si>
    <t>to be</t>
    <phoneticPr fontId="1" type="noConversion"/>
  </si>
  <si>
    <t>고객과소통사항</t>
    <phoneticPr fontId="1" type="noConversion"/>
  </si>
  <si>
    <t>비고</t>
    <phoneticPr fontId="1" type="noConversion"/>
  </si>
  <si>
    <t>FrmWACDailyAccMonthList_ypr</t>
    <phoneticPr fontId="1" type="noConversion"/>
  </si>
  <si>
    <t>참고 프로그램 seq</t>
    <phoneticPr fontId="1" type="noConversion"/>
  </si>
  <si>
    <t>PgmID</t>
    <phoneticPr fontId="1" type="noConversion"/>
  </si>
  <si>
    <t>질문</t>
    <phoneticPr fontId="1" type="noConversion"/>
  </si>
  <si>
    <t>525722
522075</t>
    <phoneticPr fontId="1" type="noConversion"/>
  </si>
  <si>
    <t>FrmWSIEBillPurchaseSlip
FrmWSIIEBillFwdAPI</t>
    <phoneticPr fontId="1" type="noConversion"/>
  </si>
  <si>
    <t>디자인 참고 프로그램 /로직은 프로젝트 테이블 기준</t>
    <phoneticPr fontId="1" type="noConversion"/>
  </si>
  <si>
    <t xml:space="preserve">참고 화면 기준이면되는지 </t>
    <phoneticPr fontId="1" type="noConversion"/>
  </si>
  <si>
    <t xml:space="preserve">슈퍼유저 - 그룹웨어 진행 된 건 권한 
1.그룹웨어 전표 삭제 가능 
2.수정도 가능 
3.예산통제하지 않음 
4.발생원천인 아닌 경우에도 수정 삭제 가능 </t>
    <phoneticPr fontId="1" type="noConversion"/>
  </si>
  <si>
    <t>1.무슨 의미인지 알수 없음 계산식???
2.그래프 표현 방식 고객사 문의</t>
    <phoneticPr fontId="1" type="noConversion"/>
  </si>
  <si>
    <t xml:space="preserve">입력 통제 환경설정 통제로 바꿔줘야 함 
사용자정의코드 제공 하여 사원별 권한/분류 설정값 추가
사이트 대체 비즈니스 서비스&amp; sp 수정 필요 공수가 많아 지는데….. </t>
    <phoneticPr fontId="1" type="noConversion"/>
  </si>
  <si>
    <t xml:space="preserve">1.한 코스트 센터당 전표 처리시 여러 부서로 묶는다는 건지?
2.현재 확인 한 결과 1 코스트센터 1 부서 로 되여 있음 
3.고객 데이터 같이 확인 필요 
4,여러가지 데이터 확인 및 검증이 시간이 걸릴수 있어 공수 5가 좀 작은 거 같음 </t>
    <phoneticPr fontId="1" type="noConversion"/>
  </si>
  <si>
    <t xml:space="preserve">거래처 - 부서 /셋팅 안하는 </t>
    <phoneticPr fontId="1" type="noConversion"/>
  </si>
  <si>
    <t>[전자세금계산서(매입)]
 1. 부서별 매입거래처 조회 권한 설정 개발
 2. 매입전자세금계산서 조회시 부서별 권한 부여된 거래처만 조회되도록 개발
 3. 매입전자세금계산서 조회 후 매입전표처리
 4. 매출전자세금계산서 전송처리</t>
    <phoneticPr fontId="1" type="noConversion"/>
  </si>
  <si>
    <t xml:space="preserve">보내는 쪽 비율 /받는 쪽 비율 </t>
    <phoneticPr fontId="1" type="noConversion"/>
  </si>
  <si>
    <t xml:space="preserve">승인 그룹권한 </t>
    <phoneticPr fontId="1" type="noConversion"/>
  </si>
  <si>
    <t>사용자정의코드(PMS설계miss)</t>
    <phoneticPr fontId="1" type="noConversion"/>
  </si>
  <si>
    <t xml:space="preserve">설계 miss </t>
    <phoneticPr fontId="1" type="noConversion"/>
  </si>
  <si>
    <t>추가 진성 여부</t>
    <phoneticPr fontId="1" type="noConversion"/>
  </si>
  <si>
    <t xml:space="preserve">방문 확정 </t>
  </si>
  <si>
    <t xml:space="preserve">방문 확정 </t>
    <phoneticPr fontId="1" type="noConversion"/>
  </si>
  <si>
    <t>로직 참고</t>
    <phoneticPr fontId="1" type="noConversion"/>
  </si>
  <si>
    <t xml:space="preserve">참고 화면 </t>
    <phoneticPr fontId="1" type="noConversion"/>
  </si>
  <si>
    <t>원가 프로그램 참고:
521458
521459</t>
    <phoneticPr fontId="1" type="noConversion"/>
  </si>
  <si>
    <t xml:space="preserve">매입 만 권한 조회 ? 매출은 패키지 사용 </t>
    <phoneticPr fontId="1" type="noConversion"/>
  </si>
  <si>
    <t>key</t>
    <phoneticPr fontId="1" type="noConversion"/>
  </si>
  <si>
    <t>columnname</t>
    <phoneticPr fontId="1" type="noConversion"/>
  </si>
  <si>
    <t>remark</t>
    <phoneticPr fontId="1" type="noConversion"/>
  </si>
  <si>
    <t>dsp</t>
    <phoneticPr fontId="1" type="noConversion"/>
  </si>
  <si>
    <t>order</t>
    <phoneticPr fontId="1" type="noConversion"/>
  </si>
  <si>
    <t>datatype</t>
    <phoneticPr fontId="1" type="noConversion"/>
  </si>
  <si>
    <t>length</t>
    <phoneticPr fontId="1" type="noConversion"/>
  </si>
  <si>
    <t>decimal length</t>
    <phoneticPr fontId="1" type="noConversion"/>
  </si>
  <si>
    <t xml:space="preserve">null option </t>
    <phoneticPr fontId="1" type="noConversion"/>
  </si>
  <si>
    <t>woowon_TPUVenderAuthoritySet</t>
    <phoneticPr fontId="1" type="noConversion"/>
  </si>
  <si>
    <t>woowon_TPUDeptAuthoritySet</t>
    <phoneticPr fontId="1" type="noConversion"/>
  </si>
  <si>
    <t>CompanySeq</t>
    <phoneticPr fontId="1" type="noConversion"/>
  </si>
  <si>
    <t>법인코드</t>
    <phoneticPr fontId="1" type="noConversion"/>
  </si>
  <si>
    <t>int</t>
    <phoneticPr fontId="1" type="noConversion"/>
  </si>
  <si>
    <t>Seq</t>
    <phoneticPr fontId="1" type="noConversion"/>
  </si>
  <si>
    <t>내부코드</t>
    <phoneticPr fontId="1" type="noConversion"/>
  </si>
  <si>
    <t>CustSeq</t>
    <phoneticPr fontId="1" type="noConversion"/>
  </si>
  <si>
    <t>EmpSeq</t>
    <phoneticPr fontId="1" type="noConversion"/>
  </si>
  <si>
    <t>구매거래처코드</t>
    <phoneticPr fontId="1" type="noConversion"/>
  </si>
  <si>
    <t>Mapingname</t>
    <phoneticPr fontId="1" type="noConversion"/>
  </si>
  <si>
    <t>codehelp</t>
    <phoneticPr fontId="1" type="noConversion"/>
  </si>
  <si>
    <t>구매거래처_WBS</t>
    <phoneticPr fontId="1" type="noConversion"/>
  </si>
  <si>
    <t>CustName/구매거래처</t>
    <phoneticPr fontId="1" type="noConversion"/>
  </si>
  <si>
    <t>구매담당자코드</t>
    <phoneticPr fontId="1" type="noConversion"/>
  </si>
  <si>
    <t>EmpName/구매담당자</t>
    <phoneticPr fontId="1" type="noConversion"/>
  </si>
  <si>
    <t>사원_WBS</t>
    <phoneticPr fontId="1" type="noConversion"/>
  </si>
  <si>
    <t>Remark</t>
    <phoneticPr fontId="1" type="noConversion"/>
  </si>
  <si>
    <t>LastUserSeq</t>
    <phoneticPr fontId="1" type="noConversion"/>
  </si>
  <si>
    <t>최종사용자코드</t>
    <phoneticPr fontId="1" type="noConversion"/>
  </si>
  <si>
    <t>LastDateTime</t>
    <phoneticPr fontId="1" type="noConversion"/>
  </si>
  <si>
    <t>최종사용자시간</t>
    <phoneticPr fontId="1" type="noConversion"/>
  </si>
  <si>
    <t>datetime</t>
    <phoneticPr fontId="1" type="noConversion"/>
  </si>
  <si>
    <t>DeptSeq</t>
    <phoneticPr fontId="1" type="noConversion"/>
  </si>
  <si>
    <t>IsAuth</t>
    <phoneticPr fontId="1" type="noConversion"/>
  </si>
  <si>
    <t>전체조회권한</t>
    <phoneticPr fontId="1" type="noConversion"/>
  </si>
  <si>
    <t>nchar</t>
    <phoneticPr fontId="1" type="noConversion"/>
  </si>
  <si>
    <t>nvarchar</t>
    <phoneticPr fontId="1" type="noConversion"/>
  </si>
  <si>
    <t>부서코드</t>
    <phoneticPr fontId="1" type="noConversion"/>
  </si>
  <si>
    <t>사용자코드</t>
    <phoneticPr fontId="1" type="noConversion"/>
  </si>
  <si>
    <t>부서명/DeptName</t>
    <phoneticPr fontId="1" type="noConversion"/>
  </si>
  <si>
    <t>EmpName/사용자</t>
    <phoneticPr fontId="1" type="noConversion"/>
  </si>
  <si>
    <t>부서_WBS</t>
    <phoneticPr fontId="1" type="noConversion"/>
  </si>
  <si>
    <t>refererence concept table is diffrenct : 527267</t>
    <phoneticPr fontId="1" type="noConversion"/>
  </si>
  <si>
    <t>매입거래처별담당자설정</t>
    <phoneticPr fontId="1" type="noConversion"/>
  </si>
  <si>
    <t>매입거래처별부서설정</t>
    <phoneticPr fontId="1" type="noConversion"/>
  </si>
  <si>
    <t>Wbs.Ylw.Account.BSSCOMCloseCheck-&gt;check -&gt;save - replace service sitesp -&gt;_SWCOMCloseCheck
WBS.Ylw.Account.BSSACSlipAccept-&gt;Approval_SlipProc-&gt;replace service sitesp -&gt;_SWACSlipApprovalCheck</t>
    <phoneticPr fontId="1" type="noConversion"/>
  </si>
  <si>
    <t>cs1</t>
    <phoneticPr fontId="1" type="noConversion"/>
  </si>
  <si>
    <t>cs2</t>
    <phoneticPr fontId="1" type="noConversion"/>
  </si>
  <si>
    <t>cs3</t>
    <phoneticPr fontId="1" type="noConversion"/>
  </si>
  <si>
    <t>pjt1</t>
    <phoneticPr fontId="1" type="noConversion"/>
  </si>
  <si>
    <t>replace logic for calc drivesum value :
WBS.Ylw.ESM.BSSESMPCSttlMst-&gt;_SWESMPCProdCCtrAllocProc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</si>
</sst>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/>
    <xf numFmtId="0" fontId="2" fillId="0" borderId="0" xfId="0" applyFont="1"/>
    <xf numFmtId="0" fontId="0" fillId="0" borderId="0" xfId="0" applyAlignment="1">
      <alignment wrapText="1"/>
    </xf>
    <xf numFmtId="0" fontId="0" fillId="3" borderId="1" xfId="0" applyFill="1" applyBorder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3" sqref="B3"/>
    </sheetView>
  </sheetViews>
  <sheetFormatPr defaultRowHeight="17.399999999999999" x14ac:dyDescent="0.4"/>
  <cols>
    <col min="2" max="2" width="73.296875" customWidth="1"/>
    <col min="3" max="3" width="58.19921875" customWidth="1"/>
    <col min="4" max="4" width="37.5" customWidth="1"/>
    <col min="5" max="5" width="22.19921875" customWidth="1"/>
    <col min="6" max="6" width="19.69921875" customWidth="1"/>
    <col min="7" max="7" width="54" customWidth="1"/>
    <col min="8" max="8" width="20.59765625" customWidth="1"/>
    <col min="9" max="9" width="83.796875" customWidth="1"/>
    <col min="14" max="14" width="20.796875" customWidth="1"/>
  </cols>
  <sheetData>
    <row r="1" spans="1:14" x14ac:dyDescent="0.4">
      <c r="A1" s="2" t="s">
        <v>1</v>
      </c>
      <c r="B1" s="2" t="s">
        <v>0</v>
      </c>
      <c r="C1" s="2" t="s">
        <v>14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13</v>
      </c>
    </row>
    <row r="2" spans="1:14" ht="34.799999999999997" x14ac:dyDescent="0.4">
      <c r="A2" s="1">
        <v>1</v>
      </c>
      <c r="B2" s="3" t="s">
        <v>2</v>
      </c>
      <c r="C2" s="3" t="s">
        <v>18</v>
      </c>
      <c r="D2" s="1"/>
      <c r="E2" s="1"/>
      <c r="F2" s="1"/>
      <c r="G2" s="1"/>
      <c r="H2" s="1">
        <v>55320208</v>
      </c>
      <c r="I2" s="1" t="s">
        <v>11</v>
      </c>
    </row>
    <row r="3" spans="1:14" ht="87" x14ac:dyDescent="0.4">
      <c r="A3" s="1">
        <v>2</v>
      </c>
      <c r="B3" s="3" t="s">
        <v>24</v>
      </c>
      <c r="C3" s="3" t="s">
        <v>35</v>
      </c>
      <c r="D3" s="1" t="s">
        <v>23</v>
      </c>
      <c r="E3" s="1"/>
      <c r="F3" s="1"/>
      <c r="G3" s="1" cm="1">
        <f t="array" aca="1" ref="G3" ca="1">A3:G3</f>
        <v>0</v>
      </c>
      <c r="H3" s="3" t="s">
        <v>15</v>
      </c>
      <c r="I3" s="3" t="s">
        <v>16</v>
      </c>
    </row>
    <row r="4" spans="1:14" ht="160.19999999999999" customHeight="1" x14ac:dyDescent="0.4">
      <c r="A4" s="1">
        <v>3</v>
      </c>
      <c r="B4" s="3" t="s">
        <v>3</v>
      </c>
      <c r="C4" s="3" t="s">
        <v>22</v>
      </c>
      <c r="D4" s="1" t="s">
        <v>25</v>
      </c>
      <c r="E4" s="1" t="s">
        <v>31</v>
      </c>
      <c r="F4" s="1"/>
      <c r="G4" s="1"/>
      <c r="H4" s="1"/>
      <c r="I4" s="3" t="s">
        <v>86</v>
      </c>
    </row>
    <row r="5" spans="1:14" ht="52.2" x14ac:dyDescent="0.4">
      <c r="A5" s="1">
        <v>4</v>
      </c>
      <c r="B5" s="3" t="s">
        <v>4</v>
      </c>
      <c r="C5" s="3" t="s">
        <v>17</v>
      </c>
      <c r="D5" s="1"/>
      <c r="E5" s="1" t="s">
        <v>30</v>
      </c>
      <c r="F5" s="1"/>
      <c r="G5" s="1"/>
      <c r="H5" s="1">
        <v>527267</v>
      </c>
      <c r="I5" s="1" t="s">
        <v>78</v>
      </c>
      <c r="J5" s="8">
        <v>500476</v>
      </c>
      <c r="K5" t="s">
        <v>32</v>
      </c>
      <c r="L5" s="8">
        <v>501724</v>
      </c>
      <c r="M5" t="s">
        <v>33</v>
      </c>
      <c r="N5" s="9" t="s">
        <v>34</v>
      </c>
    </row>
    <row r="6" spans="1:14" s="6" customFormat="1" ht="87" x14ac:dyDescent="0.4">
      <c r="A6" s="4">
        <v>5</v>
      </c>
      <c r="B6" s="5" t="s">
        <v>5</v>
      </c>
      <c r="C6" s="5" t="s">
        <v>21</v>
      </c>
      <c r="D6" s="4" t="s">
        <v>26</v>
      </c>
      <c r="E6" s="4"/>
      <c r="F6" s="4"/>
      <c r="G6" s="5" t="s">
        <v>19</v>
      </c>
      <c r="H6" s="4">
        <v>502082</v>
      </c>
      <c r="I6" s="5" t="s">
        <v>81</v>
      </c>
    </row>
    <row r="7" spans="1:14" ht="52.2" x14ac:dyDescent="0.4">
      <c r="A7" s="1">
        <v>6</v>
      </c>
      <c r="B7" s="3" t="s">
        <v>6</v>
      </c>
      <c r="C7" s="3" t="s">
        <v>20</v>
      </c>
      <c r="D7" s="1" t="s">
        <v>27</v>
      </c>
      <c r="E7" s="1" t="s">
        <v>31</v>
      </c>
      <c r="F7" s="1"/>
      <c r="G7" s="1"/>
      <c r="H7" s="1"/>
      <c r="I7" s="1"/>
    </row>
    <row r="8" spans="1:14" x14ac:dyDescent="0.4">
      <c r="D8" s="7" t="s">
        <v>28</v>
      </c>
    </row>
    <row r="9" spans="1:14" x14ac:dyDescent="0.4">
      <c r="D9" s="7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DF06-B815-4DC8-8122-2D7BCB644404}">
  <dimension ref="A1:G6"/>
  <sheetViews>
    <sheetView workbookViewId="0">
      <selection activeCell="E8" sqref="E8"/>
    </sheetView>
  </sheetViews>
  <sheetFormatPr defaultRowHeight="17.399999999999999" x14ac:dyDescent="0.4"/>
  <cols>
    <col min="6" max="6" width="9.8984375" bestFit="1" customWidth="1"/>
  </cols>
  <sheetData>
    <row r="1" spans="1:7" x14ac:dyDescent="0.4">
      <c r="C1" t="s">
        <v>82</v>
      </c>
      <c r="D1" t="s">
        <v>83</v>
      </c>
      <c r="E1" t="s">
        <v>84</v>
      </c>
    </row>
    <row r="2" spans="1:7" x14ac:dyDescent="0.4">
      <c r="A2" t="s">
        <v>85</v>
      </c>
      <c r="B2">
        <v>3</v>
      </c>
      <c r="C2">
        <v>1</v>
      </c>
      <c r="D2">
        <v>2</v>
      </c>
      <c r="E2">
        <v>5</v>
      </c>
      <c r="F2">
        <v>8</v>
      </c>
    </row>
    <row r="3" spans="1:7" x14ac:dyDescent="0.4">
      <c r="A3" t="s">
        <v>85</v>
      </c>
      <c r="B3">
        <v>5</v>
      </c>
      <c r="C3">
        <v>2</v>
      </c>
      <c r="D3">
        <v>3</v>
      </c>
      <c r="E3">
        <v>4</v>
      </c>
      <c r="F3">
        <v>9</v>
      </c>
    </row>
    <row r="4" spans="1:7" x14ac:dyDescent="0.4">
      <c r="B4">
        <v>8</v>
      </c>
      <c r="F4">
        <v>17</v>
      </c>
    </row>
    <row r="5" spans="1:7" x14ac:dyDescent="0.4">
      <c r="A5">
        <v>100</v>
      </c>
      <c r="B5">
        <f>B2/B4</f>
        <v>0.375</v>
      </c>
      <c r="F5" t="b">
        <f>M6=8/17</f>
        <v>0</v>
      </c>
    </row>
    <row r="6" spans="1:7" x14ac:dyDescent="0.4">
      <c r="B6">
        <f>B3/B4</f>
        <v>0.625</v>
      </c>
      <c r="F6" s="11">
        <v>0.52941199999999999</v>
      </c>
      <c r="G6">
        <f>9/17</f>
        <v>0.52941176470588236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F8E4B-9D2C-4361-B04C-EB14FC20DD63}">
  <dimension ref="B2:L25"/>
  <sheetViews>
    <sheetView workbookViewId="0">
      <selection activeCell="C7" sqref="C7"/>
    </sheetView>
  </sheetViews>
  <sheetFormatPr defaultRowHeight="17.399999999999999" x14ac:dyDescent="0.4"/>
  <cols>
    <col min="3" max="3" width="53.8984375" customWidth="1"/>
    <col min="4" max="4" width="21.59765625" customWidth="1"/>
    <col min="10" max="10" width="17.296875" customWidth="1"/>
    <col min="11" max="11" width="24.09765625" customWidth="1"/>
    <col min="12" max="12" width="25.296875" customWidth="1"/>
  </cols>
  <sheetData>
    <row r="2" spans="2:12" x14ac:dyDescent="0.4">
      <c r="C2" t="s">
        <v>45</v>
      </c>
      <c r="D2" t="s">
        <v>79</v>
      </c>
    </row>
    <row r="3" spans="2:12" x14ac:dyDescent="0.4">
      <c r="B3" s="10" t="s">
        <v>36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10" t="s">
        <v>55</v>
      </c>
      <c r="L3" s="10" t="s">
        <v>56</v>
      </c>
    </row>
    <row r="4" spans="2:12" x14ac:dyDescent="0.4">
      <c r="B4" s="1">
        <v>1</v>
      </c>
      <c r="C4" s="1" t="s">
        <v>47</v>
      </c>
      <c r="D4" s="1" t="s">
        <v>48</v>
      </c>
      <c r="E4" s="1"/>
      <c r="F4" s="1">
        <v>1</v>
      </c>
      <c r="G4" s="1" t="s">
        <v>49</v>
      </c>
      <c r="H4" s="1"/>
      <c r="I4" s="1"/>
      <c r="J4" s="1"/>
      <c r="K4" s="1"/>
      <c r="L4" s="1"/>
    </row>
    <row r="5" spans="2:12" x14ac:dyDescent="0.4">
      <c r="B5" s="1">
        <v>1</v>
      </c>
      <c r="C5" s="1" t="s">
        <v>50</v>
      </c>
      <c r="D5" s="1" t="s">
        <v>51</v>
      </c>
      <c r="E5" s="1"/>
      <c r="F5" s="1">
        <v>2</v>
      </c>
      <c r="G5" s="1" t="s">
        <v>49</v>
      </c>
      <c r="H5" s="1"/>
      <c r="I5" s="1"/>
      <c r="J5" s="1"/>
      <c r="K5" s="1"/>
      <c r="L5" s="1"/>
    </row>
    <row r="6" spans="2:12" x14ac:dyDescent="0.4">
      <c r="B6" s="1"/>
      <c r="C6" s="1" t="s">
        <v>52</v>
      </c>
      <c r="D6" s="1" t="s">
        <v>54</v>
      </c>
      <c r="E6" s="1"/>
      <c r="F6" s="1">
        <v>3</v>
      </c>
      <c r="G6" s="1" t="s">
        <v>49</v>
      </c>
      <c r="H6" s="1"/>
      <c r="I6" s="1"/>
      <c r="J6" s="1"/>
      <c r="K6" s="1" t="s">
        <v>58</v>
      </c>
      <c r="L6" s="1" t="s">
        <v>57</v>
      </c>
    </row>
    <row r="7" spans="2:12" x14ac:dyDescent="0.4">
      <c r="B7" s="1"/>
      <c r="C7" s="1" t="s">
        <v>53</v>
      </c>
      <c r="D7" s="1" t="s">
        <v>59</v>
      </c>
      <c r="E7" s="1"/>
      <c r="F7" s="1">
        <v>4</v>
      </c>
      <c r="G7" s="1" t="s">
        <v>49</v>
      </c>
      <c r="H7" s="1"/>
      <c r="I7" s="1"/>
      <c r="J7" s="1"/>
      <c r="K7" s="1" t="s">
        <v>60</v>
      </c>
      <c r="L7" s="1" t="s">
        <v>61</v>
      </c>
    </row>
    <row r="8" spans="2:12" x14ac:dyDescent="0.4">
      <c r="B8" s="1"/>
      <c r="C8" s="1" t="s">
        <v>62</v>
      </c>
      <c r="D8" s="1" t="s">
        <v>10</v>
      </c>
      <c r="E8" s="1"/>
      <c r="F8" s="1">
        <v>5</v>
      </c>
      <c r="G8" s="1" t="s">
        <v>72</v>
      </c>
      <c r="H8" s="1">
        <v>500</v>
      </c>
      <c r="I8" s="1"/>
      <c r="J8" s="1"/>
      <c r="K8" s="1"/>
      <c r="L8" s="1"/>
    </row>
    <row r="9" spans="2:12" x14ac:dyDescent="0.4">
      <c r="B9" s="1"/>
      <c r="C9" s="1" t="s">
        <v>63</v>
      </c>
      <c r="D9" s="1" t="s">
        <v>64</v>
      </c>
      <c r="E9" s="1"/>
      <c r="F9" s="1">
        <v>6</v>
      </c>
      <c r="G9" s="1" t="s">
        <v>49</v>
      </c>
      <c r="H9" s="1"/>
      <c r="I9" s="1"/>
      <c r="J9" s="1"/>
      <c r="K9" s="1"/>
      <c r="L9" s="1"/>
    </row>
    <row r="10" spans="2:12" x14ac:dyDescent="0.4">
      <c r="B10" s="1"/>
      <c r="C10" s="1" t="s">
        <v>65</v>
      </c>
      <c r="D10" s="1" t="s">
        <v>66</v>
      </c>
      <c r="E10" s="1"/>
      <c r="F10" s="1">
        <v>7</v>
      </c>
      <c r="G10" s="1" t="s">
        <v>67</v>
      </c>
      <c r="H10" s="1"/>
      <c r="I10" s="1"/>
      <c r="J10" s="1"/>
      <c r="K10" s="1"/>
      <c r="L10" s="1"/>
    </row>
    <row r="16" spans="2:12" x14ac:dyDescent="0.4">
      <c r="C16" t="s">
        <v>46</v>
      </c>
      <c r="D16" t="s">
        <v>80</v>
      </c>
    </row>
    <row r="17" spans="2:12" x14ac:dyDescent="0.4">
      <c r="B17" s="10" t="s">
        <v>36</v>
      </c>
      <c r="C17" s="10" t="s">
        <v>37</v>
      </c>
      <c r="D17" s="10" t="s">
        <v>38</v>
      </c>
      <c r="E17" s="10" t="s">
        <v>39</v>
      </c>
      <c r="F17" s="10" t="s">
        <v>40</v>
      </c>
      <c r="G17" s="10" t="s">
        <v>41</v>
      </c>
      <c r="H17" s="10" t="s">
        <v>42</v>
      </c>
      <c r="I17" s="10" t="s">
        <v>43</v>
      </c>
      <c r="J17" s="10" t="s">
        <v>44</v>
      </c>
      <c r="K17" s="10" t="s">
        <v>55</v>
      </c>
      <c r="L17" s="10" t="s">
        <v>56</v>
      </c>
    </row>
    <row r="18" spans="2:12" x14ac:dyDescent="0.4">
      <c r="B18" s="1">
        <v>1</v>
      </c>
      <c r="C18" s="1" t="s">
        <v>47</v>
      </c>
      <c r="D18" s="1" t="s">
        <v>48</v>
      </c>
      <c r="E18" s="1"/>
      <c r="F18" s="1">
        <v>1</v>
      </c>
      <c r="G18" s="1" t="s">
        <v>49</v>
      </c>
      <c r="H18" s="1"/>
      <c r="I18" s="1"/>
      <c r="J18" s="1"/>
      <c r="K18" s="1"/>
      <c r="L18" s="1"/>
    </row>
    <row r="19" spans="2:12" x14ac:dyDescent="0.4">
      <c r="B19" s="1">
        <v>1</v>
      </c>
      <c r="C19" s="1" t="s">
        <v>50</v>
      </c>
      <c r="D19" s="1" t="s">
        <v>51</v>
      </c>
      <c r="E19" s="1"/>
      <c r="F19" s="1">
        <v>2</v>
      </c>
      <c r="G19" s="1" t="s">
        <v>49</v>
      </c>
      <c r="H19" s="1"/>
      <c r="I19" s="1"/>
      <c r="J19" s="1"/>
      <c r="K19" s="1"/>
      <c r="L19" s="1"/>
    </row>
    <row r="20" spans="2:12" x14ac:dyDescent="0.4">
      <c r="B20" s="1"/>
      <c r="C20" s="1" t="s">
        <v>68</v>
      </c>
      <c r="D20" s="1" t="s">
        <v>73</v>
      </c>
      <c r="E20" s="1"/>
      <c r="F20" s="1">
        <v>3</v>
      </c>
      <c r="G20" s="1" t="s">
        <v>49</v>
      </c>
      <c r="H20" s="1"/>
      <c r="I20" s="1"/>
      <c r="J20" s="1"/>
      <c r="K20" s="1" t="s">
        <v>75</v>
      </c>
      <c r="L20" s="1" t="s">
        <v>77</v>
      </c>
    </row>
    <row r="21" spans="2:12" x14ac:dyDescent="0.4">
      <c r="B21" s="1"/>
      <c r="C21" s="1" t="s">
        <v>53</v>
      </c>
      <c r="D21" s="1" t="s">
        <v>74</v>
      </c>
      <c r="E21" s="1"/>
      <c r="F21" s="1">
        <v>4</v>
      </c>
      <c r="G21" s="1" t="s">
        <v>49</v>
      </c>
      <c r="H21" s="1"/>
      <c r="I21" s="1"/>
      <c r="J21" s="1"/>
      <c r="K21" s="1" t="s">
        <v>76</v>
      </c>
      <c r="L21" s="1" t="s">
        <v>61</v>
      </c>
    </row>
    <row r="22" spans="2:12" x14ac:dyDescent="0.4">
      <c r="B22" s="1"/>
      <c r="C22" s="1" t="s">
        <v>69</v>
      </c>
      <c r="D22" s="1" t="s">
        <v>70</v>
      </c>
      <c r="E22" s="1"/>
      <c r="F22" s="1">
        <v>5</v>
      </c>
      <c r="G22" s="1" t="s">
        <v>71</v>
      </c>
      <c r="H22" s="1">
        <v>1</v>
      </c>
      <c r="I22" s="1"/>
      <c r="J22" s="1"/>
      <c r="K22" s="1"/>
      <c r="L22" s="1"/>
    </row>
    <row r="23" spans="2:12" x14ac:dyDescent="0.4">
      <c r="B23" s="1"/>
      <c r="C23" s="1" t="s">
        <v>62</v>
      </c>
      <c r="D23" s="1" t="s">
        <v>10</v>
      </c>
      <c r="E23" s="1"/>
      <c r="F23" s="1">
        <v>6</v>
      </c>
      <c r="G23" s="1" t="s">
        <v>72</v>
      </c>
      <c r="H23" s="1">
        <v>500</v>
      </c>
      <c r="I23" s="1"/>
      <c r="J23" s="1"/>
      <c r="K23" s="1"/>
      <c r="L23" s="1"/>
    </row>
    <row r="24" spans="2:12" x14ac:dyDescent="0.4">
      <c r="B24" s="1"/>
      <c r="C24" s="1" t="s">
        <v>63</v>
      </c>
      <c r="D24" s="1" t="s">
        <v>64</v>
      </c>
      <c r="E24" s="1"/>
      <c r="F24" s="1">
        <v>7</v>
      </c>
      <c r="G24" s="1" t="s">
        <v>49</v>
      </c>
      <c r="H24" s="1"/>
      <c r="I24" s="1"/>
      <c r="J24" s="1"/>
      <c r="K24" s="1"/>
      <c r="L24" s="1"/>
    </row>
    <row r="25" spans="2:12" x14ac:dyDescent="0.4">
      <c r="B25" s="1"/>
      <c r="C25" s="1" t="s">
        <v>65</v>
      </c>
      <c r="D25" s="1" t="s">
        <v>66</v>
      </c>
      <c r="E25" s="1"/>
      <c r="F25" s="1">
        <v>8</v>
      </c>
      <c r="G25" s="1" t="s">
        <v>67</v>
      </c>
      <c r="H25" s="1"/>
      <c r="I25" s="1"/>
      <c r="J25" s="1"/>
      <c r="K25" s="1"/>
      <c r="L25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매입권한테이블 전자세금계산서(매입)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명남</dc:creator>
  <cp:lastModifiedBy>김 명남</cp:lastModifiedBy>
  <dcterms:created xsi:type="dcterms:W3CDTF">2015-06-05T18:19:34Z</dcterms:created>
  <dcterms:modified xsi:type="dcterms:W3CDTF">2024-11-12T01:03:42Z</dcterms:modified>
</cp:coreProperties>
</file>