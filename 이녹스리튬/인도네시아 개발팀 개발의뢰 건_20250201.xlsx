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이녹스리튬/"/>
    </mc:Choice>
  </mc:AlternateContent>
  <xr:revisionPtr revIDLastSave="5" documentId="13_ncr:1_{731B4413-6429-4E49-8C86-0F41D254C2E7}" xr6:coauthVersionLast="47" xr6:coauthVersionMax="47" xr10:uidLastSave="{D16E8590-91F8-4B51-8715-256D44EDD516}"/>
  <bookViews>
    <workbookView xWindow="-108" yWindow="-108" windowWidth="23256" windowHeight="12456" xr2:uid="{3883323D-FD94-44E7-99ED-4C0DF57A4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</calcChain>
</file>

<file path=xl/sharedStrings.xml><?xml version="1.0" encoding="utf-8"?>
<sst xmlns="http://schemas.openxmlformats.org/spreadsheetml/2006/main" count="403" uniqueCount="142">
  <si>
    <t>NO</t>
    <phoneticPr fontId="3" type="noConversion"/>
  </si>
  <si>
    <t>요구사항
ID</t>
    <phoneticPr fontId="3" type="noConversion"/>
  </si>
  <si>
    <t>요청
부서</t>
    <phoneticPr fontId="3" type="noConversion"/>
  </si>
  <si>
    <t>개발
구분</t>
    <phoneticPr fontId="3" type="noConversion"/>
  </si>
  <si>
    <t>모듈</t>
    <phoneticPr fontId="3" type="noConversion"/>
  </si>
  <si>
    <t>개발
Platform</t>
    <phoneticPr fontId="3" type="noConversion"/>
  </si>
  <si>
    <t>화면
구분</t>
    <phoneticPr fontId="3" type="noConversion"/>
  </si>
  <si>
    <t>프로그램명</t>
    <phoneticPr fontId="3" type="noConversion"/>
  </si>
  <si>
    <t>개발공수(일)</t>
    <phoneticPr fontId="3" type="noConversion"/>
  </si>
  <si>
    <t>R078</t>
  </si>
  <si>
    <t>기획팀(영업)</t>
  </si>
  <si>
    <t>컨버전개발</t>
  </si>
  <si>
    <t>국내영업</t>
  </si>
  <si>
    <t>ERP</t>
    <phoneticPr fontId="3" type="noConversion"/>
  </si>
  <si>
    <t>조회(일반)</t>
  </si>
  <si>
    <t>판매실적추이분석_iamc</t>
  </si>
  <si>
    <t>R040</t>
  </si>
  <si>
    <t>일자별판매실적분석_iamc</t>
  </si>
  <si>
    <t>R075</t>
  </si>
  <si>
    <t>세금계산서입금조회_iamc</t>
  </si>
  <si>
    <t>출력</t>
  </si>
  <si>
    <t>세금계산서_iamc</t>
  </si>
  <si>
    <t>세금계산서(영세)_iamc</t>
  </si>
  <si>
    <t>세금계산서(면세)_iamc</t>
  </si>
  <si>
    <t>-</t>
  </si>
  <si>
    <t>경영정보팀</t>
  </si>
  <si>
    <t>기본정보</t>
  </si>
  <si>
    <t>입력</t>
  </si>
  <si>
    <t>창고수불속성설정_iamc</t>
  </si>
  <si>
    <t>-</t>
    <phoneticPr fontId="3" type="noConversion"/>
  </si>
  <si>
    <t>창고등록_iamc</t>
  </si>
  <si>
    <t>경영정보팀</t>
    <phoneticPr fontId="3" type="noConversion"/>
  </si>
  <si>
    <t>모듈별사업단위코드도움</t>
    <phoneticPr fontId="3" type="noConversion"/>
  </si>
  <si>
    <t>R080</t>
    <phoneticPr fontId="3" type="noConversion"/>
  </si>
  <si>
    <t>양산구매팀</t>
  </si>
  <si>
    <t>내수구매</t>
  </si>
  <si>
    <t>품목별구매담당자등록_iamc</t>
  </si>
  <si>
    <t>품목기준구매단가등록_iamc</t>
  </si>
  <si>
    <t>월별구매실적조회_iamc</t>
  </si>
  <si>
    <t>처리</t>
  </si>
  <si>
    <t>사이트용 호출 SP3</t>
  </si>
  <si>
    <t>구매품의품목조회_iamc</t>
  </si>
  <si>
    <t>구매입고정산처리_iamc</t>
  </si>
  <si>
    <t>구매입고정산처리(MRO투자수선)_iamc</t>
  </si>
  <si>
    <t>구매입고정산조회_iamc</t>
  </si>
  <si>
    <t>구매요청품목진행조회_iamc</t>
  </si>
  <si>
    <t>구매요청품목조회_iamc</t>
  </si>
  <si>
    <t>구매요청조회_iamc</t>
  </si>
  <si>
    <t>구매요청입력_iamc</t>
  </si>
  <si>
    <t>구매발주품목조회_iamc</t>
  </si>
  <si>
    <t>구매발주입력_iamc</t>
  </si>
  <si>
    <t>구매발주미납품조회-납품예정일기준_iamc</t>
  </si>
  <si>
    <t>구매단가등록_iamc</t>
  </si>
  <si>
    <t>구매납품품목조회_iamc</t>
  </si>
  <si>
    <t>거래처기준구매단가등록_iamc</t>
  </si>
  <si>
    <t>R051</t>
  </si>
  <si>
    <t>생산팀</t>
  </si>
  <si>
    <t>물류</t>
  </si>
  <si>
    <t>재고단가조회(제품)_iamc</t>
  </si>
  <si>
    <t>재고단가조회(자재)_iamc</t>
  </si>
  <si>
    <t>재고금액조회(제품)_iamc</t>
  </si>
  <si>
    <t>재고금액조회(자재)_iamc</t>
  </si>
  <si>
    <t>R032</t>
  </si>
  <si>
    <t>생산</t>
  </si>
  <si>
    <t>투입량대비소요량조회_iamc</t>
  </si>
  <si>
    <t>R031</t>
  </si>
  <si>
    <t>제품별전체소요량비교조회_iamc</t>
  </si>
  <si>
    <t>R030</t>
  </si>
  <si>
    <t>생산의뢰조회_iamc</t>
  </si>
  <si>
    <t>기준정보승인진행조회_iamc</t>
  </si>
  <si>
    <t>수입구매</t>
  </si>
  <si>
    <t>외자발주입력(수입Order입력)_iamc</t>
  </si>
  <si>
    <t>수입비용일괄처리조회_iamc</t>
  </si>
  <si>
    <t>수입비용일괄처리_iamc</t>
  </si>
  <si>
    <t>수입Payment조회(수입정보)_iamc</t>
  </si>
  <si>
    <t>수입BL조회_iamc</t>
  </si>
  <si>
    <t>조회(기능)</t>
  </si>
  <si>
    <t>Usance상환일정관리_iamc</t>
  </si>
  <si>
    <t>수출영업</t>
  </si>
  <si>
    <t>수출반품요청조회_iamc</t>
    <phoneticPr fontId="3" type="noConversion"/>
  </si>
  <si>
    <t>수출반품요청입력_iamc</t>
    <phoneticPr fontId="3" type="noConversion"/>
  </si>
  <si>
    <t>R095</t>
    <phoneticPr fontId="3" type="noConversion"/>
  </si>
  <si>
    <t>기획팀(원가)</t>
  </si>
  <si>
    <t>원가</t>
  </si>
  <si>
    <t>제품별제조원가조회_iamc</t>
    <phoneticPr fontId="3" type="noConversion"/>
  </si>
  <si>
    <t>제품별매출원가명세서_iamc</t>
    <phoneticPr fontId="8" type="noConversion"/>
  </si>
  <si>
    <t>제조원가명세서검증_iamc</t>
    <phoneticPr fontId="3" type="noConversion"/>
  </si>
  <si>
    <t>[제조원가]직접코스트센터배부내역조회_iamc</t>
    <phoneticPr fontId="3" type="noConversion"/>
  </si>
  <si>
    <t xml:space="preserve">영업의 판매 실적을 분석기준, 분석항목 등을 다양한 형태로 조회 하는 화면 </t>
    <phoneticPr fontId="3" type="noConversion"/>
  </si>
  <si>
    <t>조회조건 중 실적기준 (거래명세서) , 분석기준 (사업단위) , 상세기준 (부서) , 단위기준 (판매단위 or 기준단위) 으로 선택 후 조회 시 원화금액(합계) 컬럼을 추가</t>
  </si>
  <si>
    <t>세금계산서발행 기준으로 입금 내역을 조회 하는 화면</t>
    <phoneticPr fontId="3" type="noConversion"/>
  </si>
  <si>
    <t>세금계산서 출력물에 종사업장 컬럼 추가 및 비고 컬럼 위치 변경, 패키지에 각각의 출력물이 있음.</t>
  </si>
  <si>
    <t>[창고수불속성설정_iamc] 화면에서 사업단위창고사용안함에 check된 사업단위창고는 조회되지 않고 창고 코드도움에도 조회되지 않음.</t>
    <phoneticPr fontId="3" type="noConversion"/>
  </si>
  <si>
    <t>영업,구매,생산,물류 모듈에서 적용되는 사업단위 정보 셋팅 화면</t>
    <phoneticPr fontId="3" type="noConversion"/>
  </si>
  <si>
    <t>조회조건(자재상태, 구매담당미등록) 추가, Sheet에 구매담당자 필수 해제</t>
  </si>
  <si>
    <t>sheet에 거래조건, 결재조건 추가</t>
  </si>
  <si>
    <t>기준년도 월별로 환율, 발주단가, 구매수량, 구매금액, 출고수량, 출고금액, 재고수량, 재고금액, 수입비용처리금액 월별 합계 조회</t>
  </si>
  <si>
    <t>구매납품입력 화면에서 저장, 수정, 삭제시 MRO, 투자수선건 체크 (AssetSeq IN (9,10,11,12,13,14))</t>
  </si>
  <si>
    <t>조회조건(구매요청유형) 추가, Sheet (요청부서, 요청담당자, 구매요청유형) 추가</t>
  </si>
  <si>
    <t>자재대분류별로 정산처리(대분류 - MRO, 투자수선 제외 한 나머지만 처리)</t>
  </si>
  <si>
    <t>자재대분류별로 정산처리(대분류 - MRO, 투자수선만 처리)</t>
  </si>
  <si>
    <t>정산(전표) 처리한 내역을 구매거래처, 입고통화 등 기준으로 집계 조회하는 화면(Sheet1, Sheet2)</t>
  </si>
  <si>
    <t>조회조건(구매요청유형) 추가</t>
  </si>
  <si>
    <t>동일 구매요청유형만 품의 가능</t>
  </si>
  <si>
    <t>조회조건에 연구과제코드 추가, Sheet에 (연구과제코드, 적용제품, 구매목적) 추가, [기타출고입력] 화면에서 이용</t>
  </si>
  <si>
    <t>연구과제용 구매요청에 필요한 정보(적용제품, 구매목적) Text Sheet에 추가</t>
  </si>
  <si>
    <t>Sheet에 진행 데이터 표시, 조회조건(구매담당자) 추가, Sheet (구매담당자, 납품단가) 추가</t>
  </si>
  <si>
    <t>Sheet((거래조건(Dis), 결재조건(Dis)) 추가, 자산분류별로 입력, 거래조건, 결재조건은 [구매단가등록]에 입력된 값</t>
  </si>
  <si>
    <t>조회조건(요청부서, 요청담당자) 추가</t>
  </si>
  <si>
    <t>조회조건(구매담당자, 품목대분류, 품목중분류, 품목소분류) 추가, 구매담당자 정보는 [품목별구매담당자등록]에서 등록, sheet(구매담당자, 품목대분류, 품목중분류, 품목소분류, 거래조건, 결제조건, 환율적용기준) 추가</t>
  </si>
  <si>
    <t>조회조건(구매요청유형, 구매요청자, 구매요청유형) 추가, Sheet (원천정보(요청, 발주)) 추가</t>
  </si>
  <si>
    <t>Sheet에 거래조건,결재조건, 환율적용기준 추가</t>
  </si>
  <si>
    <t>제품 기준으로 가장 최근의 실재고단가(최근)와 표준재고단가를 조회, 실재고단가(최근) : 기준일자 기준으로 가장 최근에 결산한 실재고 단가, 표준재고단가 : 표준재고단가등록(통합) 화면에 등록된 표준재고단가단가</t>
  </si>
  <si>
    <t>자재 기준으로 가장 최근의 실재고단가(최근)와 표준재고단가를 조회, 실재고단가(최근) : 기준일자 기준으로 가장 최근에 결산한 실재고 단가, 표준재고단가 : 표준재고단가등록(통합) 화면에 등록된 표준재고단가단가</t>
  </si>
  <si>
    <t>제품 기준으로 정상재고와 장기재고(유효기간이 지난 재고)와 금액을 조회, 금액은 최근 결산 재고단가이고 없을 시는 표준재고단가등록(통합) 화면에 등록된 단가로 계산</t>
  </si>
  <si>
    <t>자재 기준으로 정상재고와 장기재고(유효기간이 지난 재고)와 금액을 조회, 금액은 최근 결산 재고단가이고 없을 시는 표준재고단가등록(통합) 화면에 등록된 단가로 계산</t>
  </si>
  <si>
    <t>생산년월에 제품 생산실적 기준으로 투입된 자재에 대해 실투입량 대비 [제품별공정별소요자재등록] 화면에 등록된 자재소요량과 차이수량을 조회하는 화면</t>
  </si>
  <si>
    <t>제품 기준으로 [제품별공정별소요자재등록] 화면에 등록된 자재소요량과 BOM 전체 소요량을 비교하는 화면으로 조회조건에 조회구분(공정별, 자재합산)별로 조회
즉, M-BOM과 E-BOM 자재 소요량 비교 조회</t>
  </si>
  <si>
    <t>조회조건인 의뢰사업단위 필수 입력을 해제하여 전체 조회 가능하도록 추가 개발</t>
  </si>
  <si>
    <t>재품, 반제품 기준으로 BOM, 제품별공정별소요자재 등록 여부 및 등록 여부 및 등록자, 수정자, 등록일, 수정일을 조회</t>
  </si>
  <si>
    <t>Sheet (거래조건, 결제조건) 추가, (거래조건, 결재조건)은 [구매단가등록]에 등록된 값</t>
  </si>
  <si>
    <t>조회조건 (사업단위, 비용일(From ~ To)) 추가, Sheet (Payment No, Payment관리번호, Bl관리번호, 출납방법) 추가, Sheet에 행 두번 클릭 시 수입비용일괄처리 화면으로 jump</t>
  </si>
  <si>
    <t>[수입Payment입력] 화면의 수입정보 tab 데이터를 다이나믹 구성으로 조회할 수 있도록 개발</t>
  </si>
  <si>
    <t>Sheet (비용처리, 물품대처리 여부) 추가</t>
  </si>
  <si>
    <t>[수입Paymnent입력]에서 입력한 LC번호 기준으로 신용장을 관리하는 화면입니다.</t>
  </si>
  <si>
    <t>수출반품요청입력_iamc 화면에 정보를 조회 하는 화면</t>
    <phoneticPr fontId="3" type="noConversion"/>
  </si>
  <si>
    <t xml:space="preserve">기 수출되었던 품목의 반품 정보를 입력 관리 하는 화면 </t>
    <phoneticPr fontId="3" type="noConversion"/>
  </si>
  <si>
    <t>제품에 투입된 원가를 재료비, 노무비, 경비, 외주비로 구분 조회
사용자정의코드(제조원가_집계항목_iamc, 제조원가_집계항목별계정_iamc)</t>
  </si>
  <si>
    <t>제품별 매출원가를 계정별로 보기 위해서 개발, 
사용자정의코드(제조원가_집계항목_iamc, 제조원가_집계항목별계정_iamc)</t>
  </si>
  <si>
    <t>제조원가 결산 처리 후 수불과 재무상 금액을 검증</t>
  </si>
  <si>
    <t>생산직접코스트센터에서 제품으로 배부된 내역을 계정별로 조회되는 화면</t>
    <phoneticPr fontId="8" type="noConversion"/>
  </si>
  <si>
    <t>Sheet (입고수량, 미입고수량, 입고통화, 입고단가, 입고금액) 추가 수입Oder기준으로 수입입고입력 된 입고수량, 입고금액, 입고통화 정보를 가져 와야 함. 수입Order 1건에 수입입고입력이 N개 일 경우 같은 품번와 수입입고통화기준으로 입고수량, 입고금액을 합산하여 나타납니다.</t>
    <phoneticPr fontId="3" type="noConversion"/>
  </si>
  <si>
    <t>패키지 [수입비용처리]는 수입 마스터 정보 기준으로만 등록   PaymentNo, BLNo 기준으로 비용을 일괄로 등록 가능하도록 사이트 적용    물품대의 경우는 패키지 [수입비용처리] 사용</t>
    <phoneticPr fontId="3" type="noConversion"/>
  </si>
  <si>
    <t>특이사항</t>
    <phoneticPr fontId="3" type="noConversion"/>
  </si>
  <si>
    <t>진행 X</t>
    <phoneticPr fontId="3" type="noConversion"/>
  </si>
  <si>
    <t>보류</t>
    <phoneticPr fontId="3" type="noConversion"/>
  </si>
  <si>
    <t>적용공수(일)</t>
    <phoneticPr fontId="3" type="noConversion"/>
  </si>
  <si>
    <t>최종공수</t>
    <phoneticPr fontId="3" type="noConversion"/>
  </si>
  <si>
    <t>사업단위 별로 창고를 등록, 조회 화는 화면
[창고수불속성설정_iamc] 화면에서 사업단위창고사용안함에 check된 사업단위창고는 조회되지 않음</t>
    <phoneticPr fontId="3" type="noConversion"/>
  </si>
  <si>
    <t>최종건수</t>
    <phoneticPr fontId="3" type="noConversion"/>
  </si>
  <si>
    <t>컨버전 목적</t>
    <phoneticPr fontId="3" type="noConversion"/>
  </si>
  <si>
    <t>외자발주품목조회(수입Order품목조회)_iamc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</si>
</sst>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b/>
      <strike/>
      <sz val="9"/>
      <color rgb="FFFF0000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9" fillId="0" borderId="0">
      <alignment vertical="center"/>
    </xf>
  </cellStyleXfs>
  <cellXfs count="35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shrinkToFi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7" borderId="2" xfId="0" applyFont="1" applyFill="1" applyBorder="1">
      <alignment vertical="center"/>
    </xf>
    <xf numFmtId="0" fontId="7" fillId="8" borderId="2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6" fillId="0" borderId="2" xfId="0" quotePrefix="1" applyFont="1" applyBorder="1" applyAlignment="1">
      <alignment horizontal="center" vertical="center"/>
    </xf>
    <xf numFmtId="0" fontId="6" fillId="7" borderId="2" xfId="0" quotePrefix="1" applyFont="1" applyFill="1" applyBorder="1" applyAlignment="1">
      <alignment horizontal="center" vertical="center"/>
    </xf>
    <xf numFmtId="0" fontId="5" fillId="7" borderId="2" xfId="0" applyFont="1" applyFill="1" applyBorder="1">
      <alignment vertical="center"/>
    </xf>
    <xf numFmtId="0" fontId="6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3" fillId="0" borderId="2" xfId="2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0" fillId="2" borderId="4" xfId="1" applyFont="1" applyBorder="1" applyAlignment="1">
      <alignment horizontal="center" vertical="center"/>
    </xf>
    <xf numFmtId="0" fontId="10" fillId="2" borderId="5" xfId="1" applyFont="1" applyBorder="1" applyAlignment="1">
      <alignment horizontal="center" vertical="center"/>
    </xf>
    <xf numFmtId="0" fontId="5" fillId="0" borderId="2" xfId="0" quotePrefix="1" applyFont="1" applyBorder="1">
      <alignment vertical="center"/>
    </xf>
  </cellXfs>
  <cellStyles count="3">
    <cellStyle name="메모" xfId="1" builtinId="10"/>
    <cellStyle name="표준" xfId="0" builtinId="0"/>
    <cellStyle name="표준 2" xfId="2" xr:uid="{3C7B1CA7-3D42-4B2E-8042-108EE30FD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9D9F-2681-47E2-BED5-2482B7CA0611}">
  <dimension ref="B2:M52"/>
  <sheetViews>
    <sheetView tabSelected="1" zoomScaleNormal="100" workbookViewId="0">
      <selection activeCell="I8" sqref="I8"/>
    </sheetView>
  </sheetViews>
  <sheetFormatPr defaultRowHeight="17.399999999999999" x14ac:dyDescent="0.4"/>
  <cols>
    <col min="2" max="2" width="4.09765625" bestFit="1" customWidth="1"/>
    <col min="3" max="3" width="9.09765625" bestFit="1" customWidth="1"/>
    <col min="4" max="4" width="10" bestFit="1" customWidth="1"/>
    <col min="5" max="5" width="9"/>
    <col min="6" max="6" width="7.5" bestFit="1" customWidth="1"/>
    <col min="7" max="7" width="10.59765625" bestFit="1" customWidth="1"/>
    <col min="8" max="8" width="20.59765625" customWidth="1"/>
    <col min="9" max="9" width="34.19921875" bestFit="1" customWidth="1"/>
    <col min="10" max="11" width="10.19921875" style="18" customWidth="1"/>
    <col min="12" max="12" width="9.69921875" customWidth="1"/>
    <col min="13" max="13" width="255.59765625" bestFit="1" customWidth="1"/>
  </cols>
  <sheetData>
    <row r="2" spans="2:13" x14ac:dyDescent="0.4">
      <c r="B2" s="1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5" t="s">
        <v>133</v>
      </c>
      <c r="K2" s="6" t="s">
        <v>136</v>
      </c>
      <c r="L2" s="6" t="s">
        <v>8</v>
      </c>
      <c r="M2" s="5" t="s">
        <v>140</v>
      </c>
    </row>
    <row r="3" spans="2:13" x14ac:dyDescent="0.4">
      <c r="B3" s="2">
        <v>8</v>
      </c>
      <c r="C3" s="7" t="s">
        <v>9</v>
      </c>
      <c r="D3" s="7" t="s">
        <v>10</v>
      </c>
      <c r="E3" s="8" t="s">
        <v>11</v>
      </c>
      <c r="F3" s="7" t="s">
        <v>12</v>
      </c>
      <c r="G3" s="9" t="s">
        <v>13</v>
      </c>
      <c r="H3" s="2" t="s">
        <v>14</v>
      </c>
      <c r="I3" s="10" t="s">
        <v>15</v>
      </c>
      <c r="J3" s="7"/>
      <c r="K3" s="11">
        <v>2</v>
      </c>
      <c r="L3" s="11">
        <v>2</v>
      </c>
      <c r="M3" s="17" t="s">
        <v>88</v>
      </c>
    </row>
    <row r="4" spans="2:13" x14ac:dyDescent="0.4">
      <c r="B4" s="2">
        <v>7</v>
      </c>
      <c r="C4" s="12" t="s">
        <v>16</v>
      </c>
      <c r="D4" s="7" t="s">
        <v>10</v>
      </c>
      <c r="E4" s="8" t="s">
        <v>11</v>
      </c>
      <c r="F4" s="7" t="s">
        <v>12</v>
      </c>
      <c r="G4" s="9" t="s">
        <v>13</v>
      </c>
      <c r="H4" s="2" t="s">
        <v>14</v>
      </c>
      <c r="I4" s="13" t="s">
        <v>17</v>
      </c>
      <c r="J4" s="8"/>
      <c r="K4" s="11">
        <v>2</v>
      </c>
      <c r="L4" s="11">
        <v>2</v>
      </c>
      <c r="M4" s="13" t="s">
        <v>89</v>
      </c>
    </row>
    <row r="5" spans="2:13" x14ac:dyDescent="0.4">
      <c r="B5" s="2">
        <v>6</v>
      </c>
      <c r="C5" s="7" t="s">
        <v>18</v>
      </c>
      <c r="D5" s="7" t="s">
        <v>10</v>
      </c>
      <c r="E5" s="8" t="s">
        <v>11</v>
      </c>
      <c r="F5" s="7" t="s">
        <v>12</v>
      </c>
      <c r="G5" s="9" t="s">
        <v>13</v>
      </c>
      <c r="H5" s="9" t="s">
        <v>14</v>
      </c>
      <c r="I5" s="10" t="s">
        <v>19</v>
      </c>
      <c r="J5" s="7"/>
      <c r="K5" s="11">
        <v>2</v>
      </c>
      <c r="L5" s="11">
        <v>2</v>
      </c>
      <c r="M5" s="17" t="s">
        <v>90</v>
      </c>
    </row>
    <row r="6" spans="2:13" x14ac:dyDescent="0.4">
      <c r="B6" s="2">
        <v>4</v>
      </c>
      <c r="C6" s="12" t="s">
        <v>16</v>
      </c>
      <c r="D6" s="7" t="s">
        <v>10</v>
      </c>
      <c r="E6" s="8" t="s">
        <v>11</v>
      </c>
      <c r="F6" s="7" t="s">
        <v>12</v>
      </c>
      <c r="G6" s="9" t="s">
        <v>13</v>
      </c>
      <c r="H6" s="2" t="s">
        <v>20</v>
      </c>
      <c r="I6" s="13" t="s">
        <v>21</v>
      </c>
      <c r="J6" s="8"/>
      <c r="K6" s="11">
        <v>2</v>
      </c>
      <c r="L6" s="11">
        <v>2</v>
      </c>
      <c r="M6" s="13" t="s">
        <v>91</v>
      </c>
    </row>
    <row r="7" spans="2:13" x14ac:dyDescent="0.4">
      <c r="B7" s="2">
        <v>3</v>
      </c>
      <c r="C7" s="12" t="s">
        <v>16</v>
      </c>
      <c r="D7" s="7" t="s">
        <v>10</v>
      </c>
      <c r="E7" s="8" t="s">
        <v>11</v>
      </c>
      <c r="F7" s="7" t="s">
        <v>12</v>
      </c>
      <c r="G7" s="9" t="s">
        <v>13</v>
      </c>
      <c r="H7" s="2" t="s">
        <v>20</v>
      </c>
      <c r="I7" s="13" t="s">
        <v>22</v>
      </c>
      <c r="J7" s="8"/>
      <c r="K7" s="11">
        <v>2</v>
      </c>
      <c r="L7" s="11">
        <v>2</v>
      </c>
      <c r="M7" s="13" t="s">
        <v>91</v>
      </c>
    </row>
    <row r="8" spans="2:13" x14ac:dyDescent="0.4">
      <c r="B8" s="2">
        <v>2</v>
      </c>
      <c r="C8" s="12" t="s">
        <v>16</v>
      </c>
      <c r="D8" s="7" t="s">
        <v>10</v>
      </c>
      <c r="E8" s="8" t="s">
        <v>11</v>
      </c>
      <c r="F8" s="7" t="s">
        <v>12</v>
      </c>
      <c r="G8" s="9" t="s">
        <v>13</v>
      </c>
      <c r="H8" s="2" t="s">
        <v>20</v>
      </c>
      <c r="I8" s="13" t="s">
        <v>23</v>
      </c>
      <c r="J8" s="8"/>
      <c r="K8" s="11">
        <v>2</v>
      </c>
      <c r="L8" s="11">
        <v>2</v>
      </c>
      <c r="M8" s="13" t="s">
        <v>91</v>
      </c>
    </row>
    <row r="9" spans="2:13" x14ac:dyDescent="0.4">
      <c r="B9" s="2">
        <v>23</v>
      </c>
      <c r="C9" s="14" t="s">
        <v>24</v>
      </c>
      <c r="D9" s="7" t="s">
        <v>25</v>
      </c>
      <c r="E9" s="8" t="s">
        <v>11</v>
      </c>
      <c r="F9" s="9" t="s">
        <v>26</v>
      </c>
      <c r="G9" s="9" t="s">
        <v>13</v>
      </c>
      <c r="H9" s="8" t="s">
        <v>27</v>
      </c>
      <c r="I9" s="13" t="s">
        <v>28</v>
      </c>
      <c r="J9" s="8"/>
      <c r="K9" s="11">
        <v>2</v>
      </c>
      <c r="L9" s="11">
        <v>2</v>
      </c>
      <c r="M9" s="13" t="s">
        <v>92</v>
      </c>
    </row>
    <row r="10" spans="2:13" x14ac:dyDescent="0.4">
      <c r="B10" s="2">
        <v>22</v>
      </c>
      <c r="C10" s="15" t="s">
        <v>29</v>
      </c>
      <c r="D10" s="7" t="s">
        <v>25</v>
      </c>
      <c r="E10" s="2" t="s">
        <v>11</v>
      </c>
      <c r="F10" s="7" t="s">
        <v>26</v>
      </c>
      <c r="G10" s="7" t="s">
        <v>13</v>
      </c>
      <c r="H10" s="2" t="s">
        <v>27</v>
      </c>
      <c r="I10" s="16" t="s">
        <v>30</v>
      </c>
      <c r="J10" s="2"/>
      <c r="K10" s="11">
        <v>2</v>
      </c>
      <c r="L10" s="11">
        <v>2</v>
      </c>
      <c r="M10" s="34" t="s">
        <v>138</v>
      </c>
    </row>
    <row r="11" spans="2:13" x14ac:dyDescent="0.4">
      <c r="B11" s="2">
        <v>19</v>
      </c>
      <c r="C11" s="12" t="s">
        <v>16</v>
      </c>
      <c r="D11" s="7" t="s">
        <v>31</v>
      </c>
      <c r="E11" s="2" t="s">
        <v>11</v>
      </c>
      <c r="F11" s="7" t="s">
        <v>26</v>
      </c>
      <c r="G11" s="7" t="s">
        <v>13</v>
      </c>
      <c r="H11" s="2" t="s">
        <v>14</v>
      </c>
      <c r="I11" s="10" t="s">
        <v>32</v>
      </c>
      <c r="J11" s="7"/>
      <c r="K11" s="11">
        <v>2</v>
      </c>
      <c r="L11" s="11">
        <v>2</v>
      </c>
      <c r="M11" s="10" t="s">
        <v>93</v>
      </c>
    </row>
    <row r="12" spans="2:13" x14ac:dyDescent="0.4">
      <c r="B12" s="2">
        <v>70</v>
      </c>
      <c r="C12" s="14" t="s">
        <v>33</v>
      </c>
      <c r="D12" s="7" t="s">
        <v>34</v>
      </c>
      <c r="E12" s="8" t="s">
        <v>11</v>
      </c>
      <c r="F12" s="2" t="s">
        <v>35</v>
      </c>
      <c r="G12" s="9" t="s">
        <v>13</v>
      </c>
      <c r="H12" s="8" t="s">
        <v>27</v>
      </c>
      <c r="I12" s="13" t="s">
        <v>36</v>
      </c>
      <c r="J12" s="8"/>
      <c r="K12" s="11">
        <v>2</v>
      </c>
      <c r="L12" s="11">
        <v>2</v>
      </c>
      <c r="M12" s="13" t="s">
        <v>94</v>
      </c>
    </row>
    <row r="13" spans="2:13" x14ac:dyDescent="0.4">
      <c r="B13" s="2">
        <v>69</v>
      </c>
      <c r="C13" s="14" t="s">
        <v>33</v>
      </c>
      <c r="D13" s="7" t="s">
        <v>34</v>
      </c>
      <c r="E13" s="8" t="s">
        <v>11</v>
      </c>
      <c r="F13" s="2" t="s">
        <v>35</v>
      </c>
      <c r="G13" s="9" t="s">
        <v>13</v>
      </c>
      <c r="H13" s="8" t="s">
        <v>27</v>
      </c>
      <c r="I13" s="13" t="s">
        <v>37</v>
      </c>
      <c r="J13" s="8"/>
      <c r="K13" s="11">
        <v>2</v>
      </c>
      <c r="L13" s="11">
        <v>2</v>
      </c>
      <c r="M13" s="13" t="s">
        <v>95</v>
      </c>
    </row>
    <row r="14" spans="2:13" x14ac:dyDescent="0.4">
      <c r="B14" s="2">
        <v>59</v>
      </c>
      <c r="C14" s="14" t="s">
        <v>33</v>
      </c>
      <c r="D14" s="7" t="s">
        <v>34</v>
      </c>
      <c r="E14" s="8" t="s">
        <v>11</v>
      </c>
      <c r="F14" s="2" t="s">
        <v>35</v>
      </c>
      <c r="G14" s="9" t="s">
        <v>13</v>
      </c>
      <c r="H14" s="2" t="s">
        <v>14</v>
      </c>
      <c r="I14" s="13" t="s">
        <v>38</v>
      </c>
      <c r="J14" s="8"/>
      <c r="K14" s="11">
        <v>2</v>
      </c>
      <c r="L14" s="11">
        <v>2</v>
      </c>
      <c r="M14" s="13" t="s">
        <v>96</v>
      </c>
    </row>
    <row r="15" spans="2:13" x14ac:dyDescent="0.4">
      <c r="B15" s="25">
        <v>49</v>
      </c>
      <c r="C15" s="26" t="s">
        <v>33</v>
      </c>
      <c r="D15" s="25" t="s">
        <v>25</v>
      </c>
      <c r="E15" s="27" t="s">
        <v>11</v>
      </c>
      <c r="F15" s="25" t="s">
        <v>35</v>
      </c>
      <c r="G15" s="27" t="s">
        <v>13</v>
      </c>
      <c r="H15" s="27" t="s">
        <v>39</v>
      </c>
      <c r="I15" s="28" t="s">
        <v>40</v>
      </c>
      <c r="J15" s="27" t="s">
        <v>135</v>
      </c>
      <c r="K15" s="24">
        <v>2</v>
      </c>
      <c r="L15" s="24">
        <v>2</v>
      </c>
      <c r="M15" s="29" t="s">
        <v>97</v>
      </c>
    </row>
    <row r="16" spans="2:13" x14ac:dyDescent="0.4">
      <c r="B16" s="2">
        <v>58</v>
      </c>
      <c r="C16" s="14" t="s">
        <v>33</v>
      </c>
      <c r="D16" s="7" t="s">
        <v>34</v>
      </c>
      <c r="E16" s="8" t="s">
        <v>11</v>
      </c>
      <c r="F16" s="2" t="s">
        <v>35</v>
      </c>
      <c r="G16" s="9" t="s">
        <v>13</v>
      </c>
      <c r="H16" s="8" t="s">
        <v>14</v>
      </c>
      <c r="I16" s="13" t="s">
        <v>41</v>
      </c>
      <c r="J16" s="8"/>
      <c r="K16" s="11">
        <v>2</v>
      </c>
      <c r="L16" s="11">
        <v>2</v>
      </c>
      <c r="M16" s="13" t="s">
        <v>98</v>
      </c>
    </row>
    <row r="17" spans="2:13" x14ac:dyDescent="0.4">
      <c r="B17" s="2">
        <v>68</v>
      </c>
      <c r="C17" s="14" t="s">
        <v>33</v>
      </c>
      <c r="D17" s="7" t="s">
        <v>34</v>
      </c>
      <c r="E17" s="8" t="s">
        <v>11</v>
      </c>
      <c r="F17" s="2" t="s">
        <v>35</v>
      </c>
      <c r="G17" s="9" t="s">
        <v>13</v>
      </c>
      <c r="H17" s="8" t="s">
        <v>27</v>
      </c>
      <c r="I17" s="13" t="s">
        <v>42</v>
      </c>
      <c r="J17" s="8"/>
      <c r="K17" s="11">
        <v>2</v>
      </c>
      <c r="L17" s="11">
        <v>2</v>
      </c>
      <c r="M17" s="13" t="s">
        <v>99</v>
      </c>
    </row>
    <row r="18" spans="2:13" x14ac:dyDescent="0.4">
      <c r="B18" s="2">
        <v>67</v>
      </c>
      <c r="C18" s="14" t="s">
        <v>33</v>
      </c>
      <c r="D18" s="7" t="s">
        <v>34</v>
      </c>
      <c r="E18" s="8" t="s">
        <v>11</v>
      </c>
      <c r="F18" s="2" t="s">
        <v>35</v>
      </c>
      <c r="G18" s="9" t="s">
        <v>13</v>
      </c>
      <c r="H18" s="8" t="s">
        <v>27</v>
      </c>
      <c r="I18" s="13" t="s">
        <v>43</v>
      </c>
      <c r="J18" s="8"/>
      <c r="K18" s="11">
        <v>2</v>
      </c>
      <c r="L18" s="11">
        <v>2</v>
      </c>
      <c r="M18" s="13" t="s">
        <v>100</v>
      </c>
    </row>
    <row r="19" spans="2:13" x14ac:dyDescent="0.4">
      <c r="B19" s="2">
        <v>57</v>
      </c>
      <c r="C19" s="14" t="s">
        <v>33</v>
      </c>
      <c r="D19" s="7" t="s">
        <v>34</v>
      </c>
      <c r="E19" s="8" t="s">
        <v>11</v>
      </c>
      <c r="F19" s="2" t="s">
        <v>35</v>
      </c>
      <c r="G19" s="9" t="s">
        <v>13</v>
      </c>
      <c r="H19" s="8" t="s">
        <v>14</v>
      </c>
      <c r="I19" s="13" t="s">
        <v>44</v>
      </c>
      <c r="J19" s="8"/>
      <c r="K19" s="11">
        <v>2</v>
      </c>
      <c r="L19" s="11">
        <v>2</v>
      </c>
      <c r="M19" s="13" t="s">
        <v>101</v>
      </c>
    </row>
    <row r="20" spans="2:13" x14ac:dyDescent="0.4">
      <c r="B20" s="2">
        <v>56</v>
      </c>
      <c r="C20" s="14" t="s">
        <v>33</v>
      </c>
      <c r="D20" s="7" t="s">
        <v>34</v>
      </c>
      <c r="E20" s="8" t="s">
        <v>11</v>
      </c>
      <c r="F20" s="2" t="s">
        <v>35</v>
      </c>
      <c r="G20" s="9" t="s">
        <v>13</v>
      </c>
      <c r="H20" s="8" t="s">
        <v>14</v>
      </c>
      <c r="I20" s="13" t="s">
        <v>45</v>
      </c>
      <c r="J20" s="8"/>
      <c r="K20" s="11">
        <v>2</v>
      </c>
      <c r="L20" s="11">
        <v>2</v>
      </c>
      <c r="M20" s="13" t="s">
        <v>102</v>
      </c>
    </row>
    <row r="21" spans="2:13" x14ac:dyDescent="0.4">
      <c r="B21" s="2">
        <v>55</v>
      </c>
      <c r="C21" s="14" t="s">
        <v>33</v>
      </c>
      <c r="D21" s="7" t="s">
        <v>34</v>
      </c>
      <c r="E21" s="8" t="s">
        <v>11</v>
      </c>
      <c r="F21" s="2" t="s">
        <v>35</v>
      </c>
      <c r="G21" s="9" t="s">
        <v>13</v>
      </c>
      <c r="H21" s="8" t="s">
        <v>14</v>
      </c>
      <c r="I21" s="13" t="s">
        <v>46</v>
      </c>
      <c r="J21" s="8"/>
      <c r="K21" s="11">
        <v>2</v>
      </c>
      <c r="L21" s="11">
        <v>2</v>
      </c>
      <c r="M21" s="13" t="s">
        <v>103</v>
      </c>
    </row>
    <row r="22" spans="2:13" x14ac:dyDescent="0.4">
      <c r="B22" s="2">
        <v>54</v>
      </c>
      <c r="C22" s="14" t="s">
        <v>33</v>
      </c>
      <c r="D22" s="7" t="s">
        <v>34</v>
      </c>
      <c r="E22" s="8" t="s">
        <v>11</v>
      </c>
      <c r="F22" s="2" t="s">
        <v>35</v>
      </c>
      <c r="G22" s="9" t="s">
        <v>13</v>
      </c>
      <c r="H22" s="8" t="s">
        <v>14</v>
      </c>
      <c r="I22" s="13" t="s">
        <v>47</v>
      </c>
      <c r="J22" s="8"/>
      <c r="K22" s="11">
        <v>2</v>
      </c>
      <c r="L22" s="11">
        <v>2</v>
      </c>
      <c r="M22" s="13" t="s">
        <v>104</v>
      </c>
    </row>
    <row r="23" spans="2:13" x14ac:dyDescent="0.4">
      <c r="B23" s="19">
        <v>66</v>
      </c>
      <c r="C23" s="20" t="s">
        <v>33</v>
      </c>
      <c r="D23" s="19" t="s">
        <v>34</v>
      </c>
      <c r="E23" s="21" t="s">
        <v>11</v>
      </c>
      <c r="F23" s="19" t="s">
        <v>35</v>
      </c>
      <c r="G23" s="21" t="s">
        <v>13</v>
      </c>
      <c r="H23" s="21" t="s">
        <v>27</v>
      </c>
      <c r="I23" s="22" t="s">
        <v>48</v>
      </c>
      <c r="J23" s="21" t="s">
        <v>134</v>
      </c>
      <c r="K23" s="23">
        <v>0</v>
      </c>
      <c r="L23" s="23">
        <v>5</v>
      </c>
      <c r="M23" s="22" t="s">
        <v>105</v>
      </c>
    </row>
    <row r="24" spans="2:13" x14ac:dyDescent="0.4">
      <c r="B24" s="2">
        <v>53</v>
      </c>
      <c r="C24" s="14" t="s">
        <v>33</v>
      </c>
      <c r="D24" s="7" t="s">
        <v>34</v>
      </c>
      <c r="E24" s="8" t="s">
        <v>11</v>
      </c>
      <c r="F24" s="2" t="s">
        <v>35</v>
      </c>
      <c r="G24" s="9" t="s">
        <v>13</v>
      </c>
      <c r="H24" s="8" t="s">
        <v>14</v>
      </c>
      <c r="I24" s="13" t="s">
        <v>49</v>
      </c>
      <c r="J24" s="8"/>
      <c r="K24" s="11">
        <v>2</v>
      </c>
      <c r="L24" s="11">
        <v>2</v>
      </c>
      <c r="M24" s="13" t="s">
        <v>106</v>
      </c>
    </row>
    <row r="25" spans="2:13" x14ac:dyDescent="0.4">
      <c r="B25" s="19">
        <v>65</v>
      </c>
      <c r="C25" s="20" t="s">
        <v>33</v>
      </c>
      <c r="D25" s="19" t="s">
        <v>34</v>
      </c>
      <c r="E25" s="21" t="s">
        <v>11</v>
      </c>
      <c r="F25" s="19" t="s">
        <v>35</v>
      </c>
      <c r="G25" s="21" t="s">
        <v>13</v>
      </c>
      <c r="H25" s="21" t="s">
        <v>27</v>
      </c>
      <c r="I25" s="22" t="s">
        <v>50</v>
      </c>
      <c r="J25" s="21" t="s">
        <v>134</v>
      </c>
      <c r="K25" s="23">
        <v>0</v>
      </c>
      <c r="L25" s="23">
        <v>5</v>
      </c>
      <c r="M25" s="22" t="s">
        <v>107</v>
      </c>
    </row>
    <row r="26" spans="2:13" x14ac:dyDescent="0.4">
      <c r="B26" s="2">
        <v>52</v>
      </c>
      <c r="C26" s="14" t="s">
        <v>33</v>
      </c>
      <c r="D26" s="7" t="s">
        <v>34</v>
      </c>
      <c r="E26" s="8" t="s">
        <v>11</v>
      </c>
      <c r="F26" s="2" t="s">
        <v>35</v>
      </c>
      <c r="G26" s="9" t="s">
        <v>13</v>
      </c>
      <c r="H26" s="8" t="s">
        <v>14</v>
      </c>
      <c r="I26" s="13" t="s">
        <v>51</v>
      </c>
      <c r="J26" s="8"/>
      <c r="K26" s="11">
        <v>2</v>
      </c>
      <c r="L26" s="11">
        <v>2</v>
      </c>
      <c r="M26" s="13" t="s">
        <v>108</v>
      </c>
    </row>
    <row r="27" spans="2:13" x14ac:dyDescent="0.4">
      <c r="B27" s="2">
        <v>64</v>
      </c>
      <c r="C27" s="14" t="s">
        <v>33</v>
      </c>
      <c r="D27" s="7" t="s">
        <v>34</v>
      </c>
      <c r="E27" s="8" t="s">
        <v>11</v>
      </c>
      <c r="F27" s="2" t="s">
        <v>35</v>
      </c>
      <c r="G27" s="9" t="s">
        <v>13</v>
      </c>
      <c r="H27" s="8" t="s">
        <v>27</v>
      </c>
      <c r="I27" s="13" t="s">
        <v>52</v>
      </c>
      <c r="J27" s="8"/>
      <c r="K27" s="11">
        <v>2</v>
      </c>
      <c r="L27" s="11">
        <v>2</v>
      </c>
      <c r="M27" s="13" t="s">
        <v>109</v>
      </c>
    </row>
    <row r="28" spans="2:13" x14ac:dyDescent="0.4">
      <c r="B28" s="2">
        <v>51</v>
      </c>
      <c r="C28" s="14" t="s">
        <v>33</v>
      </c>
      <c r="D28" s="7" t="s">
        <v>34</v>
      </c>
      <c r="E28" s="8" t="s">
        <v>11</v>
      </c>
      <c r="F28" s="2" t="s">
        <v>35</v>
      </c>
      <c r="G28" s="9" t="s">
        <v>13</v>
      </c>
      <c r="H28" s="8" t="s">
        <v>14</v>
      </c>
      <c r="I28" s="13" t="s">
        <v>53</v>
      </c>
      <c r="J28" s="8"/>
      <c r="K28" s="11">
        <v>2</v>
      </c>
      <c r="L28" s="11">
        <v>2</v>
      </c>
      <c r="M28" s="13" t="s">
        <v>110</v>
      </c>
    </row>
    <row r="29" spans="2:13" x14ac:dyDescent="0.4">
      <c r="B29" s="2">
        <v>63</v>
      </c>
      <c r="C29" s="14" t="s">
        <v>33</v>
      </c>
      <c r="D29" s="7" t="s">
        <v>34</v>
      </c>
      <c r="E29" s="8" t="s">
        <v>11</v>
      </c>
      <c r="F29" s="2" t="s">
        <v>35</v>
      </c>
      <c r="G29" s="9" t="s">
        <v>13</v>
      </c>
      <c r="H29" s="8" t="s">
        <v>27</v>
      </c>
      <c r="I29" s="13" t="s">
        <v>54</v>
      </c>
      <c r="J29" s="8"/>
      <c r="K29" s="11">
        <v>2</v>
      </c>
      <c r="L29" s="11">
        <v>2</v>
      </c>
      <c r="M29" s="13" t="s">
        <v>111</v>
      </c>
    </row>
    <row r="30" spans="2:13" x14ac:dyDescent="0.4">
      <c r="B30" s="2">
        <v>89</v>
      </c>
      <c r="C30" s="7" t="s">
        <v>55</v>
      </c>
      <c r="D30" s="2" t="s">
        <v>56</v>
      </c>
      <c r="E30" s="8" t="s">
        <v>11</v>
      </c>
      <c r="F30" s="2" t="s">
        <v>57</v>
      </c>
      <c r="G30" s="9" t="s">
        <v>13</v>
      </c>
      <c r="H30" s="2" t="s">
        <v>14</v>
      </c>
      <c r="I30" s="13" t="s">
        <v>58</v>
      </c>
      <c r="J30" s="8"/>
      <c r="K30" s="11">
        <v>2</v>
      </c>
      <c r="L30" s="11">
        <v>2</v>
      </c>
      <c r="M30" s="13" t="s">
        <v>112</v>
      </c>
    </row>
    <row r="31" spans="2:13" x14ac:dyDescent="0.4">
      <c r="B31" s="2">
        <v>88</v>
      </c>
      <c r="C31" s="7" t="s">
        <v>55</v>
      </c>
      <c r="D31" s="2" t="s">
        <v>56</v>
      </c>
      <c r="E31" s="8" t="s">
        <v>11</v>
      </c>
      <c r="F31" s="2" t="s">
        <v>57</v>
      </c>
      <c r="G31" s="9" t="s">
        <v>13</v>
      </c>
      <c r="H31" s="2" t="s">
        <v>14</v>
      </c>
      <c r="I31" s="13" t="s">
        <v>59</v>
      </c>
      <c r="J31" s="8"/>
      <c r="K31" s="11">
        <v>2</v>
      </c>
      <c r="L31" s="11">
        <v>2</v>
      </c>
      <c r="M31" s="13" t="s">
        <v>113</v>
      </c>
    </row>
    <row r="32" spans="2:13" x14ac:dyDescent="0.4">
      <c r="B32" s="2">
        <v>87</v>
      </c>
      <c r="C32" s="7" t="s">
        <v>55</v>
      </c>
      <c r="D32" s="2" t="s">
        <v>56</v>
      </c>
      <c r="E32" s="8" t="s">
        <v>11</v>
      </c>
      <c r="F32" s="2" t="s">
        <v>57</v>
      </c>
      <c r="G32" s="9" t="s">
        <v>13</v>
      </c>
      <c r="H32" s="2" t="s">
        <v>14</v>
      </c>
      <c r="I32" s="13" t="s">
        <v>60</v>
      </c>
      <c r="J32" s="8"/>
      <c r="K32" s="11">
        <v>2</v>
      </c>
      <c r="L32" s="11">
        <v>2</v>
      </c>
      <c r="M32" s="13" t="s">
        <v>114</v>
      </c>
    </row>
    <row r="33" spans="2:13" x14ac:dyDescent="0.4">
      <c r="B33" s="2">
        <v>86</v>
      </c>
      <c r="C33" s="7" t="s">
        <v>55</v>
      </c>
      <c r="D33" s="2" t="s">
        <v>56</v>
      </c>
      <c r="E33" s="8" t="s">
        <v>11</v>
      </c>
      <c r="F33" s="2" t="s">
        <v>57</v>
      </c>
      <c r="G33" s="9" t="s">
        <v>13</v>
      </c>
      <c r="H33" s="2" t="s">
        <v>14</v>
      </c>
      <c r="I33" s="13" t="s">
        <v>61</v>
      </c>
      <c r="J33" s="8"/>
      <c r="K33" s="11">
        <v>2</v>
      </c>
      <c r="L33" s="11">
        <v>2</v>
      </c>
      <c r="M33" s="13" t="s">
        <v>115</v>
      </c>
    </row>
    <row r="34" spans="2:13" x14ac:dyDescent="0.4">
      <c r="B34" s="2">
        <v>108</v>
      </c>
      <c r="C34" s="7" t="s">
        <v>62</v>
      </c>
      <c r="D34" s="2" t="s">
        <v>56</v>
      </c>
      <c r="E34" s="8" t="s">
        <v>11</v>
      </c>
      <c r="F34" s="9" t="s">
        <v>63</v>
      </c>
      <c r="G34" s="9" t="s">
        <v>13</v>
      </c>
      <c r="H34" s="9" t="s">
        <v>14</v>
      </c>
      <c r="I34" s="17" t="s">
        <v>64</v>
      </c>
      <c r="J34" s="9"/>
      <c r="K34" s="11">
        <v>2</v>
      </c>
      <c r="L34" s="11">
        <v>2</v>
      </c>
      <c r="M34" s="13" t="s">
        <v>116</v>
      </c>
    </row>
    <row r="35" spans="2:13" x14ac:dyDescent="0.4">
      <c r="B35" s="2">
        <v>107</v>
      </c>
      <c r="C35" s="7" t="s">
        <v>65</v>
      </c>
      <c r="D35" s="2" t="s">
        <v>56</v>
      </c>
      <c r="E35" s="8" t="s">
        <v>11</v>
      </c>
      <c r="F35" s="9" t="s">
        <v>63</v>
      </c>
      <c r="G35" s="9" t="s">
        <v>13</v>
      </c>
      <c r="H35" s="9" t="s">
        <v>14</v>
      </c>
      <c r="I35" s="17" t="s">
        <v>66</v>
      </c>
      <c r="J35" s="9"/>
      <c r="K35" s="11">
        <v>2</v>
      </c>
      <c r="L35" s="11">
        <v>2</v>
      </c>
      <c r="M35" s="13" t="s">
        <v>117</v>
      </c>
    </row>
    <row r="36" spans="2:13" x14ac:dyDescent="0.4">
      <c r="B36" s="2">
        <v>106</v>
      </c>
      <c r="C36" s="7" t="s">
        <v>67</v>
      </c>
      <c r="D36" s="2" t="s">
        <v>56</v>
      </c>
      <c r="E36" s="8" t="s">
        <v>11</v>
      </c>
      <c r="F36" s="9" t="s">
        <v>63</v>
      </c>
      <c r="G36" s="9" t="s">
        <v>13</v>
      </c>
      <c r="H36" s="9" t="s">
        <v>14</v>
      </c>
      <c r="I36" s="17" t="s">
        <v>68</v>
      </c>
      <c r="J36" s="9"/>
      <c r="K36" s="11">
        <v>2</v>
      </c>
      <c r="L36" s="11">
        <v>2</v>
      </c>
      <c r="M36" s="10" t="s">
        <v>118</v>
      </c>
    </row>
    <row r="37" spans="2:13" x14ac:dyDescent="0.4">
      <c r="B37" s="2">
        <v>105</v>
      </c>
      <c r="C37" s="12" t="s">
        <v>16</v>
      </c>
      <c r="D37" s="7" t="s">
        <v>31</v>
      </c>
      <c r="E37" s="8" t="s">
        <v>11</v>
      </c>
      <c r="F37" s="9" t="s">
        <v>63</v>
      </c>
      <c r="G37" s="9" t="s">
        <v>13</v>
      </c>
      <c r="H37" s="9" t="s">
        <v>14</v>
      </c>
      <c r="I37" s="13" t="s">
        <v>69</v>
      </c>
      <c r="J37" s="8"/>
      <c r="K37" s="11">
        <v>2</v>
      </c>
      <c r="L37" s="11">
        <v>2</v>
      </c>
      <c r="M37" s="13" t="s">
        <v>119</v>
      </c>
    </row>
    <row r="38" spans="2:13" x14ac:dyDescent="0.4">
      <c r="B38" s="2">
        <v>140</v>
      </c>
      <c r="C38" s="14" t="s">
        <v>33</v>
      </c>
      <c r="D38" s="7" t="s">
        <v>34</v>
      </c>
      <c r="E38" s="8" t="s">
        <v>11</v>
      </c>
      <c r="F38" s="2" t="s">
        <v>70</v>
      </c>
      <c r="G38" s="9" t="s">
        <v>13</v>
      </c>
      <c r="H38" s="8" t="s">
        <v>14</v>
      </c>
      <c r="I38" s="13" t="s">
        <v>141</v>
      </c>
      <c r="J38" s="8"/>
      <c r="K38" s="11">
        <v>2</v>
      </c>
      <c r="L38" s="11">
        <v>2</v>
      </c>
      <c r="M38" s="13" t="s">
        <v>131</v>
      </c>
    </row>
    <row r="39" spans="2:13" x14ac:dyDescent="0.4">
      <c r="B39" s="19">
        <v>145</v>
      </c>
      <c r="C39" s="20" t="s">
        <v>33</v>
      </c>
      <c r="D39" s="19" t="s">
        <v>34</v>
      </c>
      <c r="E39" s="21" t="s">
        <v>11</v>
      </c>
      <c r="F39" s="19" t="s">
        <v>70</v>
      </c>
      <c r="G39" s="21" t="s">
        <v>13</v>
      </c>
      <c r="H39" s="21" t="s">
        <v>27</v>
      </c>
      <c r="I39" s="22" t="s">
        <v>71</v>
      </c>
      <c r="J39" s="21" t="s">
        <v>134</v>
      </c>
      <c r="K39" s="23">
        <v>0</v>
      </c>
      <c r="L39" s="23">
        <v>5</v>
      </c>
      <c r="M39" s="22" t="s">
        <v>120</v>
      </c>
    </row>
    <row r="40" spans="2:13" x14ac:dyDescent="0.4">
      <c r="B40" s="2">
        <v>139</v>
      </c>
      <c r="C40" s="14" t="s">
        <v>33</v>
      </c>
      <c r="D40" s="7" t="s">
        <v>34</v>
      </c>
      <c r="E40" s="8" t="s">
        <v>11</v>
      </c>
      <c r="F40" s="2" t="s">
        <v>70</v>
      </c>
      <c r="G40" s="9" t="s">
        <v>13</v>
      </c>
      <c r="H40" s="8" t="s">
        <v>14</v>
      </c>
      <c r="I40" s="13" t="s">
        <v>72</v>
      </c>
      <c r="J40" s="8"/>
      <c r="K40" s="11">
        <v>2</v>
      </c>
      <c r="L40" s="11">
        <v>2</v>
      </c>
      <c r="M40" s="13" t="s">
        <v>121</v>
      </c>
    </row>
    <row r="41" spans="2:13" x14ac:dyDescent="0.4">
      <c r="B41" s="2">
        <v>144</v>
      </c>
      <c r="C41" s="14" t="s">
        <v>33</v>
      </c>
      <c r="D41" s="7" t="s">
        <v>34</v>
      </c>
      <c r="E41" s="8" t="s">
        <v>11</v>
      </c>
      <c r="F41" s="2" t="s">
        <v>70</v>
      </c>
      <c r="G41" s="9" t="s">
        <v>13</v>
      </c>
      <c r="H41" s="8" t="s">
        <v>27</v>
      </c>
      <c r="I41" s="13" t="s">
        <v>73</v>
      </c>
      <c r="J41" s="8"/>
      <c r="K41" s="11">
        <v>7</v>
      </c>
      <c r="L41" s="11">
        <v>7</v>
      </c>
      <c r="M41" s="13" t="s">
        <v>132</v>
      </c>
    </row>
    <row r="42" spans="2:13" x14ac:dyDescent="0.4">
      <c r="B42" s="2">
        <v>138</v>
      </c>
      <c r="C42" s="14" t="s">
        <v>33</v>
      </c>
      <c r="D42" s="7" t="s">
        <v>34</v>
      </c>
      <c r="E42" s="8" t="s">
        <v>11</v>
      </c>
      <c r="F42" s="2" t="s">
        <v>70</v>
      </c>
      <c r="G42" s="9" t="s">
        <v>13</v>
      </c>
      <c r="H42" s="8" t="s">
        <v>14</v>
      </c>
      <c r="I42" s="13" t="s">
        <v>74</v>
      </c>
      <c r="J42" s="8"/>
      <c r="K42" s="11">
        <v>2</v>
      </c>
      <c r="L42" s="11">
        <v>2</v>
      </c>
      <c r="M42" s="13" t="s">
        <v>122</v>
      </c>
    </row>
    <row r="43" spans="2:13" x14ac:dyDescent="0.4">
      <c r="B43" s="2">
        <v>137</v>
      </c>
      <c r="C43" s="14" t="s">
        <v>33</v>
      </c>
      <c r="D43" s="7" t="s">
        <v>34</v>
      </c>
      <c r="E43" s="8" t="s">
        <v>11</v>
      </c>
      <c r="F43" s="2" t="s">
        <v>70</v>
      </c>
      <c r="G43" s="9" t="s">
        <v>13</v>
      </c>
      <c r="H43" s="8" t="s">
        <v>14</v>
      </c>
      <c r="I43" s="13" t="s">
        <v>75</v>
      </c>
      <c r="J43" s="8"/>
      <c r="K43" s="11">
        <v>2</v>
      </c>
      <c r="L43" s="11">
        <v>2</v>
      </c>
      <c r="M43" s="13" t="s">
        <v>123</v>
      </c>
    </row>
    <row r="44" spans="2:13" x14ac:dyDescent="0.4">
      <c r="B44" s="2">
        <v>141</v>
      </c>
      <c r="C44" s="14" t="s">
        <v>33</v>
      </c>
      <c r="D44" s="7" t="s">
        <v>34</v>
      </c>
      <c r="E44" s="8" t="s">
        <v>11</v>
      </c>
      <c r="F44" s="2" t="s">
        <v>70</v>
      </c>
      <c r="G44" s="9" t="s">
        <v>13</v>
      </c>
      <c r="H44" s="8" t="s">
        <v>76</v>
      </c>
      <c r="I44" s="13" t="s">
        <v>77</v>
      </c>
      <c r="J44" s="8"/>
      <c r="K44" s="11">
        <v>2</v>
      </c>
      <c r="L44" s="11">
        <v>2</v>
      </c>
      <c r="M44" s="13" t="s">
        <v>124</v>
      </c>
    </row>
    <row r="45" spans="2:13" x14ac:dyDescent="0.4">
      <c r="B45" s="2">
        <v>159</v>
      </c>
      <c r="C45" s="12" t="s">
        <v>16</v>
      </c>
      <c r="D45" s="7" t="s">
        <v>10</v>
      </c>
      <c r="E45" s="8" t="s">
        <v>11</v>
      </c>
      <c r="F45" s="2" t="s">
        <v>78</v>
      </c>
      <c r="G45" s="9" t="s">
        <v>13</v>
      </c>
      <c r="H45" s="8" t="s">
        <v>14</v>
      </c>
      <c r="I45" s="13" t="s">
        <v>79</v>
      </c>
      <c r="J45" s="8"/>
      <c r="K45" s="11">
        <v>2</v>
      </c>
      <c r="L45" s="11">
        <v>2</v>
      </c>
      <c r="M45" s="13" t="s">
        <v>125</v>
      </c>
    </row>
    <row r="46" spans="2:13" x14ac:dyDescent="0.4">
      <c r="B46" s="19">
        <v>160</v>
      </c>
      <c r="C46" s="20" t="s">
        <v>16</v>
      </c>
      <c r="D46" s="19" t="s">
        <v>10</v>
      </c>
      <c r="E46" s="21" t="s">
        <v>11</v>
      </c>
      <c r="F46" s="19" t="s">
        <v>78</v>
      </c>
      <c r="G46" s="21" t="s">
        <v>13</v>
      </c>
      <c r="H46" s="21" t="s">
        <v>27</v>
      </c>
      <c r="I46" s="22" t="s">
        <v>80</v>
      </c>
      <c r="J46" s="21" t="s">
        <v>134</v>
      </c>
      <c r="K46" s="23">
        <v>0</v>
      </c>
      <c r="L46" s="23">
        <v>5</v>
      </c>
      <c r="M46" s="22" t="s">
        <v>126</v>
      </c>
    </row>
    <row r="47" spans="2:13" x14ac:dyDescent="0.4">
      <c r="B47" s="2">
        <v>169</v>
      </c>
      <c r="C47" s="7" t="s">
        <v>81</v>
      </c>
      <c r="D47" s="9" t="s">
        <v>82</v>
      </c>
      <c r="E47" s="8" t="s">
        <v>11</v>
      </c>
      <c r="F47" s="2" t="s">
        <v>83</v>
      </c>
      <c r="G47" s="9" t="s">
        <v>13</v>
      </c>
      <c r="H47" s="2" t="s">
        <v>14</v>
      </c>
      <c r="I47" s="13" t="s">
        <v>84</v>
      </c>
      <c r="J47" s="8"/>
      <c r="K47" s="11">
        <v>2</v>
      </c>
      <c r="L47" s="11">
        <v>2</v>
      </c>
      <c r="M47" s="13" t="s">
        <v>127</v>
      </c>
    </row>
    <row r="48" spans="2:13" x14ac:dyDescent="0.4">
      <c r="B48" s="2">
        <v>168</v>
      </c>
      <c r="C48" s="7" t="s">
        <v>81</v>
      </c>
      <c r="D48" s="9" t="s">
        <v>82</v>
      </c>
      <c r="E48" s="8" t="s">
        <v>11</v>
      </c>
      <c r="F48" s="2" t="s">
        <v>83</v>
      </c>
      <c r="G48" s="9" t="s">
        <v>13</v>
      </c>
      <c r="H48" s="2" t="s">
        <v>14</v>
      </c>
      <c r="I48" s="13" t="s">
        <v>85</v>
      </c>
      <c r="J48" s="8"/>
      <c r="K48" s="11">
        <v>2</v>
      </c>
      <c r="L48" s="11">
        <v>2</v>
      </c>
      <c r="M48" s="13" t="s">
        <v>128</v>
      </c>
    </row>
    <row r="49" spans="2:13" x14ac:dyDescent="0.4">
      <c r="B49" s="2">
        <v>167</v>
      </c>
      <c r="C49" s="7" t="s">
        <v>81</v>
      </c>
      <c r="D49" s="9" t="s">
        <v>82</v>
      </c>
      <c r="E49" s="8" t="s">
        <v>11</v>
      </c>
      <c r="F49" s="2" t="s">
        <v>83</v>
      </c>
      <c r="G49" s="9" t="s">
        <v>13</v>
      </c>
      <c r="H49" s="2" t="s">
        <v>14</v>
      </c>
      <c r="I49" s="13" t="s">
        <v>86</v>
      </c>
      <c r="J49" s="8"/>
      <c r="K49" s="11">
        <v>2</v>
      </c>
      <c r="L49" s="11">
        <v>2</v>
      </c>
      <c r="M49" s="13" t="s">
        <v>129</v>
      </c>
    </row>
    <row r="50" spans="2:13" ht="18" thickBot="1" x14ac:dyDescent="0.45">
      <c r="B50" s="2">
        <v>166</v>
      </c>
      <c r="C50" s="7" t="s">
        <v>81</v>
      </c>
      <c r="D50" s="9" t="s">
        <v>82</v>
      </c>
      <c r="E50" s="8" t="s">
        <v>11</v>
      </c>
      <c r="F50" s="2" t="s">
        <v>83</v>
      </c>
      <c r="G50" s="9" t="s">
        <v>13</v>
      </c>
      <c r="H50" s="2" t="s">
        <v>14</v>
      </c>
      <c r="I50" s="13" t="s">
        <v>87</v>
      </c>
      <c r="J50" s="30"/>
      <c r="K50" s="31">
        <v>2</v>
      </c>
      <c r="L50" s="11">
        <v>2</v>
      </c>
      <c r="M50" s="13" t="s">
        <v>130</v>
      </c>
    </row>
    <row r="51" spans="2:13" ht="18" thickBot="1" x14ac:dyDescent="0.45">
      <c r="J51" s="32" t="s">
        <v>137</v>
      </c>
      <c r="K51" s="33">
        <f>SUM(K3:K50)</f>
        <v>93</v>
      </c>
    </row>
    <row r="52" spans="2:13" ht="18" thickBot="1" x14ac:dyDescent="0.45">
      <c r="J52" s="32" t="s">
        <v>139</v>
      </c>
      <c r="K52" s="33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명석</dc:creator>
  <cp:lastModifiedBy>김 명남</cp:lastModifiedBy>
  <dcterms:created xsi:type="dcterms:W3CDTF">2025-02-01T09:25:40Z</dcterms:created>
  <dcterms:modified xsi:type="dcterms:W3CDTF">2025-02-04T06:49:55Z</dcterms:modified>
</cp:coreProperties>
</file>