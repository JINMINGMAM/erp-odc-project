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24e6ac67ab217c/PEMTRON/04.정부지원사업/2402^M선도형 스마트공장(정부일반형) 구축지원 사업(고도화1)/ERP 고도화 검토/2차 회의 후/"/>
    </mc:Choice>
  </mc:AlternateContent>
  <xr:revisionPtr revIDLastSave="1" documentId="8_{91AC4FD6-961E-42B0-950F-6D2863F71BC6}" xr6:coauthVersionLast="47" xr6:coauthVersionMax="47" xr10:uidLastSave="{A7FFB720-362E-4BB9-9343-E83292E2244C}"/>
  <bookViews>
    <workbookView xWindow="28680" yWindow="-3915" windowWidth="38640" windowHeight="21120" xr2:uid="{CB6E75FF-42CE-4E71-8B55-1E5FD6DAD603}"/>
  </bookViews>
  <sheets>
    <sheet name="요구사항정리" sheetId="7" r:id="rId1"/>
    <sheet name="Sheet4" sheetId="24" r:id="rId2"/>
  </sheets>
  <definedNames>
    <definedName name="_xlnm._FilterDatabase" localSheetId="0" hidden="1">요구사항정리!$A$2:$O$80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4" l="1"/>
</calcChain>
</file>

<file path=xl/sharedStrings.xml><?xml version="1.0" encoding="utf-8"?>
<sst xmlns="http://schemas.openxmlformats.org/spreadsheetml/2006/main" count="652" uniqueCount="287">
  <si>
    <t>프로세스</t>
    <phoneticPr fontId="1" type="noConversion"/>
  </si>
  <si>
    <t>회계</t>
    <phoneticPr fontId="1" type="noConversion"/>
  </si>
  <si>
    <t>No.</t>
    <phoneticPr fontId="1" type="noConversion"/>
  </si>
  <si>
    <t>공통</t>
    <phoneticPr fontId="1" type="noConversion"/>
  </si>
  <si>
    <t>시작할때 운행 Km 수, 사용한 운행 Km수를 입력하도록 변경
모두 입력한 이후, 누락된 일자에 운행 Km수를 입력하면, 그 이전에 입력했던 최종 Km수가 모두 변경되도록 적용</t>
    <phoneticPr fontId="1" type="noConversion"/>
  </si>
  <si>
    <t>1. 경비처리 개선 방법 (계정을 직접선택하지 않고, 단계적 선택 또는 Flow 형태로 진행, 사용할 계정 별도 관리, 절차 관리)</t>
  </si>
  <si>
    <t>2. 법인카드 수정 방법 개선 필요 : 법인카드 내용에서 전표내용 입력하여 바로 상신, 수정 가능하도록(전표삭제없이)</t>
  </si>
  <si>
    <t>3. 전표수정시(회계권한자) 변경내용 &gt; 그룹웨어 회계전표 내용 수정 처리 (작성/수신문서 2건)</t>
  </si>
  <si>
    <t>4. 전표 체크 기능 : 동일날짜, 동일금액, 동일계정, 동일관리사항에 대해서 경고 또는 작성불가</t>
  </si>
  <si>
    <t>5. 전자결재 품의서 : 요약정보, 세부현황 보기 선택기능 +-, 회계전표, 구매요청서, 구매품의서</t>
  </si>
  <si>
    <t xml:space="preserve">6. 폰트 조정 기능 </t>
  </si>
  <si>
    <t>회계</t>
  </si>
  <si>
    <t>3. [전표입력] 회계일 컨트롤 속성이 YM-1LD 인데, 15일 ~ 말일까지는 YMLD, 1일부터 14일까지는 YM-1LD -&gt; 쿼리 요청</t>
  </si>
  <si>
    <t>4. [차입금등 유동성대체 확인을 위한 화면] 유동성 대체가 필요한 계정들에 만기일을 입력하면 현시점기준 만기일까지의 기간을 확인할수 있는 화면 제공</t>
  </si>
  <si>
    <t>1. ESS메뉴 등록,  법인차량 사용자 권한관리 (법인카드 사용자 등록과 유사방법)</t>
  </si>
  <si>
    <t>2. 입력방식 개선 - 주행거리 입력시 자동 계산 (주행후), 중간 데이타 수정시 이후 데이타 자동 수정 또는 재계산 &gt; 더존과 비슷한 방법 적용</t>
  </si>
  <si>
    <t>3. 프로젝트 재료자원등록 복사 기능 (예 A -&gt; B, C, D, E 한번에 복사)</t>
  </si>
  <si>
    <t>영업/수출</t>
  </si>
  <si>
    <t>1. 프로젝트수출B/L에서 환율 적용일자가 선적일자로 자동 입력</t>
  </si>
  <si>
    <t>구매/수입</t>
  </si>
  <si>
    <t>4. 자산분류별(개발자재, 정부과제)에 따른 외상매입금 또는 외상매입금(정부과제)로 자동전표 처리</t>
  </si>
  <si>
    <t>5. 거래처, 세금계산서일자가 같은 다건의 세금계산서 처리시, 부가세 라인과 부가세신고시 문제되지 않도록 수정 : 발주번호가 여러건인 경우 부가세 생성라인 선택 필요)</t>
  </si>
  <si>
    <t>9. 구매요청서 기준으로 담당자가 (수령, 사용) 여부 체크 기능 &gt; 출하처리시 제어 요청.</t>
  </si>
  <si>
    <t xml:space="preserve">10. 발주입력 시 단가 설정기준 최근 입고단가 &gt; 단가설정  </t>
  </si>
  <si>
    <t>무역</t>
  </si>
  <si>
    <t xml:space="preserve">4. 전표라인 복사시 거래처가 복사 않됨. </t>
  </si>
  <si>
    <t>CS</t>
  </si>
  <si>
    <t>품질</t>
  </si>
  <si>
    <t>2. 각부서 (국내영업, CS, 해외영업, 무역 ) 별 최종, 출하 성적서 인쇄 가능 기능</t>
  </si>
  <si>
    <t>4. 프로젝트 출하 관리 보기만 가능( 입력 내용 확인 차)</t>
  </si>
  <si>
    <t>6, ERP에서 검사성적서 출력 시 하기 서명란에 검사자 별로 사인이미지와 함께 출력</t>
  </si>
  <si>
    <t>생산</t>
  </si>
  <si>
    <t>1. 모바일버전 급여명세서 확인시 화면이 적어서 불편, 개선요청</t>
  </si>
  <si>
    <t>인사/급여</t>
  </si>
  <si>
    <t>2. 휴가신청시 &gt; 다우오피스 상태에 휴가로 표시 처리 (연동검토)</t>
  </si>
  <si>
    <t xml:space="preserve">4. 시간외 근무신청서 : 식사여부(점심/저녁) 체크항목시 각 근무시간 1시간씩 제외 필요 </t>
  </si>
  <si>
    <t>5. [승급기준등록] –&gt; 년차에 따라 매년 자동으로 승급 대상자 선별 및 반영 기능 가능여부</t>
  </si>
  <si>
    <t>6. 개인/연도별 연봉 현황 조회 기능 : ESS 메뉴</t>
  </si>
  <si>
    <t>1. 구매요청서 작성시, 입력하는 프로젝트번호의 BOM(프로젝트재료자원)에 자동 등록 
(제품코드 &gt; assy &gt; 원자재코드로 구성됨)</t>
    <phoneticPr fontId="1" type="noConversion"/>
  </si>
  <si>
    <t>설계자 구매요청하는 경우 많음,  최종 bom 볼 수 있는 형태, ( 연 600개 정도 ,반양산 정도 )
도면보고 bom 넣음,  설계자 직접 구매요청함.
 판매용 프프젝트 코도 = 제품코드
 L1 제품코드
   L2  ASSY 
     L3   ASSY(원자재) 
소요량 특정 수량</t>
    <phoneticPr fontId="1" type="noConversion"/>
  </si>
  <si>
    <t>4. 선수금조회화면에서 대체전표 입력시 같은 프로젝트만 선택가능한데 여러 건을 동시에 선택하여 한번에 전표 작성</t>
    <phoneticPr fontId="1" type="noConversion"/>
  </si>
  <si>
    <t>6. 프로젝트매출품목 조회/프로젝트수출매출조회에서 계산서 단위로 조회됨, 프로젝트단위로 조회도 가능하도록(프로젝트 A,B를 하나의 계산서로 처리시 A프로젝트만 조회됨)</t>
    <phoneticPr fontId="1" type="noConversion"/>
  </si>
  <si>
    <t>3. 창고별 수불집계조회 : 조회조건 추가 입고수량 0제외, 출고수량 0제외 (필터 기능이 있으나, 사용법 문제)</t>
    <phoneticPr fontId="1" type="noConversion"/>
  </si>
  <si>
    <t>7. 프로젝트출하의뢰시 검사예정일  =&lt; 출하의뢰일 입력 가능해야 함, 프로젝트출하검사합력 &gt; 다음단계 진행 컨트롤....</t>
    <phoneticPr fontId="1" type="noConversion"/>
  </si>
  <si>
    <t xml:space="preserve">  - 중간 행 삭제시 행번호 순차적 자동 채번</t>
    <phoneticPr fontId="1" type="noConversion"/>
  </si>
  <si>
    <t xml:space="preserve"> -  입력시 더블클릭 대신 클릭으로 변경?</t>
    <phoneticPr fontId="1" type="noConversion"/>
  </si>
  <si>
    <t>재료자원 복사 기능 (A → B, C, D, E 동시 복사)</t>
  </si>
  <si>
    <t>공수</t>
    <phoneticPr fontId="1" type="noConversion"/>
  </si>
  <si>
    <t>불가</t>
    <phoneticPr fontId="1" type="noConversion"/>
  </si>
  <si>
    <t>신규</t>
    <phoneticPr fontId="1" type="noConversion"/>
  </si>
  <si>
    <t xml:space="preserve">불가 </t>
    <phoneticPr fontId="1" type="noConversion"/>
  </si>
  <si>
    <t xml:space="preserve">신규 </t>
    <phoneticPr fontId="1" type="noConversion"/>
  </si>
  <si>
    <t>상계처리버튼 사용법</t>
    <phoneticPr fontId="1" type="noConversion"/>
  </si>
  <si>
    <t>1. 조직별 : 연차일, 사용일, 잔여일수, 연차사용내역 세부현황 조회화면, 팀관리차원 : 권한자 설정</t>
    <phoneticPr fontId="1" type="noConversion"/>
  </si>
  <si>
    <t>부서</t>
    <phoneticPr fontId="1" type="noConversion"/>
  </si>
  <si>
    <t>12. 건설중인자산 대체처리 개선 
ex) 고정자산 500 / 건설중인자산 200  / 미지급금 300</t>
    <phoneticPr fontId="1" type="noConversion"/>
  </si>
  <si>
    <t>요청사항</t>
    <phoneticPr fontId="1" type="noConversion"/>
  </si>
  <si>
    <t>구분</t>
    <phoneticPr fontId="1" type="noConversion"/>
  </si>
  <si>
    <t>난이도</t>
    <phoneticPr fontId="1" type="noConversion"/>
  </si>
  <si>
    <t>중</t>
    <phoneticPr fontId="1" type="noConversion"/>
  </si>
  <si>
    <t>하</t>
    <phoneticPr fontId="1" type="noConversion"/>
  </si>
  <si>
    <t>7. 자재기타출고요청조회에서 대표 프로젝트 및 구매요청번호 연계</t>
    <phoneticPr fontId="1" type="noConversion"/>
  </si>
  <si>
    <t>고도화개선요청 건( 2025.07)</t>
    <phoneticPr fontId="1" type="noConversion"/>
  </si>
  <si>
    <t>사용법안내</t>
    <phoneticPr fontId="1" type="noConversion"/>
  </si>
  <si>
    <t>사용법</t>
  </si>
  <si>
    <t xml:space="preserve">계정별원장'에서 
&gt; 기간설정 (From ~ To)로 조회화면 신규개발 
# 속도이슈 있을수있음 </t>
    <phoneticPr fontId="1" type="noConversion"/>
  </si>
  <si>
    <t>보고서개발
유동성 대체 확인 화면 요청 (만기일 입력 → 유동성 자동계산)</t>
    <phoneticPr fontId="1" type="noConversion"/>
  </si>
  <si>
    <t xml:space="preserve">전표조회화면에서 중복 전표 로직추가 : 동일날짜/금액/계정/관리항목에 대해서 조회 </t>
    <phoneticPr fontId="1" type="noConversion"/>
  </si>
  <si>
    <t>권한관리를 통해 법인차량별 담당가가 있기 때문에, 담당자는 본인의 담당 법인차량만 조회 가능하도록 로직</t>
    <phoneticPr fontId="1" type="noConversion"/>
  </si>
  <si>
    <t>비고수정가능 -&gt;저장 버튼추가</t>
    <phoneticPr fontId="1" type="noConversion"/>
  </si>
  <si>
    <t>프로젝트 수출 B/L 선적일 기준 환율 자동 반영</t>
    <phoneticPr fontId="1" type="noConversion"/>
  </si>
  <si>
    <t>1. ESS메뉴 &gt; 자재기타출고요청입력에서 MAIL 발송 가능하도록 처리</t>
    <phoneticPr fontId="1" type="noConversion"/>
  </si>
  <si>
    <t>1. [프로젝트조회] 시리얼 번호 조회 기능 추가</t>
    <phoneticPr fontId="1" type="noConversion"/>
  </si>
  <si>
    <t>2. 부가세자료집계처리 : 현재 수출실적명세서는 BL 또는 통관을 기준으로 집계하고 있는데 해당 부분을 전표 집계가 추가될 수 있는지 확인하고 싶습니다.
           부가세 BL 및 통관 기준은 각 장비 및 부품이 따로나가는 경우 하나의 신고서가 여러 개로 쪼개지는 경우가 있어, 부가세 신고서와 매칭이 힘듭니다.</t>
    <phoneticPr fontId="1" type="noConversion"/>
  </si>
  <si>
    <t>수정</t>
    <phoneticPr fontId="1" type="noConversion"/>
  </si>
  <si>
    <t>toolbar 추가 신규화면</t>
    <phoneticPr fontId="1" type="noConversion"/>
  </si>
  <si>
    <t>2. 발주조회시 납품일자가 임박한 경우 노란색(1주) &gt; 주황색(3일) &gt; 빨간색(지난경우)</t>
    <phoneticPr fontId="1" type="noConversion"/>
  </si>
  <si>
    <t>발주조회아님 -&gt; 발주품목조회 납기일표시됨
기준일자 필요함</t>
    <phoneticPr fontId="1" type="noConversion"/>
  </si>
  <si>
    <t xml:space="preserve">설정: 사용자저의코드
설정에 따라 구매입고정산처리 </t>
    <phoneticPr fontId="1" type="noConversion"/>
  </si>
  <si>
    <t>6. [프로젝트구매납품입력] 매출처리된 프로젝트의 경우 자동으로 특정프로젝트로 변경 또는 안내메시지 처리</t>
    <phoneticPr fontId="1" type="noConversion"/>
  </si>
  <si>
    <t>매출처리된 프로젝트기준 확인 필요</t>
    <phoneticPr fontId="1" type="noConversion"/>
  </si>
  <si>
    <t xml:space="preserve">프로젝트기타출고요청품목조회 </t>
    <phoneticPr fontId="1" type="noConversion"/>
  </si>
  <si>
    <t>8. 프로젝트구매요청시 N, D로 시작하는 코드가 아닌 경우 RM코드 사용 불가, 
재료자원등록시 RM코드 등록 불가</t>
    <phoneticPr fontId="1" type="noConversion"/>
  </si>
  <si>
    <t xml:space="preserve"> [프로젝트조회]에 조회조건 추가 / 시트에서 컬럼 추가</t>
    <phoneticPr fontId="1" type="noConversion"/>
  </si>
  <si>
    <t xml:space="preserve"> 자재기타출고요청품목조회/입력 - Dummy 활용</t>
    <phoneticPr fontId="1" type="noConversion"/>
  </si>
  <si>
    <t>자재입고/이동 된거에대해서 어떻게 보여줌?</t>
    <phoneticPr fontId="1" type="noConversion"/>
  </si>
  <si>
    <t>제외</t>
    <phoneticPr fontId="1" type="noConversion"/>
  </si>
  <si>
    <t>조직도랑 다르게 권한관리하고 싶으면 신규 권한설정화면</t>
    <phoneticPr fontId="1" type="noConversion"/>
  </si>
  <si>
    <t>뷰테이블제공 , db to db기준 , 다른방식 경우 별로 협의</t>
    <phoneticPr fontId="1" type="noConversion"/>
  </si>
  <si>
    <t>반차/반반차시간규칙 제공필요
 세팅 -&gt; 세팅된 값으로 보여주기(수정불가)</t>
    <phoneticPr fontId="1" type="noConversion"/>
  </si>
  <si>
    <t>대상자승급조회 화면 ; 발령 반영 별로협의</t>
    <phoneticPr fontId="1" type="noConversion"/>
  </si>
  <si>
    <t>개인연봉등록 화면 활용 , 권한설정 필요</t>
    <phoneticPr fontId="1" type="noConversion"/>
  </si>
  <si>
    <t xml:space="preserve">RM코드 규칙 및 부가세 처리 기준 개선
프로젝트 번호 있음.  n/d 코드 시작한거 아니면 rm코드 사용불가  
재료자원등록시 RM코드 등록 불가, ( 경고알림) </t>
    <phoneticPr fontId="1" type="noConversion"/>
  </si>
  <si>
    <t>납품예정 팝업에서 해당 메뉴로 점프 기능개발</t>
    <phoneticPr fontId="1" type="noConversion"/>
  </si>
  <si>
    <t>사용법</t>
    <phoneticPr fontId="1" type="noConversion"/>
  </si>
  <si>
    <t>식사여부 ( 평일 잔업시 , 점심 먹었으면  체크 항목 개발</t>
    <phoneticPr fontId="1" type="noConversion"/>
  </si>
  <si>
    <t>체크로직추가
(최종검사가 완료되지 않으면 출하의뢰를 입력 및 최종검사 일자 이전 날짜로 출하의뢰까지 입력이 되지 않도록)</t>
    <phoneticPr fontId="1" type="noConversion"/>
  </si>
  <si>
    <t>법인카드전표 상신후 다시 수정하는 상황을 생겼는데 이게 관리항목 자동 매핑안된 이슈도 있었음.  관련 관리항목 매핑 이슈는 자동전표환경설정에서의 관리항목 매핑 세팅으로 해결 가능 ( 수정중)</t>
    <phoneticPr fontId="1" type="noConversion"/>
  </si>
  <si>
    <t>사용법안내:  우측 '행복사'버튼 활용</t>
    <phoneticPr fontId="1" type="noConversion"/>
  </si>
  <si>
    <t>권한세팅( 프로젝트입력 화면의 권한제한으로 접프불가)</t>
    <phoneticPr fontId="1" type="noConversion"/>
  </si>
  <si>
    <t>세팅</t>
    <phoneticPr fontId="1" type="noConversion"/>
  </si>
  <si>
    <t xml:space="preserve">해결
환경설정_품목 단가  최근 단가 가져오면 ( 환경설정) </t>
    <phoneticPr fontId="1" type="noConversion"/>
  </si>
  <si>
    <t>인사/급여</t>
    <phoneticPr fontId="1" type="noConversion"/>
  </si>
  <si>
    <t xml:space="preserve">휴가신청서:  이전 작성중인거 있으면 중복날짜 입력 안됨 ,  </t>
    <phoneticPr fontId="1" type="noConversion"/>
  </si>
  <si>
    <r>
      <rPr>
        <b/>
        <u/>
        <sz val="9"/>
        <color theme="1"/>
        <rFont val="맑은 고딕"/>
        <family val="3"/>
        <charset val="129"/>
        <scheme val="minor"/>
      </rPr>
      <t>방법1:</t>
    </r>
    <r>
      <rPr>
        <sz val="9"/>
        <color theme="1"/>
        <rFont val="맑은 고딕"/>
        <family val="3"/>
        <charset val="129"/>
        <scheme val="minor"/>
      </rPr>
      <t xml:space="preserve">
[상신전] 알림메세지 : 이미작성된 동일날짜의 휴가신청서가 존재합니다.휴가신청조회화면 확인하세요.
[상신후] 알림메세지 : 이미 작성 및 상신된 동일날짜의 휴가신청서가 존재합니다.휴가신청조회화면 확인하세요.</t>
    </r>
    <phoneticPr fontId="1" type="noConversion"/>
  </si>
  <si>
    <t>현재불가/ 서비즈 올려보도록</t>
    <phoneticPr fontId="1" type="noConversion"/>
  </si>
  <si>
    <t>불가 이유 : 부가세쪽 Customizing대상 아님.</t>
    <phoneticPr fontId="1" type="noConversion"/>
  </si>
  <si>
    <t>펨트론에서 조회화면 양식제공</t>
    <phoneticPr fontId="1" type="noConversion"/>
  </si>
  <si>
    <t>수정</t>
    <phoneticPr fontId="1" type="noConversion"/>
  </si>
  <si>
    <t>펨트론확인필요</t>
    <phoneticPr fontId="1" type="noConversion"/>
  </si>
  <si>
    <t>구매요청기준으로 출고처리 내역을 확인</t>
    <phoneticPr fontId="1" type="noConversion"/>
  </si>
  <si>
    <t xml:space="preserve">9-1 구매요청후  중단 시키고 싶다. 다른 사람 중단한 내용을 볼 필요 있음 .   </t>
    <phoneticPr fontId="1" type="noConversion"/>
  </si>
  <si>
    <t>체크박스 컬럼추가 -&gt; 선택된 대상 출력(toobar)SP 필요.</t>
    <phoneticPr fontId="1" type="noConversion"/>
  </si>
  <si>
    <t>수정</t>
    <phoneticPr fontId="1" type="noConversion"/>
  </si>
  <si>
    <t>신규</t>
  </si>
  <si>
    <t>ESS메뉴 &gt; 자재기타출고요청입력에서 ESS사용자들은 EMAIL 발송 오류 (권한 및 라이선스 문제라고 전달 받음/ 별도개발 필요)</t>
    <phoneticPr fontId="1" type="noConversion"/>
  </si>
  <si>
    <t>합산된 금액으로 표시되는걸, 나눠서 표시 요청</t>
    <phoneticPr fontId="1" type="noConversion"/>
  </si>
  <si>
    <r>
      <t>화면재확인필요,  
프로젝트매출</t>
    </r>
    <r>
      <rPr>
        <u/>
        <sz val="9"/>
        <color rgb="FFFF0000"/>
        <rFont val="맑은 고딕"/>
        <family val="3"/>
        <charset val="129"/>
        <scheme val="minor"/>
      </rPr>
      <t>품목조회</t>
    </r>
    <r>
      <rPr>
        <sz val="9"/>
        <color theme="1"/>
        <rFont val="맑은 고딕"/>
        <family val="3"/>
        <charset val="129"/>
        <scheme val="minor"/>
      </rPr>
      <t>/프로젝트수출매출</t>
    </r>
    <r>
      <rPr>
        <u/>
        <sz val="9"/>
        <color rgb="FFFF0000"/>
        <rFont val="맑은 고딕"/>
        <family val="3"/>
        <charset val="129"/>
        <scheme val="minor"/>
      </rPr>
      <t>품목조회</t>
    </r>
    <r>
      <rPr>
        <sz val="9"/>
        <color theme="1"/>
        <rFont val="맑은 고딕"/>
        <family val="3"/>
        <charset val="129"/>
        <scheme val="minor"/>
      </rPr>
      <t xml:space="preserve"> 에서 '프로젝트번호' 여러 개 나온거 확인됐음</t>
    </r>
    <phoneticPr fontId="1" type="noConversion"/>
  </si>
  <si>
    <t xml:space="preserve">ESS 사용자 :kim_dh/김대현 계정으로 사용해서  테스트한 결과는 정상적으로 MAIL 발송했음 ,( 첨부Sheet :mail 발송)
다른 사용자 오류 어떻게 나타나는지 화면 및 구체적인 설명필요;  오류난 사용자의 계정공유해주면 다시 테스트하도록함. </t>
    <phoneticPr fontId="1" type="noConversion"/>
  </si>
  <si>
    <t>신청과 수령여부 관계를 시스템에서 관리하고 싶음 / 영림원 제안 요청.</t>
    <phoneticPr fontId="1" type="noConversion"/>
  </si>
  <si>
    <t>현업에서 직접 출하검사성적서, 최종검사성적서를 출력
(프로젝트 최종검사결과조회, 프로젝트 출하검사결과조회 &gt; 성적서 출력</t>
    <phoneticPr fontId="1" type="noConversion"/>
  </si>
  <si>
    <t>품목별예외검사대상등록, 프로젝트최종검사의뢰조회_pemtron, 프로젝트작업실적조회_pemtron,프로젝트최종검사결과조회_pemtron, 프로젝트 출하검사결과조회_pemtron</t>
    <phoneticPr fontId="1" type="noConversion"/>
  </si>
  <si>
    <t>수정할 조회화면명 list 필요
수정 5개프로그램 전부 작업-&gt;  품목별예외검사대상등록, 프로젝트최종검사의뢰조회_pemtron, 프로젝트작업실적조회_pemtron,프로젝트최종검사결과조회_pemtron, 프로젝트 출하검사결과조회_pemtron</t>
    <phoneticPr fontId="1" type="noConversion"/>
  </si>
  <si>
    <t>필터를 설정해도 TOTAL 항목이 표시되도록 가능한가?</t>
    <phoneticPr fontId="1" type="noConversion"/>
  </si>
  <si>
    <t>메일로 내용 전달</t>
    <phoneticPr fontId="1" type="noConversion"/>
  </si>
  <si>
    <t>(프로젝트구매납품입력시 프로젝트 완료/중단 확인하나요?)</t>
    <phoneticPr fontId="1" type="noConversion"/>
  </si>
  <si>
    <t>프로젝트구매발주입력에서 납품예정일이 여러 개인 경우 하나만 납품이 되면 미납품목에 대해서 납품예정일이 수정되지 않음. 한업체에 여러품목을 한번이 발주한 경우 품목에 따라 조정이 필요할 수 있음</t>
    <phoneticPr fontId="1" type="noConversion"/>
  </si>
  <si>
    <t>현재시스템구조상 건설중인자산으로만 고정자산을 대체할 수 있음;  
건설중인자산 + 미지급금으로 고정자산 대체처리를 원한 방식은 추가개발으로 입력화면 5m/d,  조회화면 2개 4m/d 소요.</t>
    <phoneticPr fontId="1" type="noConversion"/>
  </si>
  <si>
    <t>펨트론 1차답변(07/15)</t>
    <phoneticPr fontId="1" type="noConversion"/>
  </si>
  <si>
    <r>
      <t xml:space="preserve">상신 시만 데이터 넘기고 그다음에 수정시 데이터 넘기지 않음.    
</t>
    </r>
    <r>
      <rPr>
        <b/>
        <u/>
        <sz val="9"/>
        <color rgb="FFFF0000"/>
        <rFont val="맑은 고딕"/>
        <family val="3"/>
        <charset val="129"/>
        <scheme val="minor"/>
      </rPr>
      <t>다우그룹웨어구조도 확인해서 같이 협의해야함</t>
    </r>
    <r>
      <rPr>
        <sz val="9"/>
        <color theme="1"/>
        <rFont val="맑은 고딕"/>
        <family val="3"/>
        <charset val="129"/>
        <scheme val="minor"/>
      </rPr>
      <t xml:space="preserve">
전표계정 잘 못 넣은 이유 : 비용계정 (복리후생비 등) 
</t>
    </r>
    <r>
      <rPr>
        <b/>
        <sz val="9"/>
        <color rgb="FFFF0000"/>
        <rFont val="맑은 고딕"/>
        <family val="3"/>
        <charset val="129"/>
        <scheme val="minor"/>
      </rPr>
      <t xml:space="preserve"> -&gt;비용처리화면을 사용해서 계정 수정하는 문제 해결할 수 있음  </t>
    </r>
    <phoneticPr fontId="1" type="noConversion"/>
  </si>
  <si>
    <t>보고서개발</t>
    <phoneticPr fontId="1" type="noConversion"/>
  </si>
  <si>
    <t>ylw서비즈 요청후 불가시 추가개발필요</t>
    <phoneticPr fontId="1" type="noConversion"/>
  </si>
  <si>
    <t>11. 반제전표 입력시 계정과목 고정되지 않고 전체조회할 수 있거나 여러계정 조회가능하게 설정</t>
    <phoneticPr fontId="1" type="noConversion"/>
  </si>
  <si>
    <r>
      <t xml:space="preserve">3개화면 (회계전표, 구매요청서, 구매품의서)
 -&gt;요약용 및 상세용 html 전달 -&gt; 다우에서 요약용조회 별도 버튼 통해 상세 html창 보여주기
</t>
    </r>
    <r>
      <rPr>
        <b/>
        <u/>
        <sz val="9"/>
        <color rgb="FFFF0000"/>
        <rFont val="맑은 고딕"/>
        <family val="3"/>
        <charset val="129"/>
        <scheme val="minor"/>
      </rPr>
      <t>다우그룹웨어의 가능여부 확인필요</t>
    </r>
    <phoneticPr fontId="1" type="noConversion"/>
  </si>
  <si>
    <t>영림원_20250807</t>
    <phoneticPr fontId="1" type="noConversion"/>
  </si>
  <si>
    <t>부가세 적용 기준에 계정과목 기준 추가</t>
    <phoneticPr fontId="1" type="noConversion"/>
  </si>
  <si>
    <t>전표</t>
    <phoneticPr fontId="1" type="noConversion"/>
  </si>
  <si>
    <t>제외</t>
    <phoneticPr fontId="1" type="noConversion"/>
  </si>
  <si>
    <t>다우와 연결된 부분 --&gt; 2차
가능여부 확인 및 영림원으로 계약 가능여부 확인</t>
    <phoneticPr fontId="1" type="noConversion"/>
  </si>
  <si>
    <t>보고서 필요시 요청</t>
    <phoneticPr fontId="1" type="noConversion"/>
  </si>
  <si>
    <t>보고서양식 필요
유동성으로 전환될 수 있는 계정대상(대여금, 보증금, 금융상품 등)</t>
    <phoneticPr fontId="1" type="noConversion"/>
  </si>
  <si>
    <t>보고서양식 필요
미수금-선수금 = 부가세 만큼 미수금 잔액</t>
    <phoneticPr fontId="1" type="noConversion"/>
  </si>
  <si>
    <t>잔액표기 옵션적용
기간은 최대 12개월, 월기준</t>
    <phoneticPr fontId="1" type="noConversion"/>
  </si>
  <si>
    <t>8. 관리항목x계정별원장(_pemtron)] 화면에서 Total이 표시되나, 필터설정시 Total이 사라짐(필더값으로 합계 표시)</t>
    <phoneticPr fontId="1" type="noConversion"/>
  </si>
  <si>
    <t>10. 원장상세조회에서 관리항목에 거래처분류항목 추가, 거래처등록에서 기타정보의 거래처분류값을 조건으로 설정할 수 있도록 추가</t>
    <phoneticPr fontId="1" type="noConversion"/>
  </si>
  <si>
    <t>상계처리버튼 사용 후 불편한 부분 취합</t>
    <phoneticPr fontId="1" type="noConversion"/>
  </si>
  <si>
    <t>건설중인자산과 고정자선 연결고리를 끊는 방식</t>
    <phoneticPr fontId="1" type="noConversion"/>
  </si>
  <si>
    <t>재고금액상세조회 기준 입고수량, 출고수량, 재고수량, 각 금액이 월별로 조회되도록(다이나믹)</t>
    <phoneticPr fontId="1" type="noConversion"/>
  </si>
  <si>
    <t>2024년 손익계산서 데이터를 더존기준으로 맞춤</t>
    <phoneticPr fontId="1" type="noConversion"/>
  </si>
  <si>
    <t>계좌입금시 가수금전표 처리 후 받을어음결제처리 --&gt; 한번에 가능하도록, 보통예금 // 받을어음</t>
    <phoneticPr fontId="1" type="noConversion"/>
  </si>
  <si>
    <t>3. 프로젝트조회(관리항목)에서 조회조건 프로젝트유형 필수 조건 삭제, 조회조건에 비고란 추가 &gt; 조건 : 프로젝트별 유형항목을 통일시켜야 함. / 별도 조회 화면 개발</t>
    <phoneticPr fontId="1" type="noConversion"/>
  </si>
  <si>
    <t>프로젝트유형 중 매출발생 건만 조회</t>
    <phoneticPr fontId="1" type="noConversion"/>
  </si>
  <si>
    <t>5. 프로젝트매출세금계산서입력(청구) 화면에서 계산서 발행 여부와 상관없이 채권계정 수정 가능하도록 (단 전표처리 전)</t>
    <phoneticPr fontId="1" type="noConversion"/>
  </si>
  <si>
    <t>TS24-031 프로젝트로 조회시 수출Nego와 수출매출세금계산서가 일치하지 않음
전표처리시 첫번째 프로젝트로 관리항목 적용</t>
    <phoneticPr fontId="1" type="noConversion"/>
  </si>
  <si>
    <t>수출Order진행조회, 수출Order품목진행조회 메뉴추가</t>
    <phoneticPr fontId="1" type="noConversion"/>
  </si>
  <si>
    <t>46번과 동일
프로젝트구매자재진행조회 -&gt; 기타출고요청으로 점프시 더미에 구매요청번호 적용(기타출고까지 점프적용)
이동은 더미컬럼에 구매요청번호 수기입력되어야 함
적용된 내용(더미)이 창고별재고원장조회에 조회되어야 함 
구매 관련 건도 더미컬럼에 구매요청번호 조회
조회된 구매요청번호 기준으로 구매요청입력으로 점프기능 추가</t>
    <phoneticPr fontId="1" type="noConversion"/>
  </si>
  <si>
    <t>2. 생산요청서 결재완료시 프로젝트작업실적입력(호기) 입력 연동 처리 (생산요청서 일부데이타를 자동 입력처리)</t>
    <phoneticPr fontId="1" type="noConversion"/>
  </si>
  <si>
    <t>프로젝트작업실적입력에서 진행 관계없이 SerialNo 변경기능 추가(권한), 프로젝트입력 데이터연계</t>
    <phoneticPr fontId="1" type="noConversion"/>
  </si>
  <si>
    <t>1. 조회화면에서(최종검사,출하검사,품목별예외검사) : End User, 시리얼번호 표시</t>
    <phoneticPr fontId="1" type="noConversion"/>
  </si>
  <si>
    <t>3. 품목별 예상검사대상등록 화면 등록 시 자동으로 품번 순으로 정리 되어 조회가 되는데  등록한 순서 그대로 조회 요청.</t>
    <phoneticPr fontId="1" type="noConversion"/>
  </si>
  <si>
    <t>예상검사대상등록 화면의 최종수정일 조회 및 순서대로조회
현재 프로젝트등록의 최종수정일 기준으로 조회되고 있음
서비스등록 필요</t>
    <phoneticPr fontId="1" type="noConversion"/>
  </si>
  <si>
    <t>5. 프로젝트작업실적 조회 화면에서 정렬 시 정렬 상태 로그아웃 전까지는 그대로 유지.</t>
    <phoneticPr fontId="1" type="noConversion"/>
  </si>
  <si>
    <t>프로젝트 기준 출하요청되지 않은 리스트 조회기능
출하의뢰예정일??
우선 업무적으로 해결</t>
    <phoneticPr fontId="1" type="noConversion"/>
  </si>
  <si>
    <t>정렬순서 생산/품질팀 협의하여 서비스요청</t>
    <phoneticPr fontId="1" type="noConversion"/>
  </si>
  <si>
    <t>제외</t>
    <phoneticPr fontId="1" type="noConversion"/>
  </si>
  <si>
    <t>출하검사/최종검사 불량내역조회</t>
    <phoneticPr fontId="1" type="noConversion"/>
  </si>
  <si>
    <t>양식 별도 제공</t>
    <phoneticPr fontId="1" type="noConversion"/>
  </si>
  <si>
    <t>사용법</t>
    <phoneticPr fontId="1" type="noConversion"/>
  </si>
  <si>
    <t>기능개선</t>
  </si>
  <si>
    <t>3. 휴가신청서 양식 수정보완, 세부현황, 반차, 반반차 자동입력 처리 (오전반차(9-13), 오후반차(14-18), 오전반반차(9-11), 오후반반차(16-18))</t>
    <phoneticPr fontId="1" type="noConversion"/>
  </si>
  <si>
    <t>전자결재 양식변경
양식 전달받기로 함
휴가신청에서 시간관련 숨김처리</t>
    <phoneticPr fontId="1" type="noConversion"/>
  </si>
  <si>
    <t>주말은 자동계산하지 않음
주말은 중식여부, 석식여부, 야식여부 체크 확인하여 시간계산
평일은 시작시간 변경 불가, 야식여부 체크 확인하여 시간계산</t>
    <phoneticPr fontId="1" type="noConversion"/>
  </si>
  <si>
    <t>보류</t>
    <phoneticPr fontId="1" type="noConversion"/>
  </si>
  <si>
    <t>휴가신청 - 내역생성시 동일일자 체크하여 이전 동일 데이터 삭제하도록 메시지 표현
시간외근무신청 - 내역생성시 동일일자 체크하여 이전 동일 데이터 삭제하도록 메시지 표현</t>
    <phoneticPr fontId="1" type="noConversion"/>
  </si>
  <si>
    <t>프로젝트재료자원, 구매요청, 투입자재를 비교할 수 있는 화면제공</t>
    <phoneticPr fontId="1" type="noConversion"/>
  </si>
  <si>
    <t>최종BOM을 통해 여러 프로젝트 복사기능</t>
    <phoneticPr fontId="1" type="noConversion"/>
  </si>
  <si>
    <t>수출실적명세서 조회시 전표데이터를 활용할 수 있는 별도 화면개발</t>
    <phoneticPr fontId="1" type="noConversion"/>
  </si>
  <si>
    <t>메일로 양식 수신 완료</t>
    <phoneticPr fontId="1" type="noConversion"/>
  </si>
  <si>
    <t>3. 프로젝트자재구매진행조회 &gt; 기타출고수량, 출고수량 제외 옵션</t>
    <phoneticPr fontId="1" type="noConversion"/>
  </si>
  <si>
    <t>불가</t>
    <phoneticPr fontId="1" type="noConversion"/>
  </si>
  <si>
    <t>제외</t>
    <phoneticPr fontId="1" type="noConversion"/>
  </si>
  <si>
    <t>중복</t>
    <phoneticPr fontId="1" type="noConversion"/>
  </si>
  <si>
    <t>프로젝트자재출고요청품목조회의 더미컬럼에 출고 특이사항 진행과 관계없이 관리할 수 있도록 추가</t>
    <phoneticPr fontId="1" type="noConversion"/>
  </si>
  <si>
    <t>추-6</t>
  </si>
  <si>
    <t>개발</t>
    <phoneticPr fontId="1" type="noConversion"/>
  </si>
  <si>
    <t>서비스</t>
    <phoneticPr fontId="1" type="noConversion"/>
  </si>
  <si>
    <t>서비스</t>
    <phoneticPr fontId="1" type="noConversion"/>
  </si>
  <si>
    <t>해결</t>
    <phoneticPr fontId="1" type="noConversion"/>
  </si>
  <si>
    <t xml:space="preserve">***** 상신 후 반려하면 전표 삭제 까지 가능할 지  이부분 해결 중요  ***
[idea]상신 후 반려 후 전표 삭제 전이면  비용 입력칸 회색처리 ( 입력방지) -&gt;  비용전표 조회에서 무조건 전표 삭제해야 비용 입력칸 다시 재입력 가능 
</t>
    <phoneticPr fontId="1" type="noConversion"/>
  </si>
  <si>
    <t>펨트론 준비</t>
    <phoneticPr fontId="1" type="noConversion"/>
  </si>
  <si>
    <t>개발
다우연동</t>
    <phoneticPr fontId="1" type="noConversion"/>
  </si>
  <si>
    <t xml:space="preserve">그룹웨어 관련 내역 다 정리해서  제공 </t>
    <phoneticPr fontId="1" type="noConversion"/>
  </si>
  <si>
    <t xml:space="preserve">펨트론에서 양식제공
금융상품도 대체경우 있음  만기일 관리 하고 싶음 </t>
    <phoneticPr fontId="1" type="noConversion"/>
  </si>
  <si>
    <t>전표</t>
  </si>
  <si>
    <t>총합계</t>
  </si>
  <si>
    <t>개발</t>
  </si>
  <si>
    <t>개발
검토</t>
    <phoneticPr fontId="1" type="noConversion"/>
  </si>
  <si>
    <t>개발여부</t>
    <phoneticPr fontId="1" type="noConversion"/>
  </si>
  <si>
    <t>개발
검토</t>
    <phoneticPr fontId="1" type="noConversion"/>
  </si>
  <si>
    <t xml:space="preserve"> -수정된 월의 전월 마지막 일자 기준 재계산
 -차량번호 코드도움에 담당자 추가</t>
    <phoneticPr fontId="1" type="noConversion"/>
  </si>
  <si>
    <t>관리항목 다 보여주기 다이나믹식으로( 하드코딩)
#속도영향 있음</t>
    <phoneticPr fontId="1" type="noConversion"/>
  </si>
  <si>
    <t xml:space="preserve"> 1. 프로젝트조회(관리항목)에서 조회조건 '프로젝트유형 '필수조건 제거 
 2. 조회조건: 비고 추가</t>
    <phoneticPr fontId="1" type="noConversion"/>
  </si>
  <si>
    <r>
      <t xml:space="preserve">2. 프로젝트입력 &gt; 관리항목 &gt; 시리얼번호 자동 연동 처리 ----&gt; </t>
    </r>
    <r>
      <rPr>
        <b/>
        <sz val="9"/>
        <color theme="1"/>
        <rFont val="맑은 고딕"/>
        <family val="3"/>
        <charset val="129"/>
        <scheme val="minor"/>
      </rPr>
      <t>생산실적관리 입력시 또는 변경시</t>
    </r>
    <r>
      <rPr>
        <sz val="9"/>
        <color theme="1"/>
        <rFont val="맑은 고딕"/>
        <family val="3"/>
        <charset val="129"/>
        <scheme val="minor"/>
      </rPr>
      <t xml:space="preserve"> (프로젝트번호)</t>
    </r>
    <phoneticPr fontId="1" type="noConversion"/>
  </si>
  <si>
    <t>7. 계정별원장 조회에서 조회기간 단일 &gt; 기간설정 (From ~ To)
 - '잔액표기 옵션적용
 - 기간은 최대 12개월, 월기준</t>
    <phoneticPr fontId="1" type="noConversion"/>
  </si>
  <si>
    <t>6. 매출되지 않은 선수금/미수금 자동상계 기능 추가(세금계산서 발급건) 또는 조회화면 추가</t>
    <phoneticPr fontId="1" type="noConversion"/>
  </si>
  <si>
    <t>영림원_ 제안 답변 1차</t>
    <phoneticPr fontId="1" type="noConversion"/>
  </si>
  <si>
    <t>개발
공수검토</t>
    <phoneticPr fontId="1" type="noConversion"/>
  </si>
  <si>
    <t>펨트론에서 자료제공
프로젝트재료자원, 구매요청, 투입자재를 비교할 수 있는 화면제공</t>
    <phoneticPr fontId="1" type="noConversion"/>
  </si>
  <si>
    <t>2. 프로젝트재료자원에 이미 구매요청한 품목의 비고란에 삭제 또는 수정사항 기입할 수 있는 기능 추가, 담당자 이력관리 기능이 필요.</t>
    <phoneticPr fontId="1" type="noConversion"/>
  </si>
  <si>
    <t>3. [프로젝트납품예정내역조회]에서 진행조회 팝업의 내용을 선택시 해당 메뉴로 점프.</t>
    <phoneticPr fontId="1" type="noConversion"/>
  </si>
  <si>
    <t>1. CS창고 기타출고 및 조회 프로그램 개발 - 출고처리 근거를 세부적으로 관리하고자 함.</t>
    <phoneticPr fontId="1" type="noConversion"/>
  </si>
  <si>
    <t xml:space="preserve">원재료 품목 (입고/출고/재고  수량 금액 )언제 들어오는지 한번에 볼수있는 화면 ( 월별 다이나믹식으로 표시 )  </t>
    <phoneticPr fontId="1" type="noConversion"/>
  </si>
  <si>
    <t xml:space="preserve">“받을어음 만기 추심 건”이므로, 가수금 처리는 불필요
계좌입금입력 화면에서 -&gt; 회계처리 시 가수금 안들어와야됨   ,
받은 어음 전표처리에서 가수금 반제 해야함 
입금입력 화면에서  회계처리  시받을어음  컬럼'받을어음' 표시
 →  전표입력시  가수금 대신  받을 어음 대변 
 →  전표: 보통예금(차변) / 받을어음(대변)
</t>
    <phoneticPr fontId="1" type="noConversion"/>
  </si>
  <si>
    <t>[건물등감가상각취등명세서]에서 취득금액이 아닌 전표금액으로 가져오도록</t>
    <phoneticPr fontId="1" type="noConversion"/>
  </si>
  <si>
    <t>양식제공</t>
    <phoneticPr fontId="1" type="noConversion"/>
  </si>
  <si>
    <t xml:space="preserve">1.  부가세예수금 전표 필수 관리항목추가: 환종, 환율, 수출신고번호 
2. 기존 BL 입력 기준의 수출실적명세서 대신,
매출 발생 시 입력된 부가세예수금 전표 기준으로 조회할 수 있도록 개발
</t>
    <phoneticPr fontId="1" type="noConversion"/>
  </si>
  <si>
    <t>프로젝트구매요청입력시 입고전표승인 후 자동 자재출고요청 또는 자재기타출고요청을 만들어줄지 여부 체크추가 (프로젝트번호에 따라, 디폴트는 체크)
입고전표승인 후 자재출고요청/자재기타출고요청 생성시 구매요청번호를 더미컬럼에 적용</t>
    <phoneticPr fontId="1" type="noConversion"/>
  </si>
  <si>
    <t xml:space="preserve">현상: 
 프로젝트용 자재 구매 시 대부분의 경우 입고와 동시에 바로 출고 요청;
 현재는 입고전표 승인 후 별도로 출고요청을 등록해야 하
개발:
1.프로젝트구매요청입력 화면에서 
 "입고 후 출고요청 자동생성 여부" 체크박스 추가
 특정 프로젝트 자동출고 체크가능
2.자재출고요청/자재기타출고요청 생성시 원구매요청번호 추적을 위해 더미컬럼에 정보 입력관리 가능하도록 </t>
    <phoneticPr fontId="1" type="noConversion"/>
  </si>
  <si>
    <t>수출매출 전표처리 시, 복수 프로젝트 연결 시 첫 번째 프로젝트만 관리항목에 적용되어 공급가액 불일치 현상 발생
→ 복수 프로젝트 전체를 반영하거나, 프로젝트별 세금계산서 정합성 확인 기능 보완 요청</t>
    <phoneticPr fontId="1" type="noConversion"/>
  </si>
  <si>
    <t>프로젝트자재출고요청품목조회 화면에
 -출고 특이사항을 별도로 기재할 수 있는 더미컬럼을 추가.
 - 출고 진행 여부와 관계없이 별도 관리가능 ( 저장 버튼)</t>
    <phoneticPr fontId="1" type="noConversion"/>
  </si>
  <si>
    <r>
      <t xml:space="preserve">[건물등감가상각취등명세서]
현재 "건설중인자산" 도 포함되며,
해당 자산 중 부가세 미발생 건까지 모두 취득명세서에 포함됨;
이로 인해 부가세 신고대상 아님에도 불구하고 신고자료에 포함되는 오류가 발생;
→ 회계전표의 금액 기준으로 전표별 </t>
    </r>
    <r>
      <rPr>
        <u/>
        <sz val="9"/>
        <color theme="5" tint="-0.499984740745262"/>
        <rFont val="맑은 고딕"/>
        <family val="3"/>
        <charset val="129"/>
        <scheme val="minor"/>
      </rPr>
      <t>부가세 발생 여부 확인</t>
    </r>
    <r>
      <rPr>
        <sz val="9"/>
        <color theme="5" tint="-0.499984740745262"/>
        <rFont val="맑은 고딕"/>
        <family val="3"/>
        <charset val="129"/>
        <scheme val="minor"/>
      </rPr>
      <t xml:space="preserve"> 후 포함
 -자산 관련 회계전표 중, 부가세 포함 전표만 대상
 -건설중인자산등 부가세 미발생 전표 제외
 -전표 금액과 취득 금액이 다를 경우, 전표 금액 우선 적용</t>
    </r>
    <phoneticPr fontId="1" type="noConversion"/>
  </si>
  <si>
    <r>
      <t xml:space="preserve">색 표현X
납품도래일 조회조건 추가
</t>
    </r>
    <r>
      <rPr>
        <sz val="9"/>
        <color theme="5" tint="-0.499984740745262"/>
        <rFont val="맑은 고딕"/>
        <family val="3"/>
        <charset val="129"/>
        <scheme val="minor"/>
      </rPr>
      <t>조회조건에 납품일자 D-day 입력하여 조회 기능</t>
    </r>
    <phoneticPr fontId="1" type="noConversion"/>
  </si>
  <si>
    <t>보류</t>
  </si>
  <si>
    <r>
      <t xml:space="preserve">휴가신청 이미 연동 중, 그룹웨어에서 승인상태인 건은 휴가중으로 변경 가능여부 확인
</t>
    </r>
    <r>
      <rPr>
        <sz val="9"/>
        <color rgb="FFFF0000"/>
        <rFont val="맑은 고딕"/>
        <family val="3"/>
        <charset val="129"/>
        <scheme val="minor"/>
      </rPr>
      <t>보류</t>
    </r>
    <phoneticPr fontId="1" type="noConversion"/>
  </si>
  <si>
    <r>
      <rPr>
        <sz val="9"/>
        <color rgb="FFFF0000"/>
        <rFont val="맑은 고딕"/>
        <family val="3"/>
        <charset val="129"/>
        <scheme val="minor"/>
      </rPr>
      <t>개인별연봉등록 내역</t>
    </r>
    <r>
      <rPr>
        <sz val="9"/>
        <color theme="1"/>
        <rFont val="맑은 고딕"/>
        <family val="3"/>
        <charset val="129"/>
        <scheme val="minor"/>
      </rPr>
      <t xml:space="preserve">이 다른곳에 영향가는지 확인필요
영향이 없을 경우 해당 화면 사용
</t>
    </r>
    <r>
      <rPr>
        <sz val="9"/>
        <color rgb="FFFF0000"/>
        <rFont val="맑은 고딕"/>
        <family val="3"/>
        <charset val="129"/>
        <scheme val="minor"/>
      </rPr>
      <t xml:space="preserve"> -&gt; 퇴직총당금처리-&gt;현재 평균임금기준으로 사용하고 있으나 연봉기준으로 사용할 경우 문제 있음</t>
    </r>
    <phoneticPr fontId="1" type="noConversion"/>
  </si>
  <si>
    <t>개발 검토</t>
    <phoneticPr fontId="1" type="noConversion"/>
  </si>
  <si>
    <r>
      <t>일반비용신청 
 -부가세/불공제 미체크 (제거)
 - 사용자별 관련 비용항목보임 
 -출납예정일 : 일월15일
 -적요 : 신청일 자동표기
 -신청일 : ‘사용일’</t>
    </r>
    <r>
      <rPr>
        <sz val="9"/>
        <color theme="1"/>
        <rFont val="Noto Sans KR"/>
        <family val="3"/>
        <charset val="134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자로 타이틀 변경
 -지출내역 제외
 -신청자, 신청부서, 코스트센터 </t>
    </r>
    <r>
      <rPr>
        <sz val="9"/>
        <color theme="1"/>
        <rFont val="Noto Sans KR"/>
        <family val="3"/>
        <charset val="134"/>
      </rPr>
      <t>-&gt;</t>
    </r>
    <r>
      <rPr>
        <sz val="9"/>
        <color theme="1"/>
        <rFont val="맑은 고딕"/>
        <family val="3"/>
        <charset val="129"/>
        <scheme val="minor"/>
      </rPr>
      <t xml:space="preserve">상단으로 이동
 -거래처 : 2가지 거래처 사용
           </t>
    </r>
    <r>
      <rPr>
        <sz val="9"/>
        <color theme="1"/>
        <rFont val="Noto Sans KR"/>
        <family val="3"/>
        <charset val="134"/>
      </rPr>
      <t>'</t>
    </r>
    <r>
      <rPr>
        <sz val="9"/>
        <color theme="1"/>
        <rFont val="맑은 고딕"/>
        <family val="3"/>
        <charset val="129"/>
        <scheme val="minor"/>
      </rPr>
      <t>방문업체</t>
    </r>
    <r>
      <rPr>
        <sz val="9"/>
        <color theme="1"/>
        <rFont val="Noto Sans KR"/>
        <family val="3"/>
        <charset val="134"/>
      </rPr>
      <t>'</t>
    </r>
    <r>
      <rPr>
        <sz val="9"/>
        <color theme="1"/>
        <rFont val="맑은 고딕"/>
        <family val="3"/>
        <charset val="129"/>
        <scheme val="minor"/>
      </rPr>
      <t xml:space="preserve">로 타이틀 변경
           ' 비용업체' 
관리항목 필수체크
상대계정 : 자동입력후 DISABLE
* 일반비용조회 화면 개발
전자결재 미상신,반려시 전표 삭제기능 검토필요
복사하여저장 버튼 제외
1~14일까지는 전월말일, 15일~ 당월말일
</t>
    </r>
    <r>
      <rPr>
        <b/>
        <sz val="9"/>
        <color theme="1"/>
        <rFont val="맑은 고딕"/>
        <family val="3"/>
        <charset val="129"/>
        <scheme val="minor"/>
      </rPr>
      <t xml:space="preserve">등록 화면 5 
조회 화면 3
</t>
    </r>
    <phoneticPr fontId="1" type="noConversion"/>
  </si>
  <si>
    <t>선택</t>
    <phoneticPr fontId="1" type="noConversion"/>
  </si>
  <si>
    <t>5. [미상계잔액 관리기능] 매출이 완료된 프로젝트번호에 대해 선수금/미수금등 잔액으로 남지말아야 하는 계정들의 잔액을 확인할수 있는 조회화면 제공</t>
    <phoneticPr fontId="1" type="noConversion"/>
  </si>
  <si>
    <t>9. [원장상세조회], [건별반제조회], [건별반제상세조회] 에서 전표번호 추가 요청 (회계전표, 전표행번호는 표시됨)</t>
    <phoneticPr fontId="1" type="noConversion"/>
  </si>
  <si>
    <t>원장상세조회에서 외화계정조회시 통화 넣지 않고 일괄조회
거래처별계정잔액조회 외화계정조회시 통화별 일괄조회</t>
    <phoneticPr fontId="1" type="noConversion"/>
  </si>
  <si>
    <t>전표번호 / 거래처분류 조건 추가 요청
승인전의 기표 번호  ( 보고서 수정)</t>
    <phoneticPr fontId="1" type="noConversion"/>
  </si>
  <si>
    <r>
      <t xml:space="preserve">BOM레벨 자동채번기능
최종BOM을 관리하기 위한 목적 --&gt; </t>
    </r>
    <r>
      <rPr>
        <b/>
        <sz val="10"/>
        <color theme="5" tint="-0.249977111117893"/>
        <rFont val="맑은 고딕"/>
        <family val="3"/>
        <charset val="129"/>
        <scheme val="minor"/>
      </rPr>
      <t>방안검토</t>
    </r>
    <r>
      <rPr>
        <sz val="9"/>
        <color theme="1"/>
        <rFont val="맑은 고딕"/>
        <family val="3"/>
        <charset val="129"/>
        <scheme val="minor"/>
      </rPr>
      <t xml:space="preserve">
수량이 변경됨(16개 --&gt; 14개)
</t>
    </r>
    <phoneticPr fontId="1" type="noConversion"/>
  </si>
  <si>
    <t xml:space="preserve">관리항목 시리얼번호 연동, </t>
    <phoneticPr fontId="1" type="noConversion"/>
  </si>
  <si>
    <t>구매요청자(cs)
체크로직:  본인 등록건 아닌다 중단 불가 or 사용자 그룹으로 중단권한체크
현재 구매팀만 중단권한 있음</t>
    <phoneticPr fontId="1" type="noConversion"/>
  </si>
  <si>
    <t>11. 프로젝트 구매납품 조회발주품의 입고시 입고기준 파설로 입고시 일부입고처리 가능 여부</t>
    <phoneticPr fontId="1" type="noConversion"/>
  </si>
  <si>
    <t>프로젝트구매발주입력 화면에서 부분 수정
 dummy사용 납품예정일2</t>
    <phoneticPr fontId="1" type="noConversion"/>
  </si>
  <si>
    <t>2. [프로젝트납품예정내역조회 ]화면에 출하 의뢰 전 납품거래처의 Payment조건 및 미수금액 표시,  조건에 따른 [프로젝트수출출하의뢰입력] 출하의뢰 진행하기 위함.</t>
    <phoneticPr fontId="1" type="noConversion"/>
  </si>
  <si>
    <r>
      <t xml:space="preserve">프로젝트납품예정내역조회 화면에 </t>
    </r>
    <r>
      <rPr>
        <sz val="9"/>
        <color theme="7" tint="-0.249977111117893"/>
        <rFont val="맑은 고딕"/>
        <family val="3"/>
        <charset val="129"/>
        <scheme val="minor"/>
      </rPr>
      <t xml:space="preserve">Payment조건 및 미수금액 표시 </t>
    </r>
    <r>
      <rPr>
        <sz val="9"/>
        <color theme="1"/>
        <rFont val="맑은 고딕"/>
        <family val="3"/>
        <charset val="129"/>
        <scheme val="minor"/>
      </rPr>
      <t>추가
 선수금 몇 % 들어온거 표시
프로젝트입력의 결제조건 조회
프로젝트기준의 입금여부조회</t>
    </r>
    <phoneticPr fontId="1" type="noConversion"/>
  </si>
  <si>
    <t>Dummy :구매요청번호입력용
프로젝트구매자재진행조회 jump
원장까지 보여줌</t>
    <phoneticPr fontId="1" type="noConversion"/>
  </si>
  <si>
    <t>45번과 중복</t>
    <phoneticPr fontId="1" type="noConversion"/>
  </si>
  <si>
    <t>사인이미지설정화면(필요없음) + 출력물개발</t>
    <phoneticPr fontId="1" type="noConversion"/>
  </si>
  <si>
    <t>(프로젝트 최종검사결과조회, 프로젝트 출하검사결과조회) 
별도화면을 통해 성적서 출력 및 
출력 인원 이력관리</t>
    <phoneticPr fontId="1" type="noConversion"/>
  </si>
  <si>
    <t>계약서동의(개인) --&gt; 서명등록(사원)에 서명등록되어 있음
프로젝트최종검사입력 승인자 추가, 
출력물에 검사자 승인자 서명적용</t>
    <phoneticPr fontId="1" type="noConversion"/>
  </si>
  <si>
    <r>
      <t xml:space="preserve">부문장, 그룹장, 팀장 기준의 하위인원 연차내역조회, 휴가신청내역조회
조직병인원조회 부서장관리/ 직책기준(부문장, 그룹장, 팀장) 
</t>
    </r>
    <r>
      <rPr>
        <b/>
        <sz val="9"/>
        <color theme="5" tint="-0.499984740745262"/>
        <rFont val="맑은 고딕"/>
        <family val="3"/>
        <charset val="129"/>
        <scheme val="minor"/>
      </rPr>
      <t>조직도기준으로 권한관리해도 문제없음</t>
    </r>
    <phoneticPr fontId="1" type="noConversion"/>
  </si>
  <si>
    <t>전자결재html 양식 제공</t>
    <phoneticPr fontId="1" type="noConversion"/>
  </si>
  <si>
    <t xml:space="preserve">조회화면 개발 </t>
    <phoneticPr fontId="1" type="noConversion"/>
  </si>
  <si>
    <t xml:space="preserve">입금내역처리-&gt; 회계처리 : 받을어음찾아서 상계처리 </t>
    <phoneticPr fontId="1" type="noConversion"/>
  </si>
  <si>
    <t>2024년데이터만 해당화면에서 조회 (더존데이터비 기준조회)</t>
    <phoneticPr fontId="1" type="noConversion"/>
  </si>
  <si>
    <t>프로젝트번호 규칙 제공</t>
    <phoneticPr fontId="1" type="noConversion"/>
  </si>
  <si>
    <t xml:space="preserve">구매입고전표승인 후 
구매입고에서 구매요청 찾고 -&gt;출고요청까지 진행  . 
프로젝트번호에 따라서 자재출고인지 기타출고인지 결정됨 </t>
    <phoneticPr fontId="1" type="noConversion"/>
  </si>
  <si>
    <t>구매요청품목조회에서 미품의건 대상 이동처리할 수 있는 기능추가
그매요청번호 -&gt;dummy 기입필요
구매요청은 중단되어야 함
선택건들 일괄중단처리 버튼 추가</t>
    <phoneticPr fontId="1" type="noConversion"/>
  </si>
  <si>
    <t>1.구매요청품목조회 화면에서 선택건 이동처리[일부요청일부출고처리] 기능
2.구매요청은 일일 중단대신-&gt; 선택건 '일괄중단처리' 버튼 추가
그매요청번호 -&gt;dummy 기입필요
선택 -&gt;중단 후 이동처리 
( 구매자재진행조회 화면에서 이동처리 수량까지 보여줌)</t>
    <phoneticPr fontId="1" type="noConversion"/>
  </si>
  <si>
    <t>73번과 중복
2. 창고재고의 품목 조회시 추적기능 필요 - 구매입고번호, 자재이동 기록등 세부적인 기록 확인하고자 함.</t>
    <phoneticPr fontId="1" type="noConversion"/>
  </si>
  <si>
    <t xml:space="preserve"> </t>
    <phoneticPr fontId="1" type="noConversion"/>
  </si>
  <si>
    <t>개발검토</t>
    <phoneticPr fontId="1" type="noConversion"/>
  </si>
  <si>
    <t>구분</t>
  </si>
  <si>
    <t>진행여부</t>
    <phoneticPr fontId="1" type="noConversion"/>
  </si>
  <si>
    <t>총무</t>
  </si>
  <si>
    <t>총무</t>
    <phoneticPr fontId="1" type="noConversion"/>
  </si>
  <si>
    <t>설계</t>
  </si>
  <si>
    <t>설계</t>
    <phoneticPr fontId="1" type="noConversion"/>
  </si>
  <si>
    <t>다우연동</t>
  </si>
  <si>
    <t>공수</t>
  </si>
  <si>
    <t>구매/수입</t>
    <phoneticPr fontId="1" type="noConversion"/>
  </si>
  <si>
    <t>답변자명</t>
    <phoneticPr fontId="1" type="noConversion"/>
  </si>
  <si>
    <t>상</t>
  </si>
  <si>
    <t>이용전</t>
    <phoneticPr fontId="1" type="noConversion"/>
  </si>
  <si>
    <t>취소</t>
  </si>
  <si>
    <t>정현철</t>
    <phoneticPr fontId="1" type="noConversion"/>
  </si>
  <si>
    <t>김다영</t>
    <phoneticPr fontId="1" type="noConversion"/>
  </si>
  <si>
    <t>유혜은</t>
    <phoneticPr fontId="1" type="noConversion"/>
  </si>
  <si>
    <t>우유진</t>
    <phoneticPr fontId="1" type="noConversion"/>
  </si>
  <si>
    <t>하</t>
  </si>
  <si>
    <t>이영은</t>
    <phoneticPr fontId="1" type="noConversion"/>
  </si>
  <si>
    <t>전태진</t>
    <phoneticPr fontId="1" type="noConversion"/>
  </si>
  <si>
    <t>박민주</t>
    <phoneticPr fontId="1" type="noConversion"/>
  </si>
  <si>
    <t>최도화</t>
    <phoneticPr fontId="1" type="noConversion"/>
  </si>
  <si>
    <t>중</t>
  </si>
  <si>
    <t>차나리</t>
    <phoneticPr fontId="1" type="noConversion"/>
  </si>
  <si>
    <t>조일상</t>
    <phoneticPr fontId="1" type="noConversion"/>
  </si>
  <si>
    <t>정명길</t>
    <phoneticPr fontId="1" type="noConversion"/>
  </si>
  <si>
    <t>지종학</t>
    <phoneticPr fontId="1" type="noConversion"/>
  </si>
  <si>
    <t>이경미</t>
    <phoneticPr fontId="1" type="noConversion"/>
  </si>
  <si>
    <t>`</t>
    <phoneticPr fontId="1" type="noConversion"/>
  </si>
  <si>
    <t>신명구</t>
    <phoneticPr fontId="1" type="noConversion"/>
  </si>
  <si>
    <t>김민지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</si>
</sst>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color rgb="FF9C570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Noto Sans KR"/>
      <family val="3"/>
      <charset val="134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7" tint="-0.249977111117893"/>
      <name val="맑은 고딕"/>
      <family val="3"/>
      <charset val="129"/>
      <scheme val="minor"/>
    </font>
    <font>
      <b/>
      <sz val="9"/>
      <color theme="5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8"/>
      <color theme="5" tint="-0.249977111117893"/>
      <name val="맑은 고딕"/>
      <family val="3"/>
      <charset val="129"/>
      <scheme val="minor"/>
    </font>
    <font>
      <b/>
      <sz val="8"/>
      <color theme="7" tint="-0.249977111117893"/>
      <name val="맑은 고딕"/>
      <family val="3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u/>
      <sz val="9"/>
      <color theme="5" tint="-0.499984740745262"/>
      <name val="맑은 고딕"/>
      <family val="3"/>
      <charset val="129"/>
      <scheme val="minor"/>
    </font>
    <font>
      <b/>
      <sz val="9"/>
      <color theme="5" tint="-0.499984740745262"/>
      <name val="맑은 고딕"/>
      <family val="3"/>
      <charset val="129"/>
      <scheme val="minor"/>
    </font>
    <font>
      <sz val="8"/>
      <color theme="5" tint="-0.499984740745262"/>
      <name val="맑은 고딕"/>
      <family val="3"/>
      <charset val="129"/>
      <scheme val="minor"/>
    </font>
    <font>
      <b/>
      <sz val="8"/>
      <color theme="5" tint="-0.49998474074526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C0E6F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7" fillId="0" borderId="0"/>
  </cellStyleXfs>
  <cellXfs count="7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5" borderId="0" xfId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6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</cellXfs>
  <cellStyles count="3">
    <cellStyle name="보통" xfId="1" builtinId="28"/>
    <cellStyle name="표준" xfId="0" builtinId="0"/>
    <cellStyle name="표준 10" xfId="2" xr:uid="{38BA9E5F-08DB-49C5-B81D-AA124E0A7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EF53-87FB-47DC-8E32-F43BACEAB007}">
  <sheetPr filterMode="1">
    <tabColor rgb="FFFFC000"/>
  </sheetPr>
  <dimension ref="A1:O80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90" sqref="D90"/>
    </sheetView>
  </sheetViews>
  <sheetFormatPr defaultColWidth="72.25" defaultRowHeight="16.5" x14ac:dyDescent="0.3"/>
  <cols>
    <col min="1" max="1" width="7.625" style="13" bestFit="1" customWidth="1"/>
    <col min="2" max="2" width="8.75" style="14" customWidth="1"/>
    <col min="3" max="3" width="11.75" style="14" customWidth="1"/>
    <col min="4" max="4" width="65.375" style="1" customWidth="1"/>
    <col min="5" max="5" width="8.5" style="22" bestFit="1" customWidth="1"/>
    <col min="6" max="6" width="11.5" style="14" bestFit="1" customWidth="1"/>
    <col min="7" max="7" width="9.625" style="14" bestFit="1" customWidth="1"/>
    <col min="8" max="8" width="11" style="14" bestFit="1" customWidth="1"/>
    <col min="9" max="9" width="11" style="14" customWidth="1"/>
    <col min="10" max="10" width="54.25" style="3" customWidth="1"/>
    <col min="11" max="11" width="35" style="3" customWidth="1"/>
    <col min="12" max="12" width="22.875" style="3" customWidth="1"/>
    <col min="13" max="13" width="40.875" style="10" customWidth="1"/>
    <col min="14" max="14" width="4.5" style="14" customWidth="1"/>
    <col min="15" max="15" width="5.25" style="4" bestFit="1" customWidth="1"/>
  </cols>
  <sheetData>
    <row r="1" spans="1:15" x14ac:dyDescent="0.3">
      <c r="A1" s="60" t="s">
        <v>62</v>
      </c>
      <c r="B1" s="60"/>
      <c r="C1" s="60"/>
      <c r="D1" s="60"/>
      <c r="E1" s="21"/>
      <c r="F1" s="13"/>
      <c r="G1" s="13"/>
      <c r="H1" s="13"/>
      <c r="I1" s="13"/>
      <c r="J1" s="7"/>
      <c r="K1" s="7"/>
      <c r="L1" s="7"/>
      <c r="N1" s="13"/>
      <c r="O1" s="8"/>
    </row>
    <row r="2" spans="1:15" s="5" customFormat="1" x14ac:dyDescent="0.3">
      <c r="A2" s="23" t="s">
        <v>2</v>
      </c>
      <c r="B2" s="24" t="s">
        <v>54</v>
      </c>
      <c r="C2" s="24" t="s">
        <v>0</v>
      </c>
      <c r="D2" s="25" t="s">
        <v>56</v>
      </c>
      <c r="E2" s="25" t="s">
        <v>47</v>
      </c>
      <c r="F2" s="25" t="s">
        <v>197</v>
      </c>
      <c r="G2" s="24" t="s">
        <v>255</v>
      </c>
      <c r="H2" s="26" t="s">
        <v>257</v>
      </c>
      <c r="I2" s="26" t="s">
        <v>265</v>
      </c>
      <c r="J2" s="25" t="s">
        <v>205</v>
      </c>
      <c r="K2" s="25" t="s">
        <v>134</v>
      </c>
      <c r="L2" s="27" t="s">
        <v>189</v>
      </c>
      <c r="M2" s="28" t="s">
        <v>128</v>
      </c>
      <c r="N2" s="24" t="s">
        <v>57</v>
      </c>
      <c r="O2" s="25" t="s">
        <v>58</v>
      </c>
    </row>
    <row r="3" spans="1:15" ht="314.45" customHeight="1" x14ac:dyDescent="0.3">
      <c r="A3" s="29">
        <v>1</v>
      </c>
      <c r="B3" s="30" t="s">
        <v>1</v>
      </c>
      <c r="C3" s="30" t="s">
        <v>0</v>
      </c>
      <c r="D3" s="31" t="s">
        <v>5</v>
      </c>
      <c r="E3" s="32">
        <v>8</v>
      </c>
      <c r="F3" s="30" t="s">
        <v>184</v>
      </c>
      <c r="G3" s="30"/>
      <c r="H3" s="33" t="s">
        <v>266</v>
      </c>
      <c r="I3" s="33" t="s">
        <v>282</v>
      </c>
      <c r="J3" s="34" t="s">
        <v>188</v>
      </c>
      <c r="K3" s="35" t="s">
        <v>226</v>
      </c>
      <c r="L3" s="35"/>
      <c r="M3" s="36"/>
      <c r="N3" s="37" t="s">
        <v>49</v>
      </c>
      <c r="O3" s="30" t="s">
        <v>59</v>
      </c>
    </row>
    <row r="4" spans="1:15" ht="36" hidden="1" x14ac:dyDescent="0.3">
      <c r="A4" s="8">
        <v>2</v>
      </c>
      <c r="B4" s="4" t="s">
        <v>136</v>
      </c>
      <c r="C4" s="4" t="s">
        <v>94</v>
      </c>
      <c r="D4" s="2" t="s">
        <v>6</v>
      </c>
      <c r="E4" s="4" t="s">
        <v>100</v>
      </c>
      <c r="F4" s="4" t="s">
        <v>100</v>
      </c>
      <c r="G4" s="4"/>
      <c r="H4" s="4"/>
      <c r="I4" s="4"/>
      <c r="J4" s="3" t="s">
        <v>97</v>
      </c>
      <c r="K4" s="3" t="s">
        <v>135</v>
      </c>
    </row>
    <row r="5" spans="1:15" ht="90" hidden="1" customHeight="1" x14ac:dyDescent="0.3">
      <c r="A5" s="29">
        <v>3</v>
      </c>
      <c r="B5" s="30" t="s">
        <v>136</v>
      </c>
      <c r="C5" s="30" t="s">
        <v>168</v>
      </c>
      <c r="D5" s="31" t="s">
        <v>7</v>
      </c>
      <c r="E5" s="32">
        <v>3</v>
      </c>
      <c r="F5" s="30" t="s">
        <v>190</v>
      </c>
      <c r="G5" s="30"/>
      <c r="H5" s="33" t="s">
        <v>268</v>
      </c>
      <c r="I5" s="33" t="s">
        <v>282</v>
      </c>
      <c r="J5" s="35" t="s">
        <v>129</v>
      </c>
      <c r="K5" s="35" t="s">
        <v>138</v>
      </c>
      <c r="L5" s="38" t="s">
        <v>191</v>
      </c>
      <c r="M5" s="36"/>
      <c r="N5" s="37"/>
      <c r="O5" s="30"/>
    </row>
    <row r="6" spans="1:15" ht="14.45" hidden="1" customHeight="1" x14ac:dyDescent="0.3">
      <c r="A6" s="8">
        <v>4</v>
      </c>
      <c r="B6" s="4" t="s">
        <v>136</v>
      </c>
      <c r="C6" s="4" t="s">
        <v>168</v>
      </c>
      <c r="D6" s="2" t="s">
        <v>8</v>
      </c>
      <c r="E6" s="4">
        <v>2</v>
      </c>
      <c r="F6" s="4" t="s">
        <v>86</v>
      </c>
      <c r="G6" s="4"/>
      <c r="H6" s="4"/>
      <c r="I6" s="4"/>
      <c r="J6" s="3" t="s">
        <v>67</v>
      </c>
      <c r="K6" s="3" t="s">
        <v>137</v>
      </c>
      <c r="N6" s="14" t="s">
        <v>49</v>
      </c>
      <c r="O6" s="4" t="s">
        <v>60</v>
      </c>
    </row>
    <row r="7" spans="1:15" ht="69.599999999999994" hidden="1" customHeight="1" x14ac:dyDescent="0.3">
      <c r="A7" s="29">
        <v>5</v>
      </c>
      <c r="B7" s="30" t="s">
        <v>136</v>
      </c>
      <c r="C7" s="30" t="s">
        <v>168</v>
      </c>
      <c r="D7" s="31" t="s">
        <v>9</v>
      </c>
      <c r="E7" s="32">
        <v>6</v>
      </c>
      <c r="F7" s="30" t="s">
        <v>190</v>
      </c>
      <c r="G7" s="30"/>
      <c r="H7" s="33" t="s">
        <v>268</v>
      </c>
      <c r="I7" s="33" t="s">
        <v>282</v>
      </c>
      <c r="J7" s="39" t="s">
        <v>133</v>
      </c>
      <c r="K7" s="39"/>
      <c r="L7" s="39"/>
      <c r="M7" s="36"/>
      <c r="N7" s="37"/>
      <c r="O7" s="30"/>
    </row>
    <row r="8" spans="1:15" hidden="1" x14ac:dyDescent="0.3">
      <c r="A8" s="13">
        <v>6</v>
      </c>
      <c r="B8" s="14" t="s">
        <v>3</v>
      </c>
      <c r="C8" s="14" t="s">
        <v>168</v>
      </c>
      <c r="D8" s="2" t="s">
        <v>10</v>
      </c>
      <c r="E8" s="14" t="s">
        <v>50</v>
      </c>
      <c r="F8" s="14" t="s">
        <v>186</v>
      </c>
      <c r="J8" s="12" t="s">
        <v>105</v>
      </c>
      <c r="K8" s="9"/>
      <c r="L8" s="9"/>
    </row>
    <row r="9" spans="1:15" ht="48" hidden="1" x14ac:dyDescent="0.3">
      <c r="A9" s="13">
        <v>7</v>
      </c>
      <c r="B9" s="14" t="s">
        <v>11</v>
      </c>
      <c r="C9" s="14" t="s">
        <v>168</v>
      </c>
      <c r="D9" s="2" t="s">
        <v>73</v>
      </c>
      <c r="E9" s="14" t="s">
        <v>48</v>
      </c>
      <c r="F9" s="14" t="s">
        <v>48</v>
      </c>
      <c r="J9" s="9" t="s">
        <v>106</v>
      </c>
      <c r="K9" s="11" t="s">
        <v>139</v>
      </c>
      <c r="L9" s="11"/>
    </row>
    <row r="10" spans="1:15" ht="24" hidden="1" x14ac:dyDescent="0.3">
      <c r="A10" s="61">
        <v>9</v>
      </c>
      <c r="B10" s="63" t="s">
        <v>11</v>
      </c>
      <c r="C10" s="63" t="s">
        <v>168</v>
      </c>
      <c r="D10" s="2" t="s">
        <v>12</v>
      </c>
      <c r="E10" s="14" t="s">
        <v>48</v>
      </c>
      <c r="F10" s="14" t="s">
        <v>48</v>
      </c>
    </row>
    <row r="11" spans="1:15" hidden="1" x14ac:dyDescent="0.3">
      <c r="A11" s="61"/>
      <c r="B11" s="63"/>
      <c r="C11" s="63"/>
      <c r="D11" s="2" t="s">
        <v>44</v>
      </c>
      <c r="E11" s="14" t="s">
        <v>64</v>
      </c>
      <c r="F11" s="14" t="s">
        <v>64</v>
      </c>
      <c r="J11" s="3" t="s">
        <v>63</v>
      </c>
    </row>
    <row r="12" spans="1:15" hidden="1" x14ac:dyDescent="0.3">
      <c r="A12" s="62"/>
      <c r="B12" s="64"/>
      <c r="C12" s="64"/>
      <c r="D12" s="2" t="s">
        <v>45</v>
      </c>
      <c r="E12" s="14" t="s">
        <v>48</v>
      </c>
      <c r="F12" s="14" t="s">
        <v>48</v>
      </c>
    </row>
    <row r="13" spans="1:15" ht="48" x14ac:dyDescent="0.3">
      <c r="A13" s="40">
        <v>10</v>
      </c>
      <c r="B13" s="30" t="s">
        <v>11</v>
      </c>
      <c r="C13" s="30" t="s">
        <v>168</v>
      </c>
      <c r="D13" s="31" t="s">
        <v>13</v>
      </c>
      <c r="E13" s="32">
        <v>3</v>
      </c>
      <c r="F13" s="30" t="s">
        <v>184</v>
      </c>
      <c r="G13" s="30" t="s">
        <v>227</v>
      </c>
      <c r="H13" s="33" t="s">
        <v>266</v>
      </c>
      <c r="I13" s="33" t="s">
        <v>267</v>
      </c>
      <c r="J13" s="35" t="s">
        <v>66</v>
      </c>
      <c r="K13" s="35" t="s">
        <v>140</v>
      </c>
      <c r="L13" s="31" t="s">
        <v>192</v>
      </c>
      <c r="M13" s="36"/>
      <c r="N13" s="37" t="s">
        <v>51</v>
      </c>
      <c r="O13" s="30" t="s">
        <v>59</v>
      </c>
    </row>
    <row r="14" spans="1:15" ht="33" customHeight="1" x14ac:dyDescent="0.3">
      <c r="A14" s="40">
        <v>11</v>
      </c>
      <c r="B14" s="30" t="s">
        <v>11</v>
      </c>
      <c r="C14" s="30" t="s">
        <v>168</v>
      </c>
      <c r="D14" s="31" t="s">
        <v>228</v>
      </c>
      <c r="E14" s="32">
        <v>2</v>
      </c>
      <c r="F14" s="30" t="s">
        <v>184</v>
      </c>
      <c r="G14" s="30"/>
      <c r="H14" s="33" t="s">
        <v>266</v>
      </c>
      <c r="I14" s="33" t="s">
        <v>267</v>
      </c>
      <c r="J14" s="35" t="s">
        <v>130</v>
      </c>
      <c r="K14" s="35"/>
      <c r="L14" s="35"/>
      <c r="M14" s="36"/>
      <c r="N14" s="37" t="s">
        <v>51</v>
      </c>
      <c r="O14" s="30" t="s">
        <v>60</v>
      </c>
    </row>
    <row r="15" spans="1:15" ht="34.9" customHeight="1" x14ac:dyDescent="0.3">
      <c r="A15" s="40">
        <v>12</v>
      </c>
      <c r="B15" s="30" t="s">
        <v>11</v>
      </c>
      <c r="C15" s="30" t="s">
        <v>168</v>
      </c>
      <c r="D15" s="31" t="s">
        <v>204</v>
      </c>
      <c r="E15" s="32">
        <v>4</v>
      </c>
      <c r="F15" s="30" t="s">
        <v>184</v>
      </c>
      <c r="G15" s="30"/>
      <c r="H15" s="33" t="s">
        <v>266</v>
      </c>
      <c r="I15" s="33" t="s">
        <v>267</v>
      </c>
      <c r="J15" s="39" t="s">
        <v>107</v>
      </c>
      <c r="K15" s="41" t="s">
        <v>141</v>
      </c>
      <c r="L15" s="35" t="s">
        <v>107</v>
      </c>
      <c r="M15" s="36"/>
      <c r="N15" s="37" t="s">
        <v>51</v>
      </c>
      <c r="O15" s="30" t="s">
        <v>59</v>
      </c>
    </row>
    <row r="16" spans="1:15" ht="48" x14ac:dyDescent="0.3">
      <c r="A16" s="40">
        <v>13</v>
      </c>
      <c r="B16" s="30" t="s">
        <v>11</v>
      </c>
      <c r="C16" s="30" t="s">
        <v>168</v>
      </c>
      <c r="D16" s="31" t="s">
        <v>203</v>
      </c>
      <c r="E16" s="32">
        <v>4</v>
      </c>
      <c r="F16" s="30" t="s">
        <v>184</v>
      </c>
      <c r="G16" s="30"/>
      <c r="H16" s="33" t="s">
        <v>266</v>
      </c>
      <c r="I16" s="33" t="s">
        <v>271</v>
      </c>
      <c r="J16" s="42" t="s">
        <v>65</v>
      </c>
      <c r="K16" s="42" t="s">
        <v>142</v>
      </c>
      <c r="L16" s="42"/>
      <c r="M16" s="36"/>
      <c r="N16" s="37" t="s">
        <v>51</v>
      </c>
      <c r="O16" s="30" t="s">
        <v>59</v>
      </c>
    </row>
    <row r="17" spans="1:15" ht="24" hidden="1" x14ac:dyDescent="0.3">
      <c r="A17" s="16">
        <v>14</v>
      </c>
      <c r="B17" s="4" t="s">
        <v>11</v>
      </c>
      <c r="C17" s="4" t="s">
        <v>168</v>
      </c>
      <c r="D17" s="2" t="s">
        <v>143</v>
      </c>
      <c r="E17" s="4">
        <v>1</v>
      </c>
      <c r="F17" s="4" t="s">
        <v>185</v>
      </c>
      <c r="G17" s="4"/>
      <c r="H17" s="4"/>
      <c r="I17" s="4"/>
      <c r="J17" s="6" t="s">
        <v>131</v>
      </c>
      <c r="K17" s="9"/>
      <c r="L17" s="9"/>
      <c r="M17" s="3" t="s">
        <v>123</v>
      </c>
      <c r="N17" s="13" t="s">
        <v>108</v>
      </c>
      <c r="O17" s="8" t="s">
        <v>60</v>
      </c>
    </row>
    <row r="18" spans="1:15" ht="45" hidden="1" customHeight="1" x14ac:dyDescent="0.3">
      <c r="A18" s="40">
        <v>15</v>
      </c>
      <c r="B18" s="30" t="s">
        <v>11</v>
      </c>
      <c r="C18" s="30" t="s">
        <v>168</v>
      </c>
      <c r="D18" s="31" t="s">
        <v>229</v>
      </c>
      <c r="E18" s="32">
        <v>3</v>
      </c>
      <c r="F18" s="30" t="s">
        <v>206</v>
      </c>
      <c r="G18" s="30"/>
      <c r="H18" s="33" t="s">
        <v>268</v>
      </c>
      <c r="I18" s="33" t="s">
        <v>271</v>
      </c>
      <c r="J18" s="31" t="s">
        <v>231</v>
      </c>
      <c r="K18" s="35"/>
      <c r="L18" s="35"/>
      <c r="M18" s="36"/>
      <c r="N18" s="71" t="s">
        <v>49</v>
      </c>
      <c r="O18" s="69" t="s">
        <v>59</v>
      </c>
    </row>
    <row r="19" spans="1:15" ht="48" x14ac:dyDescent="0.3">
      <c r="A19" s="40">
        <v>16</v>
      </c>
      <c r="B19" s="30" t="s">
        <v>11</v>
      </c>
      <c r="C19" s="30" t="s">
        <v>168</v>
      </c>
      <c r="D19" s="31" t="s">
        <v>144</v>
      </c>
      <c r="E19" s="32">
        <v>5</v>
      </c>
      <c r="F19" s="30" t="s">
        <v>206</v>
      </c>
      <c r="G19" s="30"/>
      <c r="H19" s="33" t="s">
        <v>266</v>
      </c>
      <c r="I19" s="33" t="s">
        <v>276</v>
      </c>
      <c r="J19" s="35"/>
      <c r="K19" s="31" t="s">
        <v>230</v>
      </c>
      <c r="L19" s="35"/>
      <c r="M19" s="36"/>
      <c r="N19" s="72"/>
      <c r="O19" s="70"/>
    </row>
    <row r="20" spans="1:15" hidden="1" x14ac:dyDescent="0.3">
      <c r="A20" s="13">
        <v>17</v>
      </c>
      <c r="B20" s="14" t="s">
        <v>11</v>
      </c>
      <c r="C20" s="14" t="s">
        <v>167</v>
      </c>
      <c r="D20" s="2" t="s">
        <v>132</v>
      </c>
      <c r="E20" s="14" t="s">
        <v>50</v>
      </c>
      <c r="F20" s="14" t="s">
        <v>50</v>
      </c>
      <c r="J20" s="3" t="s">
        <v>52</v>
      </c>
      <c r="K20" s="3" t="s">
        <v>145</v>
      </c>
    </row>
    <row r="21" spans="1:15" ht="36" x14ac:dyDescent="0.3">
      <c r="A21" s="40">
        <v>18</v>
      </c>
      <c r="B21" s="30" t="s">
        <v>11</v>
      </c>
      <c r="C21" s="30" t="s">
        <v>0</v>
      </c>
      <c r="D21" s="31" t="s">
        <v>55</v>
      </c>
      <c r="E21" s="32">
        <v>9</v>
      </c>
      <c r="F21" s="30" t="s">
        <v>198</v>
      </c>
      <c r="G21" s="30" t="s">
        <v>227</v>
      </c>
      <c r="H21" s="33" t="s">
        <v>266</v>
      </c>
      <c r="I21" s="33" t="s">
        <v>276</v>
      </c>
      <c r="J21" s="39" t="s">
        <v>127</v>
      </c>
      <c r="K21" s="41" t="s">
        <v>146</v>
      </c>
      <c r="L21" s="41"/>
      <c r="M21" s="38" t="s">
        <v>124</v>
      </c>
      <c r="N21" s="37"/>
      <c r="O21" s="30"/>
    </row>
    <row r="22" spans="1:15" ht="33" customHeight="1" x14ac:dyDescent="0.3">
      <c r="A22" s="40">
        <v>19</v>
      </c>
      <c r="B22" s="30" t="s">
        <v>259</v>
      </c>
      <c r="C22" s="69" t="s">
        <v>168</v>
      </c>
      <c r="D22" s="31" t="s">
        <v>14</v>
      </c>
      <c r="E22" s="32">
        <v>2</v>
      </c>
      <c r="F22" s="30" t="s">
        <v>184</v>
      </c>
      <c r="G22" s="30"/>
      <c r="H22" s="33" t="s">
        <v>266</v>
      </c>
      <c r="I22" s="33" t="s">
        <v>285</v>
      </c>
      <c r="J22" s="35" t="s">
        <v>68</v>
      </c>
      <c r="K22" s="35"/>
      <c r="L22" s="35"/>
      <c r="M22" s="36"/>
      <c r="N22" s="37" t="s">
        <v>49</v>
      </c>
      <c r="O22" s="30" t="s">
        <v>60</v>
      </c>
    </row>
    <row r="23" spans="1:15" ht="36" x14ac:dyDescent="0.3">
      <c r="A23" s="40">
        <v>20</v>
      </c>
      <c r="B23" s="30" t="s">
        <v>259</v>
      </c>
      <c r="C23" s="70"/>
      <c r="D23" s="31" t="s">
        <v>15</v>
      </c>
      <c r="E23" s="32">
        <v>4</v>
      </c>
      <c r="F23" s="30" t="s">
        <v>184</v>
      </c>
      <c r="G23" s="30"/>
      <c r="H23" s="33" t="s">
        <v>266</v>
      </c>
      <c r="I23" s="33" t="s">
        <v>285</v>
      </c>
      <c r="J23" s="35" t="s">
        <v>4</v>
      </c>
      <c r="K23" s="35" t="s">
        <v>199</v>
      </c>
      <c r="L23" s="35"/>
      <c r="M23" s="36"/>
      <c r="N23" s="37" t="s">
        <v>49</v>
      </c>
      <c r="O23" s="30" t="s">
        <v>59</v>
      </c>
    </row>
    <row r="24" spans="1:15" ht="108" x14ac:dyDescent="0.3">
      <c r="A24" s="43">
        <v>21</v>
      </c>
      <c r="B24" s="30" t="s">
        <v>261</v>
      </c>
      <c r="C24" s="30" t="s">
        <v>168</v>
      </c>
      <c r="D24" s="31" t="s">
        <v>38</v>
      </c>
      <c r="E24" s="32">
        <v>5</v>
      </c>
      <c r="F24" s="30" t="s">
        <v>198</v>
      </c>
      <c r="G24" s="30"/>
      <c r="H24" s="33" t="s">
        <v>266</v>
      </c>
      <c r="I24" s="33" t="s">
        <v>272</v>
      </c>
      <c r="J24" s="31" t="s">
        <v>39</v>
      </c>
      <c r="K24" s="31" t="s">
        <v>174</v>
      </c>
      <c r="L24" s="31" t="s">
        <v>207</v>
      </c>
      <c r="M24" s="36"/>
      <c r="N24" s="37" t="s">
        <v>49</v>
      </c>
      <c r="O24" s="30" t="s">
        <v>59</v>
      </c>
    </row>
    <row r="25" spans="1:15" ht="61.5" x14ac:dyDescent="0.3">
      <c r="A25" s="29">
        <v>22</v>
      </c>
      <c r="B25" s="30" t="s">
        <v>261</v>
      </c>
      <c r="C25" s="30" t="s">
        <v>168</v>
      </c>
      <c r="D25" s="31" t="s">
        <v>208</v>
      </c>
      <c r="E25" s="32">
        <v>5</v>
      </c>
      <c r="F25" s="30" t="s">
        <v>198</v>
      </c>
      <c r="G25" s="30"/>
      <c r="H25" s="33" t="s">
        <v>266</v>
      </c>
      <c r="I25" s="33" t="s">
        <v>272</v>
      </c>
      <c r="J25" s="35" t="s">
        <v>69</v>
      </c>
      <c r="K25" s="35" t="s">
        <v>232</v>
      </c>
      <c r="L25" s="35"/>
      <c r="M25" s="36"/>
      <c r="N25" s="37" t="s">
        <v>74</v>
      </c>
      <c r="O25" s="30" t="s">
        <v>60</v>
      </c>
    </row>
    <row r="26" spans="1:15" ht="29.45" hidden="1" customHeight="1" x14ac:dyDescent="0.3">
      <c r="A26" s="40">
        <v>23</v>
      </c>
      <c r="B26" s="30" t="s">
        <v>261</v>
      </c>
      <c r="C26" s="30" t="s">
        <v>168</v>
      </c>
      <c r="D26" s="31" t="s">
        <v>16</v>
      </c>
      <c r="E26" s="32">
        <v>4</v>
      </c>
      <c r="F26" s="30" t="s">
        <v>184</v>
      </c>
      <c r="G26" s="30"/>
      <c r="H26" s="33" t="s">
        <v>268</v>
      </c>
      <c r="I26" s="33" t="s">
        <v>272</v>
      </c>
      <c r="J26" s="35" t="s">
        <v>46</v>
      </c>
      <c r="K26" s="35" t="s">
        <v>175</v>
      </c>
      <c r="L26" s="35"/>
      <c r="M26" s="36"/>
      <c r="N26" s="37" t="s">
        <v>49</v>
      </c>
      <c r="O26" s="30" t="s">
        <v>59</v>
      </c>
    </row>
    <row r="27" spans="1:15" ht="25.15" customHeight="1" x14ac:dyDescent="0.3">
      <c r="A27" s="40">
        <v>24</v>
      </c>
      <c r="B27" s="30" t="s">
        <v>17</v>
      </c>
      <c r="C27" s="30" t="s">
        <v>168</v>
      </c>
      <c r="D27" s="31" t="s">
        <v>18</v>
      </c>
      <c r="E27" s="32">
        <v>5</v>
      </c>
      <c r="F27" s="30" t="s">
        <v>184</v>
      </c>
      <c r="G27" s="30"/>
      <c r="H27" s="33" t="s">
        <v>266</v>
      </c>
      <c r="I27" s="33" t="s">
        <v>270</v>
      </c>
      <c r="J27" s="35" t="s">
        <v>70</v>
      </c>
      <c r="K27" s="35"/>
      <c r="L27" s="35"/>
      <c r="M27" s="36"/>
      <c r="N27" s="37" t="s">
        <v>49</v>
      </c>
      <c r="O27" s="30" t="s">
        <v>59</v>
      </c>
    </row>
    <row r="28" spans="1:15" ht="24" x14ac:dyDescent="0.3">
      <c r="A28" s="29">
        <v>25</v>
      </c>
      <c r="B28" s="30" t="s">
        <v>17</v>
      </c>
      <c r="C28" s="30" t="s">
        <v>168</v>
      </c>
      <c r="D28" s="31" t="s">
        <v>202</v>
      </c>
      <c r="E28" s="32">
        <v>2</v>
      </c>
      <c r="F28" s="30" t="s">
        <v>184</v>
      </c>
      <c r="G28" s="30"/>
      <c r="H28" s="33" t="s">
        <v>266</v>
      </c>
      <c r="I28" s="33" t="s">
        <v>270</v>
      </c>
      <c r="J28" s="35" t="s">
        <v>233</v>
      </c>
      <c r="K28" s="35"/>
      <c r="L28" s="35"/>
      <c r="M28" s="36"/>
      <c r="N28" s="37" t="s">
        <v>74</v>
      </c>
      <c r="O28" s="30" t="s">
        <v>60</v>
      </c>
    </row>
    <row r="29" spans="1:15" ht="36" x14ac:dyDescent="0.3">
      <c r="A29" s="29">
        <v>26</v>
      </c>
      <c r="B29" s="30" t="s">
        <v>17</v>
      </c>
      <c r="C29" s="30" t="s">
        <v>168</v>
      </c>
      <c r="D29" s="31" t="s">
        <v>150</v>
      </c>
      <c r="E29" s="32">
        <v>5</v>
      </c>
      <c r="F29" s="30" t="s">
        <v>184</v>
      </c>
      <c r="G29" s="30"/>
      <c r="H29" s="33" t="s">
        <v>266</v>
      </c>
      <c r="I29" s="33" t="s">
        <v>270</v>
      </c>
      <c r="J29" s="35" t="s">
        <v>200</v>
      </c>
      <c r="K29" s="44" t="s">
        <v>201</v>
      </c>
      <c r="L29" s="35"/>
      <c r="M29" s="38" t="s">
        <v>151</v>
      </c>
      <c r="N29" s="37" t="s">
        <v>49</v>
      </c>
      <c r="O29" s="30" t="s">
        <v>59</v>
      </c>
    </row>
    <row r="30" spans="1:15" ht="24" hidden="1" x14ac:dyDescent="0.3">
      <c r="A30" s="13">
        <v>27</v>
      </c>
      <c r="B30" s="14" t="s">
        <v>17</v>
      </c>
      <c r="C30" s="14" t="s">
        <v>167</v>
      </c>
      <c r="D30" s="2" t="s">
        <v>40</v>
      </c>
      <c r="E30" s="14" t="s">
        <v>48</v>
      </c>
      <c r="F30" s="14" t="s">
        <v>48</v>
      </c>
    </row>
    <row r="31" spans="1:15" ht="24" x14ac:dyDescent="0.3">
      <c r="A31" s="40">
        <v>28</v>
      </c>
      <c r="B31" s="30" t="s">
        <v>17</v>
      </c>
      <c r="C31" s="30" t="s">
        <v>168</v>
      </c>
      <c r="D31" s="31" t="s">
        <v>152</v>
      </c>
      <c r="E31" s="32">
        <v>2</v>
      </c>
      <c r="F31" s="30" t="s">
        <v>184</v>
      </c>
      <c r="G31" s="30"/>
      <c r="H31" s="33" t="s">
        <v>266</v>
      </c>
      <c r="I31" s="33" t="s">
        <v>270</v>
      </c>
      <c r="J31" s="35" t="s">
        <v>75</v>
      </c>
      <c r="K31" s="35"/>
      <c r="L31" s="35"/>
      <c r="M31" s="36"/>
      <c r="N31" s="37" t="s">
        <v>49</v>
      </c>
      <c r="O31" s="30" t="s">
        <v>60</v>
      </c>
    </row>
    <row r="32" spans="1:15" ht="36" hidden="1" x14ac:dyDescent="0.3">
      <c r="A32" s="13">
        <v>29</v>
      </c>
      <c r="B32" s="14" t="s">
        <v>17</v>
      </c>
      <c r="C32" s="14" t="s">
        <v>167</v>
      </c>
      <c r="D32" s="2" t="s">
        <v>41</v>
      </c>
      <c r="E32" s="15" t="s">
        <v>109</v>
      </c>
      <c r="F32" s="14" t="s">
        <v>187</v>
      </c>
      <c r="J32" s="3" t="s">
        <v>117</v>
      </c>
      <c r="M32" s="2" t="s">
        <v>116</v>
      </c>
    </row>
    <row r="33" spans="1:15" ht="48" hidden="1" x14ac:dyDescent="0.3">
      <c r="A33" s="13">
        <v>30</v>
      </c>
      <c r="B33" s="14" t="s">
        <v>19</v>
      </c>
      <c r="C33" s="14" t="s">
        <v>167</v>
      </c>
      <c r="D33" s="2" t="s">
        <v>71</v>
      </c>
      <c r="E33" s="15" t="s">
        <v>109</v>
      </c>
      <c r="F33" s="14" t="s">
        <v>187</v>
      </c>
      <c r="J33" s="9" t="s">
        <v>118</v>
      </c>
      <c r="K33" s="9"/>
      <c r="L33" s="9"/>
      <c r="M33" s="2" t="s">
        <v>115</v>
      </c>
    </row>
    <row r="34" spans="1:15" ht="36" x14ac:dyDescent="0.3">
      <c r="A34" s="43">
        <v>31</v>
      </c>
      <c r="B34" s="30" t="s">
        <v>19</v>
      </c>
      <c r="C34" s="30" t="s">
        <v>168</v>
      </c>
      <c r="D34" s="31" t="s">
        <v>76</v>
      </c>
      <c r="E34" s="32">
        <v>2</v>
      </c>
      <c r="F34" s="30" t="s">
        <v>184</v>
      </c>
      <c r="G34" s="30"/>
      <c r="H34" s="33" t="s">
        <v>266</v>
      </c>
      <c r="I34" s="33" t="s">
        <v>280</v>
      </c>
      <c r="J34" s="35" t="s">
        <v>77</v>
      </c>
      <c r="K34" s="35" t="s">
        <v>221</v>
      </c>
      <c r="L34" s="35"/>
      <c r="M34" s="36"/>
      <c r="N34" s="37" t="s">
        <v>49</v>
      </c>
      <c r="O34" s="30" t="s">
        <v>60</v>
      </c>
    </row>
    <row r="35" spans="1:15" hidden="1" x14ac:dyDescent="0.3">
      <c r="A35" s="13">
        <v>32</v>
      </c>
      <c r="B35" s="14" t="s">
        <v>19</v>
      </c>
      <c r="C35" s="14" t="s">
        <v>168</v>
      </c>
      <c r="D35" s="2" t="s">
        <v>178</v>
      </c>
      <c r="E35" s="14">
        <v>2</v>
      </c>
      <c r="F35" s="14" t="s">
        <v>86</v>
      </c>
      <c r="K35" s="3" t="s">
        <v>180</v>
      </c>
      <c r="N35" s="14" t="s">
        <v>49</v>
      </c>
      <c r="O35" s="4" t="s">
        <v>60</v>
      </c>
    </row>
    <row r="36" spans="1:15" ht="24" hidden="1" x14ac:dyDescent="0.3">
      <c r="A36" s="13">
        <v>33</v>
      </c>
      <c r="B36" s="14" t="s">
        <v>19</v>
      </c>
      <c r="C36" s="14" t="s">
        <v>168</v>
      </c>
      <c r="D36" s="2" t="s">
        <v>20</v>
      </c>
      <c r="E36" s="14">
        <v>2</v>
      </c>
      <c r="F36" s="14" t="s">
        <v>86</v>
      </c>
      <c r="J36" s="3" t="s">
        <v>78</v>
      </c>
      <c r="K36" s="3" t="s">
        <v>180</v>
      </c>
      <c r="N36" s="14" t="s">
        <v>49</v>
      </c>
      <c r="O36" s="4" t="s">
        <v>60</v>
      </c>
    </row>
    <row r="37" spans="1:15" ht="24" hidden="1" x14ac:dyDescent="0.3">
      <c r="A37" s="13">
        <v>34</v>
      </c>
      <c r="B37" s="14" t="s">
        <v>19</v>
      </c>
      <c r="C37" s="14" t="s">
        <v>168</v>
      </c>
      <c r="D37" s="2" t="s">
        <v>21</v>
      </c>
      <c r="E37" s="14" t="s">
        <v>48</v>
      </c>
      <c r="F37" s="14" t="s">
        <v>48</v>
      </c>
      <c r="K37" s="3" t="s">
        <v>179</v>
      </c>
    </row>
    <row r="38" spans="1:15" ht="24" hidden="1" x14ac:dyDescent="0.3">
      <c r="A38" s="13">
        <v>35</v>
      </c>
      <c r="B38" s="14" t="s">
        <v>19</v>
      </c>
      <c r="C38" s="14" t="s">
        <v>168</v>
      </c>
      <c r="D38" s="2" t="s">
        <v>79</v>
      </c>
      <c r="E38" s="14" t="s">
        <v>86</v>
      </c>
      <c r="F38" s="14" t="s">
        <v>86</v>
      </c>
      <c r="J38" s="3" t="s">
        <v>80</v>
      </c>
      <c r="K38" s="3" t="s">
        <v>180</v>
      </c>
      <c r="M38" s="2" t="s">
        <v>125</v>
      </c>
    </row>
    <row r="39" spans="1:15" hidden="1" x14ac:dyDescent="0.3">
      <c r="A39" s="8">
        <v>36</v>
      </c>
      <c r="B39" s="4" t="s">
        <v>19</v>
      </c>
      <c r="C39" s="4" t="s">
        <v>168</v>
      </c>
      <c r="D39" s="2" t="s">
        <v>61</v>
      </c>
      <c r="E39" s="4">
        <v>0</v>
      </c>
      <c r="F39" s="4" t="s">
        <v>181</v>
      </c>
      <c r="G39" s="4"/>
      <c r="H39" s="4"/>
      <c r="I39" s="4"/>
      <c r="J39" s="3" t="s">
        <v>81</v>
      </c>
      <c r="K39" s="3" t="s">
        <v>240</v>
      </c>
      <c r="N39" s="14" t="s">
        <v>49</v>
      </c>
      <c r="O39" s="4" t="s">
        <v>60</v>
      </c>
    </row>
    <row r="40" spans="1:15" ht="46.15" customHeight="1" x14ac:dyDescent="0.3">
      <c r="A40" s="43">
        <v>37</v>
      </c>
      <c r="B40" s="30" t="s">
        <v>19</v>
      </c>
      <c r="C40" s="30" t="s">
        <v>168</v>
      </c>
      <c r="D40" s="31" t="s">
        <v>82</v>
      </c>
      <c r="E40" s="32">
        <v>2</v>
      </c>
      <c r="F40" s="30" t="s">
        <v>184</v>
      </c>
      <c r="G40" s="30"/>
      <c r="H40" s="33" t="s">
        <v>266</v>
      </c>
      <c r="I40" s="33" t="s">
        <v>280</v>
      </c>
      <c r="J40" s="35" t="s">
        <v>92</v>
      </c>
      <c r="K40" s="35"/>
      <c r="L40" s="35"/>
      <c r="M40" s="36"/>
      <c r="N40" s="37" t="s">
        <v>49</v>
      </c>
      <c r="O40" s="30" t="s">
        <v>60</v>
      </c>
    </row>
    <row r="41" spans="1:15" ht="24" hidden="1" x14ac:dyDescent="0.3">
      <c r="A41" s="67">
        <v>38</v>
      </c>
      <c r="B41" s="65" t="s">
        <v>264</v>
      </c>
      <c r="C41" s="14" t="s">
        <v>168</v>
      </c>
      <c r="D41" s="2" t="s">
        <v>22</v>
      </c>
      <c r="E41" s="14"/>
      <c r="F41" s="17" t="s">
        <v>86</v>
      </c>
      <c r="G41" s="17"/>
      <c r="H41" s="17"/>
      <c r="I41" s="17"/>
      <c r="J41" s="9" t="s">
        <v>110</v>
      </c>
      <c r="K41" s="11" t="s">
        <v>180</v>
      </c>
      <c r="L41" s="11"/>
      <c r="M41" s="2" t="s">
        <v>119</v>
      </c>
      <c r="N41" s="65" t="s">
        <v>114</v>
      </c>
      <c r="O41" s="73" t="s">
        <v>59</v>
      </c>
    </row>
    <row r="42" spans="1:15" ht="48" hidden="1" x14ac:dyDescent="0.3">
      <c r="A42" s="68"/>
      <c r="B42" s="66"/>
      <c r="C42" s="37" t="s">
        <v>168</v>
      </c>
      <c r="D42" s="31" t="s">
        <v>111</v>
      </c>
      <c r="E42" s="32">
        <v>2</v>
      </c>
      <c r="F42" s="37" t="s">
        <v>196</v>
      </c>
      <c r="G42" s="37"/>
      <c r="H42" s="46" t="s">
        <v>268</v>
      </c>
      <c r="I42" s="46" t="s">
        <v>282</v>
      </c>
      <c r="J42" s="39" t="s">
        <v>234</v>
      </c>
      <c r="K42" s="39"/>
      <c r="L42" s="39"/>
      <c r="M42" s="36"/>
      <c r="N42" s="64"/>
      <c r="O42" s="74"/>
    </row>
    <row r="43" spans="1:15" ht="24" hidden="1" x14ac:dyDescent="0.3">
      <c r="A43" s="13">
        <v>39</v>
      </c>
      <c r="B43" s="14" t="s">
        <v>19</v>
      </c>
      <c r="C43" s="14" t="s">
        <v>167</v>
      </c>
      <c r="D43" s="2" t="s">
        <v>23</v>
      </c>
      <c r="E43" s="14" t="s">
        <v>100</v>
      </c>
      <c r="F43" s="14" t="s">
        <v>100</v>
      </c>
      <c r="J43" s="3" t="s">
        <v>101</v>
      </c>
    </row>
    <row r="44" spans="1:15" ht="59.45" customHeight="1" x14ac:dyDescent="0.3">
      <c r="A44" s="47">
        <v>40</v>
      </c>
      <c r="B44" s="37" t="s">
        <v>264</v>
      </c>
      <c r="C44" s="37" t="s">
        <v>168</v>
      </c>
      <c r="D44" s="31" t="s">
        <v>235</v>
      </c>
      <c r="E44" s="32">
        <v>3</v>
      </c>
      <c r="F44" s="37" t="s">
        <v>184</v>
      </c>
      <c r="G44" s="37"/>
      <c r="H44" s="46" t="s">
        <v>266</v>
      </c>
      <c r="I44" s="46" t="s">
        <v>280</v>
      </c>
      <c r="J44" s="39" t="s">
        <v>254</v>
      </c>
      <c r="K44" s="35" t="s">
        <v>236</v>
      </c>
      <c r="L44" s="39"/>
      <c r="M44" s="48" t="s">
        <v>126</v>
      </c>
      <c r="N44" s="37"/>
      <c r="O44" s="30"/>
    </row>
    <row r="45" spans="1:15" ht="23.45" customHeight="1" x14ac:dyDescent="0.3">
      <c r="A45" s="47">
        <v>41</v>
      </c>
      <c r="B45" s="37" t="s">
        <v>24</v>
      </c>
      <c r="C45" s="37" t="s">
        <v>168</v>
      </c>
      <c r="D45" s="31" t="s">
        <v>72</v>
      </c>
      <c r="E45" s="32">
        <v>1</v>
      </c>
      <c r="F45" s="37" t="s">
        <v>184</v>
      </c>
      <c r="G45" s="37"/>
      <c r="H45" s="46" t="s">
        <v>273</v>
      </c>
      <c r="I45" s="46" t="s">
        <v>274</v>
      </c>
      <c r="J45" s="31" t="s">
        <v>83</v>
      </c>
      <c r="K45" s="31"/>
      <c r="L45" s="31"/>
      <c r="M45" s="36"/>
      <c r="N45" s="37" t="s">
        <v>49</v>
      </c>
      <c r="O45" s="30" t="s">
        <v>60</v>
      </c>
    </row>
    <row r="46" spans="1:15" ht="60" x14ac:dyDescent="0.3">
      <c r="A46" s="47">
        <v>42</v>
      </c>
      <c r="B46" s="37" t="s">
        <v>24</v>
      </c>
      <c r="C46" s="37" t="s">
        <v>168</v>
      </c>
      <c r="D46" s="31" t="s">
        <v>237</v>
      </c>
      <c r="E46" s="32">
        <v>3</v>
      </c>
      <c r="F46" s="37" t="s">
        <v>184</v>
      </c>
      <c r="G46" s="37"/>
      <c r="H46" s="46" t="s">
        <v>266</v>
      </c>
      <c r="I46" s="46" t="s">
        <v>274</v>
      </c>
      <c r="J46" s="35"/>
      <c r="K46" s="35" t="s">
        <v>238</v>
      </c>
      <c r="L46" s="35"/>
      <c r="M46" s="36"/>
      <c r="N46" s="37" t="s">
        <v>49</v>
      </c>
      <c r="O46" s="30" t="s">
        <v>60</v>
      </c>
    </row>
    <row r="47" spans="1:15" x14ac:dyDescent="0.3">
      <c r="A47" s="47">
        <v>43</v>
      </c>
      <c r="B47" s="37" t="s">
        <v>24</v>
      </c>
      <c r="C47" s="37" t="s">
        <v>168</v>
      </c>
      <c r="D47" s="31" t="s">
        <v>209</v>
      </c>
      <c r="E47" s="32">
        <v>3</v>
      </c>
      <c r="F47" s="37" t="s">
        <v>184</v>
      </c>
      <c r="G47" s="37"/>
      <c r="H47" s="46" t="s">
        <v>266</v>
      </c>
      <c r="I47" s="46" t="s">
        <v>274</v>
      </c>
      <c r="J47" s="35" t="s">
        <v>93</v>
      </c>
      <c r="K47" s="35"/>
      <c r="L47" s="35"/>
      <c r="M47" s="36"/>
      <c r="N47" s="37" t="s">
        <v>49</v>
      </c>
      <c r="O47" s="30" t="s">
        <v>59</v>
      </c>
    </row>
    <row r="48" spans="1:15" hidden="1" x14ac:dyDescent="0.3">
      <c r="A48" s="13">
        <v>44</v>
      </c>
      <c r="B48" s="14" t="s">
        <v>24</v>
      </c>
      <c r="C48" s="14" t="s">
        <v>167</v>
      </c>
      <c r="D48" s="2" t="s">
        <v>25</v>
      </c>
      <c r="E48" s="14" t="s">
        <v>94</v>
      </c>
      <c r="F48" s="14" t="s">
        <v>94</v>
      </c>
      <c r="J48" s="6" t="s">
        <v>98</v>
      </c>
      <c r="K48" s="6"/>
      <c r="L48" s="6"/>
    </row>
    <row r="49" spans="1:15" ht="36" x14ac:dyDescent="0.3">
      <c r="A49" s="49">
        <v>45</v>
      </c>
      <c r="B49" s="37" t="s">
        <v>26</v>
      </c>
      <c r="C49" s="37" t="s">
        <v>168</v>
      </c>
      <c r="D49" s="31" t="s">
        <v>210</v>
      </c>
      <c r="E49" s="32">
        <v>2</v>
      </c>
      <c r="F49" s="37" t="s">
        <v>184</v>
      </c>
      <c r="G49" s="37"/>
      <c r="H49" s="46" t="s">
        <v>266</v>
      </c>
      <c r="I49" s="46" t="s">
        <v>281</v>
      </c>
      <c r="J49" s="35" t="s">
        <v>84</v>
      </c>
      <c r="K49" s="35" t="s">
        <v>239</v>
      </c>
      <c r="L49" s="35"/>
      <c r="M49" s="36"/>
      <c r="N49" s="37"/>
      <c r="O49" s="30"/>
    </row>
    <row r="50" spans="1:15" ht="36" hidden="1" x14ac:dyDescent="0.3">
      <c r="A50" s="18">
        <v>46</v>
      </c>
      <c r="B50" s="14" t="s">
        <v>26</v>
      </c>
      <c r="C50" s="14" t="s">
        <v>168</v>
      </c>
      <c r="D50" s="2" t="s">
        <v>253</v>
      </c>
      <c r="E50" s="14">
        <v>0</v>
      </c>
      <c r="F50" s="14" t="s">
        <v>181</v>
      </c>
      <c r="J50" s="3" t="s">
        <v>85</v>
      </c>
      <c r="N50" s="14" t="s">
        <v>49</v>
      </c>
      <c r="O50" s="4" t="s">
        <v>59</v>
      </c>
    </row>
    <row r="51" spans="1:15" ht="24" hidden="1" x14ac:dyDescent="0.3">
      <c r="A51" s="13">
        <v>47</v>
      </c>
      <c r="B51" s="14" t="s">
        <v>26</v>
      </c>
      <c r="C51" s="14" t="s">
        <v>168</v>
      </c>
      <c r="D51" s="2" t="s">
        <v>42</v>
      </c>
      <c r="E51" s="14">
        <v>1</v>
      </c>
      <c r="F51" s="14" t="s">
        <v>86</v>
      </c>
      <c r="K51" s="3" t="s">
        <v>137</v>
      </c>
      <c r="N51" s="14" t="s">
        <v>49</v>
      </c>
      <c r="O51" s="4" t="s">
        <v>60</v>
      </c>
    </row>
    <row r="52" spans="1:15" ht="60" x14ac:dyDescent="0.3">
      <c r="A52" s="50">
        <v>48</v>
      </c>
      <c r="B52" s="37" t="s">
        <v>27</v>
      </c>
      <c r="C52" s="37" t="s">
        <v>168</v>
      </c>
      <c r="D52" s="31" t="s">
        <v>158</v>
      </c>
      <c r="E52" s="32">
        <v>5</v>
      </c>
      <c r="F52" s="37" t="s">
        <v>184</v>
      </c>
      <c r="G52" s="37"/>
      <c r="H52" s="46" t="s">
        <v>266</v>
      </c>
      <c r="I52" s="46" t="s">
        <v>283</v>
      </c>
      <c r="J52" s="35" t="s">
        <v>122</v>
      </c>
      <c r="K52" s="35"/>
      <c r="L52" s="35"/>
      <c r="M52" s="31" t="s">
        <v>121</v>
      </c>
      <c r="N52" s="37" t="s">
        <v>113</v>
      </c>
      <c r="O52" s="30"/>
    </row>
    <row r="53" spans="1:15" ht="48" hidden="1" x14ac:dyDescent="0.3">
      <c r="A53" s="50">
        <v>49</v>
      </c>
      <c r="B53" s="37" t="s">
        <v>27</v>
      </c>
      <c r="C53" s="37" t="s">
        <v>168</v>
      </c>
      <c r="D53" s="31" t="s">
        <v>28</v>
      </c>
      <c r="E53" s="32">
        <v>6</v>
      </c>
      <c r="F53" s="37" t="s">
        <v>184</v>
      </c>
      <c r="G53" s="37"/>
      <c r="H53" s="46" t="s">
        <v>268</v>
      </c>
      <c r="I53" s="46" t="s">
        <v>283</v>
      </c>
      <c r="J53" s="39" t="s">
        <v>112</v>
      </c>
      <c r="K53" s="41" t="s">
        <v>242</v>
      </c>
      <c r="L53" s="41"/>
      <c r="M53" s="31" t="s">
        <v>120</v>
      </c>
      <c r="N53" s="37" t="s">
        <v>49</v>
      </c>
      <c r="O53" s="30" t="s">
        <v>60</v>
      </c>
    </row>
    <row r="54" spans="1:15" ht="60" hidden="1" x14ac:dyDescent="0.3">
      <c r="A54" s="13">
        <v>50</v>
      </c>
      <c r="B54" s="14" t="s">
        <v>27</v>
      </c>
      <c r="C54" s="14" t="s">
        <v>168</v>
      </c>
      <c r="D54" s="2" t="s">
        <v>159</v>
      </c>
      <c r="E54" s="14">
        <v>1</v>
      </c>
      <c r="F54" s="14" t="s">
        <v>185</v>
      </c>
      <c r="K54" s="12" t="s">
        <v>160</v>
      </c>
      <c r="L54" s="12"/>
      <c r="O54" s="4" t="s">
        <v>60</v>
      </c>
    </row>
    <row r="55" spans="1:15" ht="36" hidden="1" x14ac:dyDescent="0.3">
      <c r="A55" s="13">
        <v>51</v>
      </c>
      <c r="B55" s="14" t="s">
        <v>27</v>
      </c>
      <c r="C55" s="14" t="s">
        <v>0</v>
      </c>
      <c r="D55" s="2" t="s">
        <v>29</v>
      </c>
      <c r="E55" s="14" t="s">
        <v>100</v>
      </c>
      <c r="F55" s="14" t="s">
        <v>100</v>
      </c>
      <c r="J55" s="3" t="s">
        <v>99</v>
      </c>
      <c r="K55" s="3" t="s">
        <v>162</v>
      </c>
    </row>
    <row r="56" spans="1:15" hidden="1" x14ac:dyDescent="0.3">
      <c r="A56" s="13">
        <v>52</v>
      </c>
      <c r="B56" s="14" t="s">
        <v>27</v>
      </c>
      <c r="C56" s="14" t="s">
        <v>168</v>
      </c>
      <c r="D56" s="2" t="s">
        <v>161</v>
      </c>
      <c r="E56" s="14" t="s">
        <v>48</v>
      </c>
      <c r="F56" s="14" t="s">
        <v>185</v>
      </c>
      <c r="K56" s="12" t="s">
        <v>163</v>
      </c>
      <c r="L56" s="12"/>
    </row>
    <row r="57" spans="1:15" ht="48" x14ac:dyDescent="0.3">
      <c r="A57" s="51">
        <v>53</v>
      </c>
      <c r="B57" s="37" t="s">
        <v>27</v>
      </c>
      <c r="C57" s="37" t="s">
        <v>168</v>
      </c>
      <c r="D57" s="31" t="s">
        <v>30</v>
      </c>
      <c r="E57" s="32">
        <v>2</v>
      </c>
      <c r="F57" s="37" t="s">
        <v>184</v>
      </c>
      <c r="G57" s="37"/>
      <c r="H57" s="46" t="s">
        <v>266</v>
      </c>
      <c r="I57" s="46" t="s">
        <v>283</v>
      </c>
      <c r="J57" s="35" t="s">
        <v>241</v>
      </c>
      <c r="K57" s="35" t="s">
        <v>243</v>
      </c>
      <c r="L57" s="35"/>
      <c r="M57" s="36"/>
      <c r="N57" s="37" t="s">
        <v>49</v>
      </c>
      <c r="O57" s="30" t="s">
        <v>59</v>
      </c>
    </row>
    <row r="58" spans="1:15" ht="36" hidden="1" x14ac:dyDescent="0.3">
      <c r="A58" s="13">
        <v>54</v>
      </c>
      <c r="B58" s="14" t="s">
        <v>27</v>
      </c>
      <c r="C58" s="14" t="s">
        <v>0</v>
      </c>
      <c r="D58" s="2" t="s">
        <v>43</v>
      </c>
      <c r="E58" s="14">
        <v>1</v>
      </c>
      <c r="F58" s="14" t="s">
        <v>86</v>
      </c>
      <c r="J58" s="3" t="s">
        <v>96</v>
      </c>
      <c r="K58" s="3" t="s">
        <v>164</v>
      </c>
      <c r="N58" s="14" t="s">
        <v>49</v>
      </c>
      <c r="O58" s="4" t="s">
        <v>60</v>
      </c>
    </row>
    <row r="59" spans="1:15" hidden="1" x14ac:dyDescent="0.3">
      <c r="A59" s="13">
        <v>55</v>
      </c>
      <c r="B59" s="14" t="s">
        <v>31</v>
      </c>
      <c r="C59" s="14" t="s">
        <v>168</v>
      </c>
      <c r="D59" s="2" t="s">
        <v>32</v>
      </c>
      <c r="E59" s="14" t="s">
        <v>86</v>
      </c>
      <c r="F59" s="14" t="s">
        <v>86</v>
      </c>
    </row>
    <row r="60" spans="1:15" ht="24" hidden="1" x14ac:dyDescent="0.3">
      <c r="A60" s="13">
        <v>56</v>
      </c>
      <c r="B60" s="14" t="s">
        <v>31</v>
      </c>
      <c r="C60" s="14" t="s">
        <v>168</v>
      </c>
      <c r="D60" s="2" t="s">
        <v>156</v>
      </c>
      <c r="E60" s="14" t="s">
        <v>86</v>
      </c>
      <c r="F60" s="14" t="s">
        <v>86</v>
      </c>
    </row>
    <row r="61" spans="1:15" ht="72" x14ac:dyDescent="0.3">
      <c r="A61" s="51">
        <v>57</v>
      </c>
      <c r="B61" s="37" t="s">
        <v>33</v>
      </c>
      <c r="C61" s="37" t="s">
        <v>168</v>
      </c>
      <c r="D61" s="31" t="s">
        <v>53</v>
      </c>
      <c r="E61" s="32">
        <v>5</v>
      </c>
      <c r="F61" s="37" t="s">
        <v>184</v>
      </c>
      <c r="G61" s="37"/>
      <c r="H61" s="46" t="s">
        <v>266</v>
      </c>
      <c r="I61" s="46" t="s">
        <v>279</v>
      </c>
      <c r="J61" s="35" t="s">
        <v>87</v>
      </c>
      <c r="K61" s="35" t="s">
        <v>244</v>
      </c>
      <c r="L61" s="35"/>
      <c r="M61" s="36"/>
      <c r="N61" s="37" t="s">
        <v>49</v>
      </c>
      <c r="O61" s="30" t="s">
        <v>59</v>
      </c>
    </row>
    <row r="62" spans="1:15" ht="36" hidden="1" x14ac:dyDescent="0.3">
      <c r="A62" s="13">
        <v>58</v>
      </c>
      <c r="B62" s="14" t="s">
        <v>33</v>
      </c>
      <c r="C62" s="14" t="s">
        <v>168</v>
      </c>
      <c r="D62" s="2" t="s">
        <v>34</v>
      </c>
      <c r="E62" s="14">
        <v>2</v>
      </c>
      <c r="F62" s="14" t="s">
        <v>222</v>
      </c>
      <c r="J62" s="3" t="s">
        <v>88</v>
      </c>
      <c r="K62" s="3" t="s">
        <v>223</v>
      </c>
      <c r="N62" s="14" t="s">
        <v>49</v>
      </c>
      <c r="O62" s="4" t="s">
        <v>60</v>
      </c>
    </row>
    <row r="63" spans="1:15" ht="36" x14ac:dyDescent="0.3">
      <c r="A63" s="45">
        <v>59</v>
      </c>
      <c r="B63" s="37" t="s">
        <v>33</v>
      </c>
      <c r="C63" s="37" t="s">
        <v>168</v>
      </c>
      <c r="D63" s="31" t="s">
        <v>169</v>
      </c>
      <c r="E63" s="32">
        <v>3</v>
      </c>
      <c r="F63" s="37" t="s">
        <v>184</v>
      </c>
      <c r="G63" s="37"/>
      <c r="H63" s="46" t="s">
        <v>266</v>
      </c>
      <c r="I63" s="46" t="s">
        <v>279</v>
      </c>
      <c r="J63" s="35" t="s">
        <v>89</v>
      </c>
      <c r="K63" s="35" t="s">
        <v>170</v>
      </c>
      <c r="L63" s="35" t="s">
        <v>245</v>
      </c>
      <c r="M63" s="36"/>
      <c r="N63" s="37" t="s">
        <v>49</v>
      </c>
      <c r="O63" s="30" t="s">
        <v>59</v>
      </c>
    </row>
    <row r="64" spans="1:15" ht="60" x14ac:dyDescent="0.3">
      <c r="A64" s="45">
        <v>60</v>
      </c>
      <c r="B64" s="37" t="s">
        <v>33</v>
      </c>
      <c r="C64" s="37" t="s">
        <v>168</v>
      </c>
      <c r="D64" s="31" t="s">
        <v>35</v>
      </c>
      <c r="E64" s="32">
        <v>3</v>
      </c>
      <c r="F64" s="37" t="s">
        <v>184</v>
      </c>
      <c r="G64" s="37"/>
      <c r="H64" s="46" t="s">
        <v>266</v>
      </c>
      <c r="I64" s="46" t="s">
        <v>279</v>
      </c>
      <c r="J64" s="31" t="s">
        <v>95</v>
      </c>
      <c r="K64" s="31" t="s">
        <v>171</v>
      </c>
      <c r="L64" s="31"/>
      <c r="M64" s="36"/>
      <c r="N64" s="37" t="s">
        <v>49</v>
      </c>
      <c r="O64" s="30" t="s">
        <v>60</v>
      </c>
    </row>
    <row r="65" spans="1:15" hidden="1" x14ac:dyDescent="0.3">
      <c r="A65" s="13">
        <v>61</v>
      </c>
      <c r="B65" s="14" t="s">
        <v>33</v>
      </c>
      <c r="C65" s="14" t="s">
        <v>168</v>
      </c>
      <c r="D65" s="2" t="s">
        <v>36</v>
      </c>
      <c r="E65" s="14">
        <v>3</v>
      </c>
      <c r="F65" s="4" t="s">
        <v>172</v>
      </c>
      <c r="G65" s="4"/>
      <c r="H65" s="4"/>
      <c r="I65" s="4"/>
      <c r="J65" s="3" t="s">
        <v>90</v>
      </c>
      <c r="K65" s="3" t="s">
        <v>172</v>
      </c>
      <c r="N65" s="14" t="s">
        <v>49</v>
      </c>
      <c r="O65" s="4" t="s">
        <v>59</v>
      </c>
    </row>
    <row r="66" spans="1:15" ht="60" hidden="1" x14ac:dyDescent="0.3">
      <c r="A66" s="13">
        <v>62</v>
      </c>
      <c r="B66" s="14" t="s">
        <v>33</v>
      </c>
      <c r="C66" s="14" t="s">
        <v>168</v>
      </c>
      <c r="D66" s="2" t="s">
        <v>37</v>
      </c>
      <c r="E66" s="22">
        <v>4</v>
      </c>
      <c r="F66" s="14" t="s">
        <v>225</v>
      </c>
      <c r="J66" s="3" t="s">
        <v>91</v>
      </c>
      <c r="K66" s="3" t="s">
        <v>224</v>
      </c>
    </row>
    <row r="67" spans="1:15" ht="72" x14ac:dyDescent="0.3">
      <c r="A67" s="47">
        <v>63</v>
      </c>
      <c r="B67" s="37" t="s">
        <v>102</v>
      </c>
      <c r="C67" s="37" t="s">
        <v>168</v>
      </c>
      <c r="D67" s="52" t="s">
        <v>103</v>
      </c>
      <c r="E67" s="32">
        <v>2</v>
      </c>
      <c r="F67" s="37" t="s">
        <v>184</v>
      </c>
      <c r="G67" s="37"/>
      <c r="H67" s="46" t="s">
        <v>278</v>
      </c>
      <c r="I67" s="46" t="s">
        <v>279</v>
      </c>
      <c r="J67" s="35" t="s">
        <v>104</v>
      </c>
      <c r="K67" s="35" t="s">
        <v>173</v>
      </c>
      <c r="L67" s="35"/>
      <c r="M67" s="36"/>
      <c r="N67" s="37"/>
      <c r="O67" s="30"/>
    </row>
    <row r="68" spans="1:15" ht="120" x14ac:dyDescent="0.3">
      <c r="A68" s="49">
        <v>64</v>
      </c>
      <c r="B68" s="37" t="s">
        <v>11</v>
      </c>
      <c r="C68" s="37" t="s">
        <v>168</v>
      </c>
      <c r="D68" s="38" t="s">
        <v>213</v>
      </c>
      <c r="E68" s="32">
        <v>3</v>
      </c>
      <c r="F68" s="37" t="s">
        <v>184</v>
      </c>
      <c r="G68" s="37"/>
      <c r="H68" s="46" t="s">
        <v>266</v>
      </c>
      <c r="I68" s="46" t="s">
        <v>275</v>
      </c>
      <c r="J68" s="34" t="s">
        <v>220</v>
      </c>
      <c r="K68" s="35" t="s">
        <v>246</v>
      </c>
      <c r="L68" s="35"/>
      <c r="M68" s="36"/>
      <c r="N68" s="37"/>
      <c r="O68" s="30"/>
    </row>
    <row r="69" spans="1:15" ht="120" x14ac:dyDescent="0.3">
      <c r="A69" s="49" t="s">
        <v>284</v>
      </c>
      <c r="B69" s="37" t="s">
        <v>11</v>
      </c>
      <c r="C69" s="37" t="s">
        <v>168</v>
      </c>
      <c r="D69" s="38" t="s">
        <v>149</v>
      </c>
      <c r="E69" s="32">
        <v>5</v>
      </c>
      <c r="F69" s="37" t="s">
        <v>184</v>
      </c>
      <c r="G69" s="37" t="s">
        <v>227</v>
      </c>
      <c r="H69" s="46" t="s">
        <v>266</v>
      </c>
      <c r="I69" s="46" t="s">
        <v>286</v>
      </c>
      <c r="J69" s="34" t="s">
        <v>212</v>
      </c>
      <c r="K69" s="35" t="s">
        <v>247</v>
      </c>
      <c r="L69" s="35"/>
      <c r="M69" s="36"/>
      <c r="N69" s="37"/>
      <c r="O69" s="30"/>
    </row>
    <row r="70" spans="1:15" ht="24" x14ac:dyDescent="0.3">
      <c r="A70" s="49">
        <v>66</v>
      </c>
      <c r="B70" s="37" t="s">
        <v>11</v>
      </c>
      <c r="C70" s="37" t="s">
        <v>168</v>
      </c>
      <c r="D70" s="38" t="s">
        <v>147</v>
      </c>
      <c r="E70" s="32">
        <v>5</v>
      </c>
      <c r="F70" s="37" t="s">
        <v>184</v>
      </c>
      <c r="G70" s="37"/>
      <c r="H70" s="46" t="s">
        <v>266</v>
      </c>
      <c r="I70" s="46" t="s">
        <v>275</v>
      </c>
      <c r="J70" s="34" t="s">
        <v>211</v>
      </c>
      <c r="K70" s="35"/>
      <c r="L70" s="35"/>
      <c r="M70" s="36"/>
      <c r="N70" s="37"/>
      <c r="O70" s="30"/>
    </row>
    <row r="71" spans="1:15" ht="24" x14ac:dyDescent="0.3">
      <c r="A71" s="49">
        <v>67</v>
      </c>
      <c r="B71" s="37" t="s">
        <v>11</v>
      </c>
      <c r="C71" s="37" t="s">
        <v>168</v>
      </c>
      <c r="D71" s="38" t="s">
        <v>148</v>
      </c>
      <c r="E71" s="32">
        <v>10</v>
      </c>
      <c r="F71" s="37" t="s">
        <v>198</v>
      </c>
      <c r="G71" s="37" t="s">
        <v>227</v>
      </c>
      <c r="H71" s="46" t="s">
        <v>266</v>
      </c>
      <c r="I71" s="46" t="s">
        <v>275</v>
      </c>
      <c r="J71" s="34"/>
      <c r="K71" s="35" t="s">
        <v>248</v>
      </c>
      <c r="L71" s="35"/>
      <c r="M71" s="36"/>
      <c r="N71" s="37"/>
      <c r="O71" s="30"/>
    </row>
    <row r="72" spans="1:15" ht="48" x14ac:dyDescent="0.3">
      <c r="A72" s="49">
        <v>68</v>
      </c>
      <c r="B72" s="37" t="s">
        <v>11</v>
      </c>
      <c r="C72" s="37" t="s">
        <v>168</v>
      </c>
      <c r="D72" s="38" t="s">
        <v>176</v>
      </c>
      <c r="E72" s="32">
        <v>3</v>
      </c>
      <c r="F72" s="37" t="s">
        <v>184</v>
      </c>
      <c r="G72" s="37"/>
      <c r="H72" s="46" t="s">
        <v>266</v>
      </c>
      <c r="I72" s="46" t="s">
        <v>275</v>
      </c>
      <c r="J72" s="34" t="s">
        <v>215</v>
      </c>
      <c r="K72" s="53" t="s">
        <v>177</v>
      </c>
      <c r="L72" s="35" t="s">
        <v>214</v>
      </c>
      <c r="M72" s="36"/>
      <c r="N72" s="37"/>
      <c r="O72" s="30"/>
    </row>
    <row r="73" spans="1:15" ht="120" x14ac:dyDescent="0.3">
      <c r="A73" s="49">
        <v>69</v>
      </c>
      <c r="B73" s="37" t="s">
        <v>19</v>
      </c>
      <c r="C73" s="37" t="s">
        <v>168</v>
      </c>
      <c r="D73" s="38" t="s">
        <v>216</v>
      </c>
      <c r="E73" s="32">
        <v>10</v>
      </c>
      <c r="F73" s="37" t="s">
        <v>184</v>
      </c>
      <c r="G73" s="37"/>
      <c r="H73" s="46" t="s">
        <v>266</v>
      </c>
      <c r="I73" s="46" t="s">
        <v>280</v>
      </c>
      <c r="J73" s="34" t="s">
        <v>217</v>
      </c>
      <c r="K73" s="35" t="s">
        <v>250</v>
      </c>
      <c r="L73" s="35" t="s">
        <v>249</v>
      </c>
      <c r="M73" s="36"/>
      <c r="N73" s="37"/>
      <c r="O73" s="30"/>
    </row>
    <row r="74" spans="1:15" ht="72" x14ac:dyDescent="0.3">
      <c r="A74" s="49">
        <v>70</v>
      </c>
      <c r="B74" s="37" t="s">
        <v>19</v>
      </c>
      <c r="C74" s="37" t="s">
        <v>168</v>
      </c>
      <c r="D74" s="38" t="s">
        <v>251</v>
      </c>
      <c r="E74" s="32">
        <v>6</v>
      </c>
      <c r="F74" s="37" t="s">
        <v>184</v>
      </c>
      <c r="G74" s="37"/>
      <c r="H74" s="46" t="s">
        <v>266</v>
      </c>
      <c r="I74" s="46" t="s">
        <v>280</v>
      </c>
      <c r="J74" s="34" t="s">
        <v>252</v>
      </c>
      <c r="K74" s="35"/>
      <c r="L74" s="35"/>
      <c r="M74" s="36"/>
      <c r="N74" s="37"/>
      <c r="O74" s="30"/>
    </row>
    <row r="75" spans="1:15" ht="36" hidden="1" x14ac:dyDescent="0.3">
      <c r="A75" s="49">
        <v>71</v>
      </c>
      <c r="B75" s="37" t="s">
        <v>19</v>
      </c>
      <c r="C75" s="37" t="s">
        <v>168</v>
      </c>
      <c r="D75" s="38" t="s">
        <v>182</v>
      </c>
      <c r="E75" s="32">
        <v>1</v>
      </c>
      <c r="F75" s="37" t="s">
        <v>184</v>
      </c>
      <c r="G75" s="37"/>
      <c r="H75" s="46" t="s">
        <v>268</v>
      </c>
      <c r="I75" s="46" t="s">
        <v>269</v>
      </c>
      <c r="J75" s="34" t="s">
        <v>219</v>
      </c>
      <c r="K75" s="35"/>
      <c r="L75" s="35"/>
      <c r="M75" s="36"/>
      <c r="N75" s="37"/>
      <c r="O75" s="30"/>
    </row>
    <row r="76" spans="1:15" ht="48" hidden="1" x14ac:dyDescent="0.3">
      <c r="A76" s="19">
        <v>72</v>
      </c>
      <c r="B76" s="14" t="s">
        <v>17</v>
      </c>
      <c r="C76" s="14" t="s">
        <v>168</v>
      </c>
      <c r="D76" s="1" t="s">
        <v>153</v>
      </c>
      <c r="E76" s="14"/>
      <c r="F76" s="14" t="s">
        <v>48</v>
      </c>
      <c r="J76" s="20" t="s">
        <v>218</v>
      </c>
    </row>
    <row r="77" spans="1:15" hidden="1" x14ac:dyDescent="0.3">
      <c r="A77" s="13" t="s">
        <v>183</v>
      </c>
      <c r="B77" s="14" t="s">
        <v>17</v>
      </c>
      <c r="C77" s="14" t="s">
        <v>167</v>
      </c>
      <c r="D77" s="1" t="s">
        <v>154</v>
      </c>
      <c r="E77" s="14"/>
      <c r="F77" s="14" t="s">
        <v>94</v>
      </c>
    </row>
    <row r="78" spans="1:15" ht="84" x14ac:dyDescent="0.3">
      <c r="A78" s="49">
        <v>73</v>
      </c>
      <c r="B78" s="37" t="s">
        <v>26</v>
      </c>
      <c r="C78" s="37" t="s">
        <v>168</v>
      </c>
      <c r="D78" s="38" t="s">
        <v>155</v>
      </c>
      <c r="E78" s="32">
        <v>5</v>
      </c>
      <c r="F78" s="37" t="s">
        <v>184</v>
      </c>
      <c r="G78" s="37"/>
      <c r="H78" s="46" t="s">
        <v>266</v>
      </c>
      <c r="I78" s="46" t="s">
        <v>281</v>
      </c>
      <c r="J78" s="35"/>
      <c r="K78" s="35"/>
      <c r="L78" s="35"/>
      <c r="M78" s="36"/>
      <c r="N78" s="37"/>
      <c r="O78" s="30"/>
    </row>
    <row r="79" spans="1:15" ht="40.15" customHeight="1" x14ac:dyDescent="0.3">
      <c r="A79" s="49">
        <v>74</v>
      </c>
      <c r="B79" s="37" t="s">
        <v>31</v>
      </c>
      <c r="C79" s="37" t="s">
        <v>168</v>
      </c>
      <c r="D79" s="38" t="s">
        <v>157</v>
      </c>
      <c r="E79" s="32">
        <v>2</v>
      </c>
      <c r="F79" s="37" t="s">
        <v>184</v>
      </c>
      <c r="G79" s="37"/>
      <c r="H79" s="46" t="s">
        <v>273</v>
      </c>
      <c r="I79" s="46" t="s">
        <v>277</v>
      </c>
      <c r="J79" s="35"/>
      <c r="K79" s="35"/>
      <c r="L79" s="35"/>
      <c r="M79" s="36"/>
      <c r="N79" s="37"/>
      <c r="O79" s="30"/>
    </row>
    <row r="80" spans="1:15" ht="44.25" customHeight="1" x14ac:dyDescent="0.3">
      <c r="A80" s="49">
        <v>75</v>
      </c>
      <c r="B80" s="37" t="s">
        <v>27</v>
      </c>
      <c r="C80" s="37" t="s">
        <v>168</v>
      </c>
      <c r="D80" s="38" t="s">
        <v>165</v>
      </c>
      <c r="E80" s="32">
        <v>6</v>
      </c>
      <c r="F80" s="37" t="s">
        <v>184</v>
      </c>
      <c r="G80" s="37"/>
      <c r="H80" s="46" t="s">
        <v>266</v>
      </c>
      <c r="I80" s="46" t="s">
        <v>283</v>
      </c>
      <c r="J80" s="35"/>
      <c r="K80" s="35" t="s">
        <v>166</v>
      </c>
      <c r="L80" s="35" t="s">
        <v>166</v>
      </c>
      <c r="M80" s="36"/>
      <c r="N80" s="37"/>
      <c r="O80" s="30"/>
    </row>
  </sheetData>
  <autoFilter ref="A2:O80" xr:uid="{1E03EF53-87FB-47DC-8E32-F43BACEAB007}">
    <filterColumn colId="5">
      <filters>
        <filter val="개발"/>
        <filter val="개발_x000a__x000a_검토"/>
        <filter val="개발_x000a__x000a_다우연동"/>
        <filter val="개발_x000a_검토"/>
        <filter val="개발_x000a_공수검토"/>
      </filters>
    </filterColumn>
    <filterColumn colId="7">
      <filters>
        <filter val="상"/>
        <filter val="중"/>
        <filter val="하"/>
      </filters>
    </filterColumn>
  </autoFilter>
  <sortState xmlns:xlrd2="http://schemas.microsoft.com/office/spreadsheetml/2017/richdata2" ref="A78:O80">
    <sortCondition ref="B78:B80"/>
  </sortState>
  <mergeCells count="11">
    <mergeCell ref="O18:O19"/>
    <mergeCell ref="N18:N19"/>
    <mergeCell ref="C22:C23"/>
    <mergeCell ref="O41:O42"/>
    <mergeCell ref="N41:N42"/>
    <mergeCell ref="A1:D1"/>
    <mergeCell ref="A10:A12"/>
    <mergeCell ref="B10:B12"/>
    <mergeCell ref="C10:C12"/>
    <mergeCell ref="B41:B42"/>
    <mergeCell ref="A41:A42"/>
  </mergeCells>
  <phoneticPr fontId="1" type="noConversion"/>
  <dataValidations count="1">
    <dataValidation type="list" allowBlank="1" showInputMessage="1" showErrorMessage="1" sqref="H3:H80" xr:uid="{5604B946-F040-49B1-9113-87985E0CA54F}">
      <formula1>"상,중,하,취소"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CE45-AADB-441F-A54B-B5A3304A8FBB}">
  <dimension ref="F8:I22"/>
  <sheetViews>
    <sheetView workbookViewId="0">
      <selection activeCell="E42" sqref="E42"/>
    </sheetView>
  </sheetViews>
  <sheetFormatPr defaultRowHeight="16.5" x14ac:dyDescent="0.3"/>
  <sheetData>
    <row r="8" spans="6:9" ht="17.25" thickBot="1" x14ac:dyDescent="0.35"/>
    <row r="9" spans="6:9" x14ac:dyDescent="0.3">
      <c r="F9" s="75" t="s">
        <v>256</v>
      </c>
      <c r="G9" s="77" t="s">
        <v>195</v>
      </c>
      <c r="H9" s="54" t="s">
        <v>195</v>
      </c>
      <c r="I9" s="77" t="s">
        <v>263</v>
      </c>
    </row>
    <row r="10" spans="6:9" ht="17.25" thickBot="1" x14ac:dyDescent="0.35">
      <c r="F10" s="76"/>
      <c r="G10" s="78"/>
      <c r="H10" s="55" t="s">
        <v>262</v>
      </c>
      <c r="I10" s="78"/>
    </row>
    <row r="11" spans="6:9" ht="17.25" thickBot="1" x14ac:dyDescent="0.35">
      <c r="F11" s="56" t="s">
        <v>26</v>
      </c>
      <c r="G11" s="57">
        <v>3</v>
      </c>
      <c r="H11" s="58"/>
      <c r="I11" s="57">
        <v>7</v>
      </c>
    </row>
    <row r="12" spans="6:9" ht="17.25" thickBot="1" x14ac:dyDescent="0.35">
      <c r="F12" s="56" t="s">
        <v>258</v>
      </c>
      <c r="G12" s="57">
        <v>2</v>
      </c>
      <c r="H12" s="58"/>
      <c r="I12" s="57">
        <v>6</v>
      </c>
    </row>
    <row r="13" spans="6:9" ht="17.25" thickBot="1" x14ac:dyDescent="0.35">
      <c r="F13" s="56" t="s">
        <v>260</v>
      </c>
      <c r="G13" s="57">
        <v>3</v>
      </c>
      <c r="H13" s="58"/>
      <c r="I13" s="57">
        <v>14</v>
      </c>
    </row>
    <row r="14" spans="6:9" ht="17.25" thickBot="1" x14ac:dyDescent="0.35">
      <c r="F14" s="56" t="s">
        <v>19</v>
      </c>
      <c r="G14" s="57">
        <v>6</v>
      </c>
      <c r="H14" s="58"/>
      <c r="I14" s="57">
        <v>24</v>
      </c>
    </row>
    <row r="15" spans="6:9" ht="17.25" thickBot="1" x14ac:dyDescent="0.35">
      <c r="F15" s="56" t="s">
        <v>24</v>
      </c>
      <c r="G15" s="57">
        <v>3</v>
      </c>
      <c r="H15" s="58"/>
      <c r="I15" s="57">
        <v>7</v>
      </c>
    </row>
    <row r="16" spans="6:9" ht="17.25" thickBot="1" x14ac:dyDescent="0.35">
      <c r="F16" s="56" t="s">
        <v>31</v>
      </c>
      <c r="G16" s="57">
        <v>1</v>
      </c>
      <c r="H16" s="58"/>
      <c r="I16" s="57">
        <v>2</v>
      </c>
    </row>
    <row r="17" spans="6:9" ht="17.25" thickBot="1" x14ac:dyDescent="0.35">
      <c r="F17" s="56" t="s">
        <v>17</v>
      </c>
      <c r="G17" s="57">
        <v>5</v>
      </c>
      <c r="H17" s="58"/>
      <c r="I17" s="57">
        <v>14</v>
      </c>
    </row>
    <row r="18" spans="6:9" ht="17.25" thickBot="1" x14ac:dyDescent="0.35">
      <c r="F18" s="56" t="s">
        <v>33</v>
      </c>
      <c r="G18" s="57">
        <v>6</v>
      </c>
      <c r="H18" s="58"/>
      <c r="I18" s="57">
        <v>13</v>
      </c>
    </row>
    <row r="19" spans="6:9" ht="17.25" thickBot="1" x14ac:dyDescent="0.35">
      <c r="F19" s="56" t="s">
        <v>193</v>
      </c>
      <c r="G19" s="58"/>
      <c r="H19" s="57">
        <v>2</v>
      </c>
      <c r="I19" s="57">
        <v>9</v>
      </c>
    </row>
    <row r="20" spans="6:9" ht="17.25" thickBot="1" x14ac:dyDescent="0.35">
      <c r="F20" s="56" t="s">
        <v>27</v>
      </c>
      <c r="G20" s="57">
        <v>4</v>
      </c>
      <c r="H20" s="58"/>
      <c r="I20" s="57">
        <v>19</v>
      </c>
    </row>
    <row r="21" spans="6:9" ht="17.25" thickBot="1" x14ac:dyDescent="0.35">
      <c r="F21" s="56" t="s">
        <v>11</v>
      </c>
      <c r="G21" s="57">
        <v>13</v>
      </c>
      <c r="H21" s="58"/>
      <c r="I21" s="57">
        <v>64</v>
      </c>
    </row>
    <row r="22" spans="6:9" ht="17.25" thickBot="1" x14ac:dyDescent="0.35">
      <c r="F22" s="59" t="s">
        <v>194</v>
      </c>
      <c r="G22" s="59">
        <f>SUM(G11:G21)</f>
        <v>46</v>
      </c>
      <c r="H22" s="59">
        <v>2</v>
      </c>
      <c r="I22" s="59">
        <v>181</v>
      </c>
    </row>
  </sheetData>
  <mergeCells count="3">
    <mergeCell ref="F9:F10"/>
    <mergeCell ref="G9:G10"/>
    <mergeCell ref="I9:I10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D2289-711C-40E0-9432-1FEC78E46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요구사항정리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정오</dc:creator>
  <cp:lastModifiedBy>JongHak Ji</cp:lastModifiedBy>
  <cp:lastPrinted>2025-07-03T02:58:39Z</cp:lastPrinted>
  <dcterms:created xsi:type="dcterms:W3CDTF">2025-06-18T01:27:07Z</dcterms:created>
  <dcterms:modified xsi:type="dcterms:W3CDTF">2025-09-02T04:54:25Z</dcterms:modified>
</cp:coreProperties>
</file>