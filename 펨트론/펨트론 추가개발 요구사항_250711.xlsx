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seksystemco-my.sharepoint.com/personal/mnkim_ksystem_co_kr/Documents/PC Migration_20240731/ODC 추가개발 프로젝트/펨트론/"/>
    </mc:Choice>
  </mc:AlternateContent>
  <xr:revisionPtr revIDLastSave="1072" documentId="13_ncr:1_{7CB8D76A-90D8-4E4A-849F-B6B561429786}" xr6:coauthVersionLast="47" xr6:coauthVersionMax="47" xr10:uidLastSave="{449DDD2D-751F-4B2B-AB3C-EB23735700E0}"/>
  <bookViews>
    <workbookView xWindow="-108" yWindow="-108" windowWidth="23256" windowHeight="12456" activeTab="2" xr2:uid="{CB6E75FF-42CE-4E71-8B55-1E5FD6DAD603}"/>
  </bookViews>
  <sheets>
    <sheet name="본 회의록" sheetId="1" r:id="rId1"/>
    <sheet name="개발사항 정리 0703" sheetId="2" r:id="rId2"/>
    <sheet name="요구사항정리 0707" sheetId="7" r:id="rId3"/>
    <sheet name="Case" sheetId="3" r:id="rId4"/>
    <sheet name="Sheet3" sheetId="6" r:id="rId5"/>
    <sheet name="Sheet1" sheetId="5" r:id="rId6"/>
    <sheet name="Sheet2"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3" l="1"/>
  <c r="L9" i="3" s="1"/>
  <c r="K10" i="3" s="1"/>
  <c r="L10" i="3" s="1"/>
  <c r="K8" i="3"/>
  <c r="L8" i="3"/>
  <c r="K5" i="3"/>
  <c r="L5" i="3" s="1"/>
  <c r="K6" i="3" s="1"/>
  <c r="L6" i="3" s="1"/>
  <c r="K7" i="3" s="1"/>
  <c r="L7" i="3" s="1"/>
  <c r="E9" i="3"/>
  <c r="F9" i="3"/>
  <c r="E6" i="3"/>
  <c r="F6" i="3"/>
  <c r="E7" i="3"/>
  <c r="F7" i="3"/>
  <c r="E8" i="3"/>
  <c r="F8" i="3" s="1"/>
  <c r="F5" i="3"/>
  <c r="E5" i="3"/>
</calcChain>
</file>

<file path=xl/sharedStrings.xml><?xml version="1.0" encoding="utf-8"?>
<sst xmlns="http://schemas.openxmlformats.org/spreadsheetml/2006/main" count="434" uniqueCount="289">
  <si>
    <t>모듈</t>
    <phoneticPr fontId="1" type="noConversion"/>
  </si>
  <si>
    <t>프로세스</t>
    <phoneticPr fontId="1" type="noConversion"/>
  </si>
  <si>
    <t>상세내용</t>
    <phoneticPr fontId="1" type="noConversion"/>
  </si>
  <si>
    <t>회계</t>
    <phoneticPr fontId="1" type="noConversion"/>
  </si>
  <si>
    <t>전표입력</t>
    <phoneticPr fontId="1" type="noConversion"/>
  </si>
  <si>
    <t>법인카드사용내역 등록 -&gt; 전표입력시 자동전표 생성
법인카드사용내역을 등록하고 전표를 입력해서 상신하는 플로우가 불편함
법인카드사용내역에 관리항목이 등록되지 않는 상황.
전표 수정해야할 경우 전표를 삭제하고 다시 입력할때 모든 내용을 다 다시 입력해야함</t>
    <phoneticPr fontId="1" type="noConversion"/>
  </si>
  <si>
    <t>추가개발</t>
    <phoneticPr fontId="1" type="noConversion"/>
  </si>
  <si>
    <t>서비스 문의</t>
    <phoneticPr fontId="1" type="noConversion"/>
  </si>
  <si>
    <t>추가확인</t>
    <phoneticPr fontId="1" type="noConversion"/>
  </si>
  <si>
    <t>No.</t>
    <phoneticPr fontId="1" type="noConversion"/>
  </si>
  <si>
    <t>전표 중복신청에 대한 알림(동일일자, 동일금액, 동일인원) 가능 여부
간혹 내부적으로 이중 청구가 있어서 필요한 사항
청구한 인원이 알림을 받을 수 있으면 됨. 전표 입력 단계에서 알림을 받을 수 있으면 좋겠음.</t>
    <phoneticPr fontId="1" type="noConversion"/>
  </si>
  <si>
    <t>결재를 하는 사람과 검토하는 사람의 보는 내용이 다름.
계정별로 소계 필요한 사항
하단을 클릭했을 때 세부항목을 확인할 수 있도록 원함.
영림원에서 SP를 만들어줘야 하는 사항(HTML을 모두 그려서 GW에 던져주고 있는 사항, GW=다우오피스, HTML도 영림원에서 개발한 사항)
전자결재 문서 4종 모두 적용</t>
    <phoneticPr fontId="1" type="noConversion"/>
  </si>
  <si>
    <t>결재상신</t>
    <phoneticPr fontId="1" type="noConversion"/>
  </si>
  <si>
    <t>경비처리방법 : 금액, 지출유형(세금계산서, 법인카드, 현금), 외부인 참석유무(외부인 참석시 접대비, 거래처를 가는 경우=출장비, 회사 근처에서 먹을 경우=복리후생비)
계정선택하는 부분 편리하게 변경(현업들이 사용하는 계정과목 80개-계정과목 식대, 계정과목 판관 등으로 나눠놓음)
현업들만 사용하는 계정과목을 선택할 수 있도록 개선
현업들이 지속적으로 반려되는 사항에 대한 불만사항이 많음</t>
    <phoneticPr fontId="1" type="noConversion"/>
  </si>
  <si>
    <t>현업 -&gt; 회계부서에서 접수
결재선을 통해서 승인을 모두 받았는데 1-2건 휴먼에러가 발생한 사항에 대해서 전체 반려를 해야하는게 불편함
회계부서에서 일부 수정하면 GW에도 자동적으로 적용되었으면 좋겠음(ERP 원천을 수정해야하는 사항)
법인카드의 계정까지 수정하는 부분은 문제가 커질 수 있는 부분</t>
    <phoneticPr fontId="1" type="noConversion"/>
  </si>
  <si>
    <t>ESS 메뉴 중 업무승용차 운행기록부(법인카드 50대 이상) : 권한관리를 통해 담당자가 담당 차량만 볼 수 있도록 권한 수정</t>
    <phoneticPr fontId="1" type="noConversion"/>
  </si>
  <si>
    <t>시작 Km수 입력, 사용 Km수를 넣는게 아니라 최종 Km수를 입력해야 사용 Km수를 확인하는 프로세스
(사용 Km수를 입력할 수 있도록)
중간에 일자를 넣어야 하는 상황이 적용되어 있지 않음. 중간일자를 입력시 후속 Km수들이 모두 수정되는 부분 적용</t>
    <phoneticPr fontId="1" type="noConversion"/>
  </si>
  <si>
    <t>프로젝트</t>
    <phoneticPr fontId="1" type="noConversion"/>
  </si>
  <si>
    <t>재료자원등록</t>
    <phoneticPr fontId="1" type="noConversion"/>
  </si>
  <si>
    <t>ESS</t>
    <phoneticPr fontId="1" type="noConversion"/>
  </si>
  <si>
    <t>소형장비가 여러 대, 동일 스펙이 Order가 여러 개임
하나의 기본 프로젝트BOM을 동일 스펙 프로젝트에 일괄 복사할 수 있는 기능</t>
    <phoneticPr fontId="1" type="noConversion"/>
  </si>
  <si>
    <t>BOM 확정 시 수정될 수 없는 것은 알고 있음. 다만 확정된 BOM에 코멘트를 할 수 있는 비고 기능이 추가되어 수정할 수 있도록 지원하면 좋겠음</t>
    <phoneticPr fontId="1" type="noConversion"/>
  </si>
  <si>
    <t>BOM 추가 시 동일 스펙임에도 불구하고 발주를 여러 번 해야하는 사항
현재는 구매발주를 따로 하고 차후 출고처리를 프로젝트별로 하고 있음. 해당 구매 발주 시 BOM에 자동 추가할 수 있는 기능
BOM이 Assy로 나뉘어져 있고, 이를 해당 Assy로 자동 반영될 수 있도록 요청(3레벨)</t>
    <phoneticPr fontId="1" type="noConversion"/>
  </si>
  <si>
    <t>영업/수출</t>
    <phoneticPr fontId="1" type="noConversion"/>
  </si>
  <si>
    <t>프로젝트BL에서 환율 적용이 선적일 기준으로 되어야 하는데, 시스템에서는 BL 기준으로 환율이 적용되고 있음. 
이를 고객사 환율 적용 기준으로 변경 희망</t>
    <phoneticPr fontId="1" type="noConversion"/>
  </si>
  <si>
    <t>프로젝트관리항목조회</t>
    <phoneticPr fontId="1" type="noConversion"/>
  </si>
  <si>
    <t>프로젝트 입력시 장비에 Serial No.가 들어감
Serial No.가 등록되어 있으면 
생산완료되는 시점에 Serial No. 입력(별도 개발한 생산실적 입력하는 화면)
관리항목 조회하는 화면에서 Serial No.가 입력되어 있으면 보여줬으면 좋겠음</t>
    <phoneticPr fontId="1" type="noConversion"/>
  </si>
  <si>
    <t>화면명</t>
    <phoneticPr fontId="1" type="noConversion"/>
  </si>
  <si>
    <t>구매/수입</t>
    <phoneticPr fontId="1" type="noConversion"/>
  </si>
  <si>
    <t>ESS로 빠져있는 구매기능이 있는데, 해당 구매발주/기타출고요청 등 메일발송 제한사항을 풀어주면 좋겠음</t>
    <phoneticPr fontId="1" type="noConversion"/>
  </si>
  <si>
    <t>프로젝트자재구매진행조회</t>
    <phoneticPr fontId="1" type="noConversion"/>
  </si>
  <si>
    <t>발주조회 시 납품일자 설정을 하게 되는데, 납품일자의 기간별로 글자 색상을 변경(가시성 확보)</t>
    <phoneticPr fontId="1" type="noConversion"/>
  </si>
  <si>
    <t>조회조건에 미출고된 품목들만 조회될 수 있도록 되었으면 좋겠음</t>
    <phoneticPr fontId="1" type="noConversion"/>
  </si>
  <si>
    <t>자산분류계정에서 원자재/개발자재로 구분해서 계정을 구분했는데, 정부과제 계정을 추가 넣었음.
개발자재와 정부과제계정의 상대계정을 다르게 설정하고 싶음, 선택할수 있도록 기능은 구현되어 있지만 회계부서에서는 매번 선택하는 부분에 대해서 번거롭다는 측면에서 거부
자산구분에 따라서 상대계정을 자동전표로 작성될 수 있도록 기능이 구현되었으면 좋겠음</t>
    <phoneticPr fontId="1" type="noConversion"/>
  </si>
  <si>
    <t>자동전표에서 부가세 2줄이 생성되지 않음. 동일거래처, 발주 2건, 계산서 2개, 입고 한번에 하는 경우</t>
    <phoneticPr fontId="1" type="noConversion"/>
  </si>
  <si>
    <t>보고서에서 기존에 안보이는 컬럼이 보일 수 있도록 수정 요청하는 사항(3-4개)</t>
    <phoneticPr fontId="1" type="noConversion"/>
  </si>
  <si>
    <t>출하성적서 인쇄 -&gt; 조회조건을 수정해서 팀별로 조회해서 일괄 출력할 수 있도록</t>
    <phoneticPr fontId="1" type="noConversion"/>
  </si>
  <si>
    <t>품질(사이트 화면)</t>
    <phoneticPr fontId="1" type="noConversion"/>
  </si>
  <si>
    <t>검사성적서 출력시 사인이 개인별 등록되어 있는데, 사인도 출력되었으면 좋겠음</t>
    <phoneticPr fontId="1" type="noConversion"/>
  </si>
  <si>
    <t>정렬순서를 본인이 입력한 상태 그대로 보일 수 있도록</t>
    <phoneticPr fontId="1" type="noConversion"/>
  </si>
  <si>
    <t>출하의뢰 시 최종검사가 되지 않으면 출하의뢰를 할 수 없도록, 출하의뢰 일자를 최종검사 일자보다 앞서서 등록도 안되도록</t>
    <phoneticPr fontId="1" type="noConversion"/>
  </si>
  <si>
    <t>인사/급여</t>
    <phoneticPr fontId="1" type="noConversion"/>
  </si>
  <si>
    <t>연차사용현황, 잔여개수를 팀장급들은 보고싶어하는 Needs가 있음
해당 화면을 ESS 기능으로 넘겨야 하는 사항</t>
    <phoneticPr fontId="1" type="noConversion"/>
  </si>
  <si>
    <t>휴가신청 입력 시 다우오피스에서 상태를 휴가로 표시하는 경우가 있음. ERP에서 데이터를 넘겨지지 않아서 상태값 업데이트가 되지 않음</t>
    <phoneticPr fontId="1" type="noConversion"/>
  </si>
  <si>
    <t>휴가신청서 양식 수정(전체 기간만 보이는게 아니라, 각 일자별 휴가 유형을 모두 보일 수 있도록) 전자결재 넘길 때 보이지 않는 상황 개선</t>
    <phoneticPr fontId="1" type="noConversion"/>
  </si>
  <si>
    <t>오전반반차, 오전반차, 오후반반차, 오후반차의 시간을 사용자가 직접 입력하는 부분 수정
이미 유형별로 시간이 지정되어 있기 때문</t>
    <phoneticPr fontId="1" type="noConversion"/>
  </si>
  <si>
    <t>사이트 화면, 조회 정도의 개발사항에 대해서는 인수인계 요청</t>
    <phoneticPr fontId="1" type="noConversion"/>
  </si>
  <si>
    <t>법인카드 계정에 따라 부가세 관련 사항을 자동으로 적용될 수 있도록</t>
    <phoneticPr fontId="1" type="noConversion"/>
  </si>
  <si>
    <t>공통</t>
    <phoneticPr fontId="1" type="noConversion"/>
  </si>
  <si>
    <t>데이터입력 및 프로세스 메뉴 폰트 크기 키우기</t>
    <phoneticPr fontId="1" type="noConversion"/>
  </si>
  <si>
    <t>개선요청사항</t>
    <phoneticPr fontId="1" type="noConversion"/>
  </si>
  <si>
    <t>현업 담당자들만 사용하는 계정과목을 선택할 수 있도록
변경(계정과목 약 80개)</t>
    <phoneticPr fontId="1" type="noConversion"/>
  </si>
  <si>
    <t>법인카드사용내역 입력 시 관리항목 등록하도록 변경
(현재 관리항목 등록하는 컬럼 없음)</t>
    <phoneticPr fontId="1" type="noConversion"/>
  </si>
  <si>
    <t>결재상신 시 기본적으로 계정별 소계를 볼 수 있는 요약화면이 우선적으로 보일 수 있도록 하고, 세부항목을 보려면 펼쳐서 볼 수 있도록 개선 요청(전자결재 연동문서 4종 모두 동일하게 적용)</t>
    <phoneticPr fontId="1" type="noConversion"/>
  </si>
  <si>
    <t>결재상신을 통해 모두 승인받은 상태에서, 일부 수정할 사항들에 대해 전체 반려하기 전에, 일부 데이터만 수정하고  GW에도 자동 적용되도록 개선 요청</t>
    <phoneticPr fontId="1" type="noConversion"/>
  </si>
  <si>
    <t>권한관리를 통해 법인차량별 담당가가 있기 때문에, 담당자는 본인의 담당 법인차량만 조회 가능하도록 개선 요청</t>
    <phoneticPr fontId="1" type="noConversion"/>
  </si>
  <si>
    <t>시작할때 운행 Km 수, 사용한 운행 Km수를 입력하도록 변경
모두 입력한 이후, 누락된 일자에 운행 Km수를 입력하면, 그 이전에 입력했던 최종 Km수가 모두 변경되도록 적용</t>
    <phoneticPr fontId="1" type="noConversion"/>
  </si>
  <si>
    <t>프로젝트 1개에 동일 스펙 장비가 여러 대인 경우, 장비 별로 각각 BOM을 입력하는게 아니라, 동일 스펙이기 때문에 BOM을 여러 대의 장비에 일괄적용할 수 있도록 개선 요청</t>
    <phoneticPr fontId="1" type="noConversion"/>
  </si>
  <si>
    <t>확정된 BOM 수정은 되지 않더라도, 기록 용도로 비고 기능 컬럼 추가 및 해당 컬럼은 내용 수정이 될 수 있도록 개선 요청</t>
    <phoneticPr fontId="1" type="noConversion"/>
  </si>
  <si>
    <t>수출</t>
    <phoneticPr fontId="1" type="noConversion"/>
  </si>
  <si>
    <t>별도 개발한 생산실적 입력화면에 Serial No.를 기재한 경우, 관리항목 조회화면에서 Serial No.까지 조회되도록 개선 요청</t>
    <phoneticPr fontId="1" type="noConversion"/>
  </si>
  <si>
    <t>ESS모듈로 빠져있는 구매 기능이 있는데 구매발주나 기타출고요청시 ESS에서는 제한된 메일발송 기능이 구현되도록 개선 요청</t>
    <phoneticPr fontId="1" type="noConversion"/>
  </si>
  <si>
    <t>발주조회 시 납품일자를 확인할 수 있는데 납품일자 기간별로 글자 색상을 다르게 적용가능한지 여부
(ex. 납품일자가 1주일 이내면 빨간색, 1주~2주 사이면 노락색)</t>
    <phoneticPr fontId="1" type="noConversion"/>
  </si>
  <si>
    <t>이미 완료된 품목은 제외하고 조회할 수 있도록 조회조건에 미출고품목들만 볼 수 있도록 기능 추가</t>
    <phoneticPr fontId="1" type="noConversion"/>
  </si>
  <si>
    <t>자산분류계정을 원자재/개발자재/정부과제자재로 구분한 상황.
개발자재와 정부과제자재의 상대계정을 다르게 설정하고, 자산분류가 구분되어있으니 상대계정도 자동전표로 작성될 수 있도록 개선 요청</t>
    <phoneticPr fontId="1" type="noConversion"/>
  </si>
  <si>
    <t>1개의 거래처에 2건에 나눠서 발주를 진행했고, 거래처에서 발주 2건에 대한 모든 품목을 한번에 입고하면서 계산서는 2개로 나눠서 한 경우, 자동전표 처리 시 한번에 입고처리 하기 때문에 부가세가 1줄로 생성됨. 계산서 개수대로 각각 나눠서 입력가능하도록 개선 요청</t>
    <phoneticPr fontId="1" type="noConversion"/>
  </si>
  <si>
    <t>보고서 양식 수정(컬럼 추가)</t>
    <phoneticPr fontId="1" type="noConversion"/>
  </si>
  <si>
    <t>출하성적서 출력 시 조회하는 조건을 수정해서 팀별로 조회해서 일괄 출력할 수 있는 기능 요청</t>
    <phoneticPr fontId="1" type="noConversion"/>
  </si>
  <si>
    <t>본인이 편의상 행을 다르게 입력한 그대로 정렬되어 볼 수 있도록 개선 요청
(ex. 최초 입력시 3,5,7행에 입력했는데 저장한 이후 다시 조회해보면 순서대로 1,2,3행에 입력되는 경우)</t>
    <phoneticPr fontId="1" type="noConversion"/>
  </si>
  <si>
    <t>검사성적서 출력 시 개인별로 등록한 사인도 함께 출력될 수 있도록 개선 요청</t>
    <phoneticPr fontId="1" type="noConversion"/>
  </si>
  <si>
    <t>최종검사가 완료되지 않으면 출하의뢰를 입력 및 최종검사 일자 이전 날짜로 출하의뢰까지 입력이 되지 않도록 개선 요청</t>
    <phoneticPr fontId="1" type="noConversion"/>
  </si>
  <si>
    <t>팀장급 인원의 경우, 팀내 모든 인원의 연차사용현황, 잔여개수 등의 연차 현황을 볼 수 있는 화면을 ESS모듈에서 구현하도록 개선 요청</t>
    <phoneticPr fontId="1" type="noConversion"/>
  </si>
  <si>
    <t>ERP에서 입력한 휴가 현황을 다우오피스와 연동해서 휴가상태값을 확인할 수 있도록 개선 요청</t>
    <phoneticPr fontId="1" type="noConversion"/>
  </si>
  <si>
    <t>휴가신청서 양식 수정. 한 인원이 연달아 작성한 내역에 대해서 단순 기간만 보이는게 아니라, 개별일자마다 연차유형내역을 상세하게 볼 수 있도록 개선 요청.
(ex. 25.06.18~25.06.25가 아니라, 25.06.18 연차, 25.06.19 반차 등의 상세 내역 확인)</t>
    <phoneticPr fontId="1" type="noConversion"/>
  </si>
  <si>
    <t>휴가 유형을 오전반반차, 오전반차, 오후반반차, 오후반차 등으로 구분해놨고 유형마다 시간대가 정해져있는데, 시간을 또 수정할 수 있도록 되어 있는 부분을, 휴가 유형 선택시 고정할 수 있도록 개선 요청</t>
    <phoneticPr fontId="1" type="noConversion"/>
  </si>
  <si>
    <t>데이터 입력화면 및 프로세스 메뉴의 폰트 키우도록 개선 요청</t>
    <phoneticPr fontId="1" type="noConversion"/>
  </si>
  <si>
    <t>법인카드사용내역 비용 계정에 따라 부가세 여부 등이 자동으로 적용되도록 개선 요청
(ex. 접대비이면 부가세 불공제 여부 자동 체크 등)</t>
    <phoneticPr fontId="1" type="noConversion"/>
  </si>
  <si>
    <t>공수산정</t>
    <phoneticPr fontId="1" type="noConversion"/>
  </si>
  <si>
    <t>프로젝트 구매발주 이후 입고된 품목들에 대한 자재출고처리 및 기타출고처리를 매번 입력하고 있는데,
구매발주한 이후 각 프로젝트로 자재출고 및 기타출고처리가 자동으로 처리될 수 있는 기능 개선</t>
    <phoneticPr fontId="1" type="noConversion"/>
  </si>
  <si>
    <t>BOM 추가 시 동일 스펙이어도 각각의 프로젝트로 구분되어 있기 때문에 발주를 여러 번 해야해서, 구매발주를 따로 입력하고 차후에 출고처리를 프로젝트별로 하고 있는 상황. 
별도로 구매발주한 사항에 대해서 해당 프로젝트 BOM레벨까지 맞춰서 자동으로 반영되도록 개선 요청</t>
    <phoneticPr fontId="1" type="noConversion"/>
  </si>
  <si>
    <t>업무승용차운행기록부</t>
    <phoneticPr fontId="1" type="noConversion"/>
  </si>
  <si>
    <t>주행전</t>
    <phoneticPr fontId="1" type="noConversion"/>
  </si>
  <si>
    <t>주행후</t>
    <phoneticPr fontId="1" type="noConversion"/>
  </si>
  <si>
    <t>주행거리</t>
    <phoneticPr fontId="1" type="noConversion"/>
  </si>
  <si>
    <t>시스템에서 BL기준으로 환율이 적용되고 있는데, 프로젝트 BL에 입력한 선적일 기준으로 환율이 적용되도록 개선요청.</t>
    <phoneticPr fontId="1" type="noConversion"/>
  </si>
  <si>
    <t>누락된 날짜에 운행거리 입력하면 전체 Km값이 바뀌는 문제 → 이전 값 유지되도록 요청.
 -Case 설명 부분 참고</t>
    <phoneticPr fontId="1" type="noConversion"/>
  </si>
  <si>
    <t>(누락)</t>
    <phoneticPr fontId="1" type="noConversion"/>
  </si>
  <si>
    <t>현상: 동일 스펙이라도 프로젝트가 다르면 발주를 여러 번 나눠서 입력해야 하고, 출고처리도 각각 별도로 처리해야 함.
요청사항: 구매발주 시 해당 프로젝트의 BOM 레벨에 맞춰 자동 반영되도록 개선해달라는 요청.</t>
    <phoneticPr fontId="1" type="noConversion"/>
  </si>
  <si>
    <t>현상: 구매발주 후 입고된 품목에 대해 각 프로젝트별로 자재출고 및 기타출고를 수동으로 처리해야 함.
요청사항: 입고 후 프로젝트별 자재출고 및 기타출고를 자동 처리할 수 있도록 기능 개선 요청.</t>
    <phoneticPr fontId="1" type="noConversion"/>
  </si>
  <si>
    <t>ESS모듈에 구매요청 기능 있으나 메일 발송 제한. ESS 내 메일발송 기능 개선 요청
 -ESS에서 메일 발송 주체, 대상, 양식은 어떤것인지?</t>
    <phoneticPr fontId="1" type="noConversion"/>
  </si>
  <si>
    <t>프로젝트 자재구매진행 조회 시, 완료된 품목은 제외하고 미출고 품목만 필터.	
 - 완료 기준은 출고 기준인지, 발주 완료 기준인지 확인 필요</t>
    <phoneticPr fontId="1" type="noConversion"/>
  </si>
  <si>
    <t>발주는 2건, 입고는 1회에 합쳐서, 계산서는 2개 → 자동전표에서 부가세가 1줄로 생성되어 문제 발생 → 계산서 개수대로 분개 가능하도록 요청	
 - 발주건별로 분개 생성 시 입고수량/금액을 어떻게 나눌 것인지 기준 필요</t>
    <phoneticPr fontId="1" type="noConversion"/>
  </si>
  <si>
    <t>어떤 항목을 추가할 것인지 구체적인 항목명 ?</t>
    <phoneticPr fontId="1" type="noConversion"/>
  </si>
  <si>
    <t>검사성적서에 사용자 서명(사인) 포함 출력 요청	
 -서명 저장 위치는 어디인지? 사용자마다 등록하는 방식은?</t>
    <phoneticPr fontId="1" type="noConversion"/>
  </si>
  <si>
    <t xml:space="preserve">조회 조건 수정 -&gt; 팀별로 </t>
    <phoneticPr fontId="1" type="noConversion"/>
  </si>
  <si>
    <t>최종검사 완료 전에는 출하요청 입력 불가하도록 요청	
 - 검사결과 데이터 등록 여부로 판단하는지, 단순 날짜 체크인지?</t>
    <phoneticPr fontId="1" type="noConversion"/>
  </si>
  <si>
    <t>ERP의 휴가 현황을 다우오피스와 연동 요청	
 - 연동 방식은 API인지? 단방향 또는 양방향 여부? 다우오피스에서 현재 어떤 항목까지 활용 중인지?</t>
    <phoneticPr fontId="1" type="noConversion"/>
  </si>
  <si>
    <t xml:space="preserve">특정 메뉴 지정인지, 전사적용인지? 
화면 zoon </t>
    <phoneticPr fontId="1" type="noConversion"/>
  </si>
  <si>
    <t>Serial No. 기반 생산실적 입력 시 조회화면에서 Serial No.까지 확인되도록 개선 요청
 - 기존 Serial No. 입력 위치, 필드 연결 여부 확인 필요</t>
    <phoneticPr fontId="1" type="noConversion"/>
  </si>
  <si>
    <r>
      <t xml:space="preserve">환율기준: 
</t>
    </r>
    <r>
      <rPr>
        <b/>
        <sz val="10"/>
        <color theme="1"/>
        <rFont val="맑은 고딕"/>
        <family val="3"/>
        <charset val="129"/>
        <scheme val="minor"/>
      </rPr>
      <t>BL일자</t>
    </r>
    <r>
      <rPr>
        <sz val="10"/>
        <color theme="1"/>
        <rFont val="맑은 고딕"/>
        <family val="3"/>
        <charset val="129"/>
        <scheme val="minor"/>
      </rPr>
      <t xml:space="preserve"> (회계상 실물 출고일 기준)
 -&gt;  수출BL에서 입력한 </t>
    </r>
    <r>
      <rPr>
        <b/>
        <sz val="10"/>
        <color theme="1"/>
        <rFont val="맑은 고딕"/>
        <family val="3"/>
        <charset val="129"/>
        <scheme val="minor"/>
      </rPr>
      <t>선적일</t>
    </r>
    <r>
      <rPr>
        <sz val="10"/>
        <color theme="1"/>
        <rFont val="맑은 고딕"/>
        <family val="3"/>
        <charset val="129"/>
        <scheme val="minor"/>
      </rPr>
      <t xml:space="preserve"> (거래 조건 및 수출정산 반영)
</t>
    </r>
    <phoneticPr fontId="1" type="noConversion"/>
  </si>
  <si>
    <t>항목</t>
  </si>
  <si>
    <t>날짜</t>
  </si>
  <si>
    <t>환율 (예시)</t>
  </si>
  <si>
    <t>BL 발행일</t>
  </si>
  <si>
    <t>1 USD = 1,300원</t>
  </si>
  <si>
    <t>실제 선적일</t>
  </si>
  <si>
    <t>1 USD = 1,310원</t>
  </si>
  <si>
    <t>→ 차이</t>
  </si>
  <si>
    <t>2일</t>
  </si>
  <si>
    <t>환율 차이: 10원</t>
  </si>
  <si>
    <t xml:space="preserve">펨트론에서는 하나의 프로젝트에 동일한 장비(예: 검사장비 XYZ 모델)를 여러 대 투입하는 경우가 많아요.
그런데 이 장비들마다 BOM(자재명세서) 을 일일이 개별 등록해야 해요.
비록 스펙은 완전히 같아도, 시스템에서는 각각의 장비로 인식되어 BOM을 복사하거나 공유할 수 없음.
그래서 중복된 작업이 계속 발생하고 있어요.
--&gt;
 -하나의 장비에 BOM을 한 번만 등록하면, 동일 스펙의 다른 장비들에도 자동으로 복사 또는 일괄적용되도록 개선
 -예를 들어:  장비 1대에 BOM을 등록하면, "같은 스펙" 장비 3대에 자동으로 같은 BOM이 연결되도록 처리.
( ex:같은 프로젝트명 , 다른 프로젝트번호) </t>
    <phoneticPr fontId="1" type="noConversion"/>
  </si>
  <si>
    <t>현상: 확정된 BOM은 수정이 불가하여 메모 등을 남길 수 없음.
요청사항: 비고용 컬럼 추가, 해당 컬럼은 수정 가능하도록 하여 기록용으로 활용할 수 있게 해달라는 요청.
 -프로젝트재료자원등록-&gt; 비고 입력가능
 -프로젝트재료자원조회(멀티)-&gt; 비고 입력 불가 =&gt; 입력가는하도록 수정</t>
    <phoneticPr fontId="1" type="noConversion"/>
  </si>
  <si>
    <t xml:space="preserve">납품일자 기준으로 글자 색상 다르게 표시 요청 (1주 이내 빨간색 등)	
 - 로직추가 : 기간 정한 대로 색상 다르게 표시 , 기간은 현업에서 정해줘야함, 
   ( ex: 7일 내 red;  8일 ~14일 간 yellow, 14일 보다 크면 blue ) </t>
    <phoneticPr fontId="1" type="noConversion"/>
  </si>
  <si>
    <t>팀장이 팀원 연차 현황 조회 가능하게 ESS에 구현 요청	
 - 팀장 권한 설정 화면 ?/  전체 조직도 반영 여부?</t>
    <phoneticPr fontId="1" type="noConversion"/>
  </si>
  <si>
    <r>
      <t xml:space="preserve">접대비 등 부가세 불공제 항목을 </t>
    </r>
    <r>
      <rPr>
        <b/>
        <sz val="10"/>
        <color theme="1"/>
        <rFont val="맑은 고딕"/>
        <family val="3"/>
        <charset val="129"/>
        <scheme val="minor"/>
      </rPr>
      <t>자동체크하고 싶음</t>
    </r>
    <r>
      <rPr>
        <sz val="10"/>
        <color theme="1"/>
        <rFont val="맑은 고딕"/>
        <family val="3"/>
        <charset val="129"/>
        <scheme val="minor"/>
      </rPr>
      <t>.
 -계정은 고정인지?  변동 시 따로 세팅 필요 ( 사용자정의코드 / 등록화면) 
 -</t>
    </r>
    <r>
      <rPr>
        <b/>
        <u/>
        <sz val="10"/>
        <color rgb="FFFF0000"/>
        <rFont val="맑은 고딕"/>
        <family val="3"/>
        <charset val="129"/>
        <scheme val="minor"/>
      </rPr>
      <t>조건</t>
    </r>
    <r>
      <rPr>
        <sz val="10"/>
        <color theme="1"/>
        <rFont val="맑은 고딕"/>
        <family val="3"/>
        <charset val="129"/>
        <scheme val="minor"/>
      </rPr>
      <t>이 단순한지(계정만 기준) 복합 조건인지 확인 필요.,  
 - if 하트 코딩만 하면 가능할지?</t>
    </r>
    <phoneticPr fontId="1" type="noConversion"/>
  </si>
  <si>
    <r>
      <t>동일일자, 동일금액, 동일인원이 작성한 전표에 대해서 중복신청</t>
    </r>
    <r>
      <rPr>
        <b/>
        <sz val="10"/>
        <color theme="4"/>
        <rFont val="맑은 고딕"/>
        <family val="3"/>
        <charset val="129"/>
        <scheme val="minor"/>
      </rPr>
      <t>알림</t>
    </r>
    <r>
      <rPr>
        <sz val="10"/>
        <color theme="4"/>
        <rFont val="맑은 고딕"/>
        <family val="3"/>
        <charset val="129"/>
        <scheme val="minor"/>
      </rPr>
      <t xml:space="preserve"> </t>
    </r>
    <r>
      <rPr>
        <sz val="10"/>
        <color theme="1"/>
        <rFont val="맑은 고딕"/>
        <family val="3"/>
        <charset val="129"/>
        <scheme val="minor"/>
      </rPr>
      <t>기능</t>
    </r>
    <phoneticPr fontId="1" type="noConversion"/>
  </si>
  <si>
    <r>
      <t xml:space="preserve">전표 항목이 많은 경우, 계정별 소계를 요약해서 먼저 보여주는 UI 요청.
 -기존 화면은 어떻게 되어 있나요?
 -어떤 기준으로 소계 구분? (계정?, 부서?)
</t>
    </r>
    <r>
      <rPr>
        <sz val="10"/>
        <color theme="4"/>
        <rFont val="맑은 고딕"/>
        <family val="3"/>
        <charset val="129"/>
        <scheme val="minor"/>
      </rPr>
      <t xml:space="preserve"> =&gt; pdf출력물정도 다 펴쳐서 보여줄 가능 ,  동작 불가 </t>
    </r>
    <phoneticPr fontId="1" type="noConversion"/>
  </si>
  <si>
    <r>
      <t xml:space="preserve">현재전체승인된 상태에 금액 수정가능,   어떤 항목까지만 수정 가능하게 할 건가요?
GW/전자결재 연동 시 수정 항목 반영 방식도 논의. 
</t>
    </r>
    <r>
      <rPr>
        <sz val="10"/>
        <color rgb="FFEE0000"/>
        <rFont val="맑은 고딕"/>
        <family val="3"/>
        <charset val="129"/>
        <scheme val="minor"/>
      </rPr>
      <t xml:space="preserve"> =&gt;경영정보 회계모듈 문의 </t>
    </r>
    <phoneticPr fontId="1" type="noConversion"/>
  </si>
  <si>
    <t>휴가신청서 양식에서 연속일을 개별 일자별 상세 내역까지 확인 가능하게 요청	
 - 예: 6/18~6/25 → 6/18 연차, 6/19 반차 등 일자별 유형 설정 필요
 =&gt; GW 인지 ERP 화면인지</t>
    <phoneticPr fontId="1" type="noConversion"/>
  </si>
  <si>
    <r>
      <t xml:space="preserve">오전반차/오후반차 등 휴가유형별 시간대 고정 요청	
 - 시간대가 부서마다 다른 경우 있는지? 수정 가능 여부는 예외처리?
 =&gt; 유연근무제 인지? 
 </t>
    </r>
    <r>
      <rPr>
        <sz val="10"/>
        <color rgb="FFEE0000"/>
        <rFont val="맑은 고딕"/>
        <family val="3"/>
        <charset val="129"/>
        <scheme val="minor"/>
      </rPr>
      <t>=&gt;반반차  시간 세팅 화면 ?</t>
    </r>
    <phoneticPr fontId="1" type="noConversion"/>
  </si>
  <si>
    <r>
      <t xml:space="preserve"> -부서별로 사용하는 계정과목 </t>
    </r>
    <r>
      <rPr>
        <b/>
        <sz val="10"/>
        <color theme="1"/>
        <rFont val="맑은 고딕"/>
        <family val="3"/>
        <charset val="129"/>
        <scheme val="minor"/>
      </rPr>
      <t>리스트가 정해져 있나요</t>
    </r>
    <r>
      <rPr>
        <sz val="10"/>
        <color theme="1"/>
        <rFont val="맑은 고딕"/>
        <family val="3"/>
        <charset val="129"/>
        <scheme val="minor"/>
      </rPr>
      <t xml:space="preserve">?
 -전표입력 화면에서 자동 필터가 필요한가요?
 =&gt; 권한 세팅 화면 
 - 좌 사원/ 우 계정과목등록 
 신규 코드도움 개발 </t>
    </r>
    <phoneticPr fontId="1" type="noConversion"/>
  </si>
  <si>
    <t xml:space="preserve">법인카드 관리항목 </t>
    <phoneticPr fontId="1" type="noConversion"/>
  </si>
  <si>
    <t xml:space="preserve"> -관리항목  현재 2개로 되어 있음 ,  2개까지 가능
  - 지금 컬럼에 거래처도 있음, 
 - 필요할 관리 항목은 어떤거지?  
 - 계정관리항목 등록에서 '관리항목세부값사용' 세팅 되어 있어야 가져오는거로 알고 있음.</t>
    <phoneticPr fontId="1" type="noConversion"/>
  </si>
  <si>
    <r>
      <t xml:space="preserve">동일 일자/금액/사람으로 등록한 전표가 중복되면 경고
 -어느 조건까지 중복으로 간주하나요? 3개 모두 같을 때? 2개만 같아도?
 -알림만 줄지, 저장 자체를 막을지도 확인.
</t>
    </r>
    <r>
      <rPr>
        <b/>
        <sz val="10"/>
        <color theme="4"/>
        <rFont val="맑은 고딕"/>
        <family val="3"/>
        <charset val="129"/>
        <scheme val="minor"/>
      </rPr>
      <t>=&gt; 체크로직 추가 메시지 보여주여 저장 불가 
 =&gt; 만약 알림메세지만 보어주는 방법, 화면 신규 만들어서 작업해야함 , 5일</t>
    </r>
    <phoneticPr fontId="1" type="noConversion"/>
  </si>
  <si>
    <t>차량별 담당자 외에는 조회 못하게 권한 설정.
 -차량별 담당자 정보는 어느화면에서  관리하나요?
 -조회자의 로그인 사용자명 하고 업무사용비율에서의 부서+사용자성명이랑 같아야 조회가능.</t>
    <phoneticPr fontId="1" type="noConversion"/>
  </si>
  <si>
    <t>1. 경비처리 개선 방법 (계정을 직접선택하지 않고, 단계적 선택 또는 Flow 형태로 진행, 사용할 계정 별도 관리, 절차 관리)</t>
  </si>
  <si>
    <t>2. 법인카드 수정 방법 개선 필요 : 법인카드 내용에서 전표내용 입력하여 바로 상신, 수정 가능하도록(전표삭제없이)</t>
  </si>
  <si>
    <t>3. 전표수정시(회계권한자) 변경내용 &gt; 그룹웨어 회계전표 내용 수정 처리 (작성/수신문서 2건)</t>
  </si>
  <si>
    <t>4. 전표 체크 기능 : 동일날짜, 동일금액, 동일계정, 동일관리사항에 대해서 경고 또는 작성불가</t>
  </si>
  <si>
    <t>5. 전자결재 품의서 : 요약정보, 세부현황 보기 선택기능 +-, 회계전표, 구매요청서, 구매품의서</t>
  </si>
  <si>
    <t xml:space="preserve">6. 폰트 조정 기능 </t>
  </si>
  <si>
    <t>회계</t>
  </si>
  <si>
    <t>3. [전표입력] 회계일 컨트롤 속성이 YM-1LD 인데, 15일 ~ 말일까지는 YMLD, 1일부터 14일까지는 YM-1LD -&gt; 쿼리 요청</t>
  </si>
  <si>
    <t>4. [차입금등 유동성대체 확인을 위한 화면] 유동성 대체가 필요한 계정들에 만기일을 입력하면 현시점기준 만기일까지의 기간을 확인할수 있는 화면 제공</t>
  </si>
  <si>
    <t>5. [미상계잔액 관리기능] 매출이 완료된 프로젝트번호에 대해 선수금/미수금등 잔액으로 남지말아야 하는 계정들의 잔액을 확인할수 있는 조회화면 제공</t>
  </si>
  <si>
    <t>6. 매출되지 않은 선수금/미수금 자동상계 기능 추가(세금계산서 발급건) 또는 조회화면 추가</t>
  </si>
  <si>
    <t>8. 관리항목x계정별원장(_pemtron)] 화면에서 Total이 표시되나, 필터설정시 Total이 사라짐(필더값으로 합계 표시)</t>
  </si>
  <si>
    <t>9. [원장상세조회], [건별반제조회], [건별반제상세조회] 에서 전표번호 추가 요청 (회계전표, 전표행번호는 표시됨)</t>
  </si>
  <si>
    <t>10. 원장상세조회에서 관리항목에 거래처분류항목 추가, 거래처등록에서 기타정보의 거래처분류값을 조건으로 설정할 수 있도록 추가</t>
  </si>
  <si>
    <t>11. 반제전표 입력시 계정과목 고정되지 않고 전체조회할 수 있거나 여러계정 조회가능하게 설정</t>
  </si>
  <si>
    <t>업무용승용차운행기록부</t>
  </si>
  <si>
    <t>1. ESS메뉴 등록,  법인차량 사용자 권한관리 (법인카드 사용자 등록과 유사방법)</t>
  </si>
  <si>
    <t>2. 입력방식 개선 - 주행거리 입력시 자동 계산 (주행후), 중간 데이타 수정시 이후 데이타 자동 수정 또는 재계산 &gt; 더존과 비슷한 방법 적용</t>
  </si>
  <si>
    <t>2. 프로젝트재료자원에 이미 구매요청한 품목의 비고란에 삭제 또는 수정사항 기입할 수 있는 기능 추가, 담당자 이력관리 기능이 필요.</t>
  </si>
  <si>
    <t>3. 프로젝트 재료자원등록 복사 기능 (예 A -&gt; B, C, D, E 한번에 복사)</t>
  </si>
  <si>
    <t>영업/수출</t>
  </si>
  <si>
    <t>1. 프로젝트수출B/L에서 환율 적용일자가 선적일자로 자동 입력</t>
  </si>
  <si>
    <t>2. 프로젝트입력 &gt; 관리항목 &gt; 시리얼번호 자동 연동 처리 ----&gt; 생산실적관리 입력시 또는 변경시 (프로젝트번호)</t>
  </si>
  <si>
    <t>3. 프로젝트조회(관리항목)에서 조회조건 프로젝트유형 필수 조건 삭제, 조회조건에 비고란 추가 &gt; 조건 : 프로젝트별 유형항목을 통일시켜야 함. / 별도 조회 화면 개발</t>
  </si>
  <si>
    <t>5. 프로젝트매출세금계산서입력(청구) 화면에서 계산서 발행 여부와 상관없이 채권계정 수정 가능하도록 (단 전표처리 전)</t>
  </si>
  <si>
    <t>구매/수입</t>
  </si>
  <si>
    <t>2. 발주조회시 납품일자가 임박한 경우 노란색(1주) &gt; 주황색(3일) &gt; 빨간색(지난경우)</t>
  </si>
  <si>
    <t>3. 프로젝트자재구매진행조회 &gt; 기타출고수량, 출고수량 제외 옵션</t>
  </si>
  <si>
    <t>4. 자산분류별(개발자재, 정부과제)에 따른 외상매입금 또는 외상매입금(정부과제)로 자동전표 처리</t>
  </si>
  <si>
    <t>5. 거래처, 세금계산서일자가 같은 다건의 세금계산서 처리시, 부가세 라인과 부가세신고시 문제되지 않도록 수정 : 발주번호가 여러건인 경우 부가세 생성라인 선택 필요)</t>
  </si>
  <si>
    <t>6. [프로젝트구매납품입력] 매출처리된 프로젝트의 경우 자동으로 특정프로젝트로 변경 또는 안내메시지 처리</t>
  </si>
  <si>
    <t>9. 구매요청서 기준으로 담당자가 (수령, 사용) 여부 체크 기능 &gt; 출하처리시 제어 요청.</t>
  </si>
  <si>
    <t xml:space="preserve">10. 발주입력 시 단가 설정기준 최근 입고단가 &gt; 단가설정  </t>
  </si>
  <si>
    <t>11. 프로젝트 구매납품 조회발주품의 입고시 입고기준 파설로 입고시 일부입고처리 가능 여부</t>
  </si>
  <si>
    <t>무역</t>
  </si>
  <si>
    <t xml:space="preserve">4. 전표라인 복사시 거래처가 복사 않됨. </t>
  </si>
  <si>
    <t>CS</t>
  </si>
  <si>
    <t>1. CS창고 기타출고 및 조회 프로그램 개발 - 출고처리 근거를 세부적으로 관리하고자 함.</t>
  </si>
  <si>
    <t>2. 창고재고의 품목 조회시 추적기능 필요 - 구매입고번호, 자재이동 기록등 세부적인 기록 확인하고자 함.</t>
  </si>
  <si>
    <t>품질</t>
  </si>
  <si>
    <t>1. 조회화면에서(최종검사,출하검사,품목별예외검사) : End User, 시리얼번호 표시</t>
  </si>
  <si>
    <t>2. 각부서 (국내영업, CS, 해외영업, 무역 ) 별 최종, 출하 성적서 인쇄 가능 기능</t>
  </si>
  <si>
    <t>3. 품목별 예상검사대상등록 화면 등록 시 자동으로 품번 순으로 정리 되어 조회가 되는데  등록한 순서 그대로 조회 요청.</t>
  </si>
  <si>
    <t>4. 프로젝트 출하 관리 보기만 가능( 입력 내용 확인 차)</t>
  </si>
  <si>
    <t>5. 프로젝트작업실적 조회 화면에서 정렬 시 정렬 상태 로그아웃 전까지는 그대로 유지.</t>
  </si>
  <si>
    <t>6, ERP에서 검사성적서 출력 시 하기 서명란에 검사자 별로 사인이미지와 함께 출력</t>
  </si>
  <si>
    <t>생산</t>
  </si>
  <si>
    <t>1. 모바일버전 급여명세서 확인시 화면이 적어서 불편, 개선요청</t>
  </si>
  <si>
    <t>2. 생산요청서 결재완료시 프로젝트작업실적입력(호기) 입력 연동 처리 (생산요청서 일부데이타를 자동 입력처리)</t>
  </si>
  <si>
    <t>인사/급여</t>
  </si>
  <si>
    <t>2. 휴가신청시 &gt; 다우오피스 상태에 휴가로 표시 처리 (연동검토)</t>
  </si>
  <si>
    <t>3. 휴가신청서 양식 수정보완, 세부현황, 반차, 반반차 자동입력 처리 (오전반차(9-14), 오후반차(14-18), 오전반반차(9-10), 오후반반차(16-18))</t>
  </si>
  <si>
    <t xml:space="preserve">4. 시간외 근무신청서 : 식사여부(점심/저녁) 체크항목시 각 근무시간 1시간씩 제외 필요 </t>
  </si>
  <si>
    <t>5. [승급기준등록] –&gt; 년차에 따라 매년 자동으로 승급 대상자 선별 및 반영 기능 가능여부</t>
  </si>
  <si>
    <t>6. 개인/연도별 연봉 현황 조회 기능 : ESS 메뉴</t>
  </si>
  <si>
    <t xml:space="preserve">보고서 </t>
  </si>
  <si>
    <t xml:space="preserve">필터 넣으면  total 나옴 </t>
    <phoneticPr fontId="1" type="noConversion"/>
  </si>
  <si>
    <t>승인전의 기표 번호  ( 보고서 수정)</t>
    <phoneticPr fontId="1" type="noConversion"/>
  </si>
  <si>
    <t>1. 구매요청서 작성시, 입력하는 프로젝트번호의 BOM(프로젝트재료자원)에 자동 등록 
(제품코드 &gt; assy &gt; 원자재코드로 구성됨)</t>
    <phoneticPr fontId="1" type="noConversion"/>
  </si>
  <si>
    <t>설계자 구매요청하는 경우 많음,  최종 bom 볼 수 있는 형태, ( 연 600개 정도 ,반양산 정도 )
도면보고 bom 넣음,  설계자 직접 구매요청함.
 판매용 프프젝트 코도 = 제품코드
 L1 제품코드
   L2  ASSY 
     L3   ASSY(원자재) 
소요량 특정 수량</t>
    <phoneticPr fontId="1" type="noConversion"/>
  </si>
  <si>
    <t xml:space="preserve">수정할 수 있는 버튼 </t>
    <phoneticPr fontId="1" type="noConversion"/>
  </si>
  <si>
    <t xml:space="preserve">복사 기능 </t>
    <phoneticPr fontId="1" type="noConversion"/>
  </si>
  <si>
    <t>4. 선수금조회화면에서 대체전표 입력시 같은 프로젝트만 선택가능한데 여러 건을 동시에 선택하여 한번에 전표 작성</t>
    <phoneticPr fontId="1" type="noConversion"/>
  </si>
  <si>
    <t>현제 세금게산서 발행하면 수정안됨.</t>
    <phoneticPr fontId="1" type="noConversion"/>
  </si>
  <si>
    <t>6. 프로젝트매출품목 조회/프로젝트수출매출조회에서 계산서 단위로 조회됨, 프로젝트단위로 조회도 가능하도록(프로젝트 A,B를 하나의 계산서로 처리시 A프로젝트만 조회됨)</t>
    <phoneticPr fontId="1" type="noConversion"/>
  </si>
  <si>
    <t>묶여처리 시  프로젝트로 조회할때 1건만 조회 가능</t>
    <phoneticPr fontId="1" type="noConversion"/>
  </si>
  <si>
    <r>
      <rPr>
        <b/>
        <sz val="10"/>
        <color theme="1"/>
        <rFont val="맑은 고딕"/>
        <family val="3"/>
        <charset val="129"/>
        <scheme val="minor"/>
      </rPr>
      <t>구매입고 전표</t>
    </r>
    <r>
      <rPr>
        <sz val="10"/>
        <color theme="1"/>
        <rFont val="맑은 고딕"/>
        <family val="3"/>
        <charset val="129"/>
        <scheme val="minor"/>
      </rPr>
      <t xml:space="preserve"> 
자산분류(원자재/개발자재/정부과제자재)에 따라 상대계정 자동 분기 요청	
 - 자산분류 항목은 현재 어떤 기준으로 구분되고 있는지? 상대계정은 몇 개 수준인지?</t>
    </r>
    <phoneticPr fontId="1" type="noConversion"/>
  </si>
  <si>
    <t xml:space="preserve">구매입고 전표 
자산 선택되어 있는데 , 상대계정 선택 안되어 있다 </t>
    <phoneticPr fontId="1" type="noConversion"/>
  </si>
  <si>
    <t xml:space="preserve">계산서 2개 받으면 하나 로 처리 할 경우 
</t>
    <phoneticPr fontId="1" type="noConversion"/>
  </si>
  <si>
    <t xml:space="preserve">매출처리 끝나는데 아직 입구처리안햇음 . 
 ( 재고 남아서 비용떨어버림, 다른 프로젝트에 투입 , 원래 프로젝트 재고 남음 ) </t>
    <phoneticPr fontId="1" type="noConversion"/>
  </si>
  <si>
    <t xml:space="preserve">출고번호 따로 만들어 , 구매 요청번호이랑 연계 
구매요청하면 - 출고요청할거라 ,   
( 입고시 출고요청 자동 할 수 있게 ,  사용자 알 수 있으니까 </t>
    <phoneticPr fontId="1" type="noConversion"/>
  </si>
  <si>
    <t>8. 프로젝트구매요청시 N, D로 시작하는 코드가 아닌 경우 RM코드 사용 불가, 재료자원등록시 RM코드 등록 불가</t>
    <phoneticPr fontId="1" type="noConversion"/>
  </si>
  <si>
    <t xml:space="preserve">프로젝트 번호 있음.  n/d 코드 시작한거 아니면 rm코드 사용불가  
재료자원등록시 RM코드 등록 불가, ( 경고알림) </t>
    <phoneticPr fontId="1" type="noConversion"/>
  </si>
  <si>
    <t>구매요청 서, 출하처리 시  체크 기능,</t>
    <phoneticPr fontId="1" type="noConversion"/>
  </si>
  <si>
    <t xml:space="preserve">품목 단가  최근 단가 가져오면 ( 환경설정) </t>
    <phoneticPr fontId="1" type="noConversion"/>
  </si>
  <si>
    <t>테스트 필요</t>
    <phoneticPr fontId="1" type="noConversion"/>
  </si>
  <si>
    <t>2. [프로젝트수출출하의뢰입력] - 출하 의뢰 전 납품거래처의 Payment조건 및 미수금액 표시,  조건에 따른 출하의뢰 진행하기 위함.</t>
    <phoneticPr fontId="1" type="noConversion"/>
  </si>
  <si>
    <t xml:space="preserve">수출오더 없으니까 </t>
    <phoneticPr fontId="1" type="noConversion"/>
  </si>
  <si>
    <t xml:space="preserve">진행조회 있는데  ㅡjump 할 수 있게 </t>
    <phoneticPr fontId="1" type="noConversion"/>
  </si>
  <si>
    <t>비고 사항 말고 세부적으로 관리
CS창고 관리 하고 싶음</t>
    <phoneticPr fontId="1" type="noConversion"/>
  </si>
  <si>
    <t>3. 창고별 수불집계조회 : 조회조건 추가 입고수량 0제외, 출고수량 0제외 (필터 기능이 있으나, 사용법 문제)</t>
    <phoneticPr fontId="1" type="noConversion"/>
  </si>
  <si>
    <t>필터 기능 필요</t>
    <phoneticPr fontId="1" type="noConversion"/>
  </si>
  <si>
    <t xml:space="preserve">개인별 관리하고 있대 </t>
    <phoneticPr fontId="1" type="noConversion"/>
  </si>
  <si>
    <t>7. 프로젝트출하의뢰시 검사예정일  =&lt; 출하의뢰일 입력 가능해야 함, 프로젝트출하검사합력 &gt; 다음단계 진행 컨트롤....</t>
    <phoneticPr fontId="1" type="noConversion"/>
  </si>
  <si>
    <t>다우에서 휴가 표시 , ERP에서 휴가 표시 안됨 
 양방향으로 데이터 전송하고 싶음 ,  개발</t>
    <phoneticPr fontId="1" type="noConversion"/>
  </si>
  <si>
    <t xml:space="preserve">세부사항 </t>
    <phoneticPr fontId="1" type="noConversion"/>
  </si>
  <si>
    <t xml:space="preserve">식사여부 ( 평일 잔업시 , 점심 먹었으면  체크 항목 넣었으면 </t>
    <phoneticPr fontId="1" type="noConversion"/>
  </si>
  <si>
    <t>연차 바꿔주는거,   입사년도 바꾸면  일관 수정하는 기능</t>
    <phoneticPr fontId="1" type="noConversion"/>
  </si>
  <si>
    <t xml:space="preserve">개인 조회 할 수 있는 화면 (  어느 금액 확인 필요하는지 현업 확인)  </t>
    <phoneticPr fontId="1" type="noConversion"/>
  </si>
  <si>
    <t xml:space="preserve">  - 중간 행 삭제시 행번호 순차적 자동 채번</t>
    <phoneticPr fontId="1" type="noConversion"/>
  </si>
  <si>
    <t xml:space="preserve"> -  입력시 더블클릭 대신 클릭으로 변경?</t>
    <phoneticPr fontId="1" type="noConversion"/>
  </si>
  <si>
    <t>전표 수정 시 회계 관리자 승인 방식 논의</t>
  </si>
  <si>
    <t>수출 실적 BL vs 통관 기준 vs 전표기준 집계 병행 검토</t>
  </si>
  <si>
    <t>전표입력 회계일 YM-1LD 조건 개선 쿼리 요청</t>
  </si>
  <si>
    <t>구매요청서 작성 시 BOM 자동 등록</t>
  </si>
  <si>
    <t>재료자원 복사 기능 (A → B, C, D, E 동시 복사)</t>
  </si>
  <si>
    <t>삭제·수정사항 비고란 기입 및 담당자 이력관리</t>
  </si>
  <si>
    <t>관리항목 시리얼번호 연동, 유형 조건 제거 요청</t>
  </si>
  <si>
    <t>선수금 전표입력 시 다건 처리 허용 요청</t>
  </si>
  <si>
    <t>계산서 발행 전 채권계정 수정 허용</t>
  </si>
  <si>
    <t>자재기타출고요청 &gt; MAIL 발송 기능</t>
  </si>
  <si>
    <t>납기일 임박 발주건 색상 표시 (노랑/주황/빨강)</t>
  </si>
  <si>
    <t>기타출고수량 제외 옵션 추가</t>
  </si>
  <si>
    <t>RM코드 규칙 및 부가세 처리 기준 개선</t>
  </si>
  <si>
    <t>출하의뢰 전, 거래처 Payment 조건/미수금 체크 기능 요청</t>
  </si>
  <si>
    <t>납품예정 팝업에서 해당 메뉴로 점프 기능</t>
  </si>
  <si>
    <t>시리얼/End User 표시, 성적서 출력 기능 확대</t>
  </si>
  <si>
    <t>검사성적서 서명 이미지 포함 출력 요청</t>
  </si>
  <si>
    <t>출하검사 시 검사예정일이 출하일 이전이어야 하는 로직 해제 요청</t>
  </si>
  <si>
    <t>모바일 화면에서 급여명세서 보기 불편 개선</t>
  </si>
  <si>
    <t>생산요청서 완료 시 프로젝트 실적입력 자동 연동</t>
  </si>
  <si>
    <t>조직별 연차 관리, ESS에서 연봉 현황 조회 가능하게</t>
  </si>
  <si>
    <t>다우오피스와 연동된 휴가/근태 자동 반영</t>
  </si>
  <si>
    <t>반차/반반차 자동입력, 시간외 근무 시 식사 체크 포함</t>
  </si>
  <si>
    <t>경비 처리 개선: 계정 직접 선택 없이 단계적 선택/Flow 형태 구성 요청</t>
  </si>
  <si>
    <t>법인카드 수정: 전표 삭제 없이 수정 가능해야 함</t>
    <phoneticPr fontId="1" type="noConversion"/>
  </si>
  <si>
    <t>공수</t>
    <phoneticPr fontId="1" type="noConversion"/>
  </si>
  <si>
    <t>페키지확인필요</t>
    <phoneticPr fontId="1" type="noConversion"/>
  </si>
  <si>
    <t>불가</t>
    <phoneticPr fontId="1" type="noConversion"/>
  </si>
  <si>
    <t>신규</t>
    <phoneticPr fontId="1" type="noConversion"/>
  </si>
  <si>
    <t xml:space="preserve">중복 전표 방지 로직추가 : 동일날짜/금액/계정/관리항목 조합 경고 
조회화면 </t>
    <phoneticPr fontId="1" type="noConversion"/>
  </si>
  <si>
    <t>전자결재 품의서 요약/세부 보기 toggle 기능
현재사용중인 HTML 불가 
영림원_다우 개발통해 진행가능</t>
    <phoneticPr fontId="1" type="noConversion"/>
  </si>
  <si>
    <t xml:space="preserve">불가 </t>
    <phoneticPr fontId="1" type="noConversion"/>
  </si>
  <si>
    <t xml:space="preserve">신규 </t>
    <phoneticPr fontId="1" type="noConversion"/>
  </si>
  <si>
    <t>선수금/미수금 상계 또는 잔액조회 기능</t>
    <phoneticPr fontId="1" type="noConversion"/>
  </si>
  <si>
    <t>확인필요</t>
    <phoneticPr fontId="1" type="noConversion"/>
  </si>
  <si>
    <t>상계처리버튼 사용법</t>
    <phoneticPr fontId="1" type="noConversion"/>
  </si>
  <si>
    <t>현업확인필요</t>
    <phoneticPr fontId="1" type="noConversion"/>
  </si>
  <si>
    <t>업무프로세스 재확인 필요</t>
    <phoneticPr fontId="1" type="noConversion"/>
  </si>
  <si>
    <t>1. 조직별 : 연차일, 사용일, 잔여일수, 연차사용내역 세부현황 조회화면, 팀관리차원 : 권한자 설정</t>
    <phoneticPr fontId="1" type="noConversion"/>
  </si>
  <si>
    <t>부서</t>
    <phoneticPr fontId="1" type="noConversion"/>
  </si>
  <si>
    <t>공통사항</t>
    <phoneticPr fontId="1" type="noConversion"/>
  </si>
  <si>
    <t>12. 건설중인자산 대체처리 개선 
ex) 고정자산 500 / 건설중인자산 200  / 미지급금 300</t>
    <phoneticPr fontId="1" type="noConversion"/>
  </si>
  <si>
    <t>기능</t>
    <phoneticPr fontId="1" type="noConversion"/>
  </si>
  <si>
    <t>요청사항</t>
    <phoneticPr fontId="1" type="noConversion"/>
  </si>
  <si>
    <t>개발방향to-be</t>
    <phoneticPr fontId="1" type="noConversion"/>
  </si>
  <si>
    <t>구분</t>
    <phoneticPr fontId="1" type="noConversion"/>
  </si>
  <si>
    <t>난이도</t>
    <phoneticPr fontId="1" type="noConversion"/>
  </si>
  <si>
    <t>중</t>
    <phoneticPr fontId="1" type="noConversion"/>
  </si>
  <si>
    <t>하</t>
    <phoneticPr fontId="1" type="noConversion"/>
  </si>
  <si>
    <t>PMS</t>
    <phoneticPr fontId="1" type="noConversion"/>
  </si>
  <si>
    <t>7. 자재기타출고요청조회에서 대표 프로젝트 및 구매요청번호 연계</t>
    <phoneticPr fontId="1" type="noConversion"/>
  </si>
  <si>
    <t>고도화개선요청 건( 2025.07)</t>
    <phoneticPr fontId="1" type="noConversion"/>
  </si>
  <si>
    <t>전표번호 / 거래처분류 조건 추가 요청</t>
    <phoneticPr fontId="1" type="noConversion"/>
  </si>
  <si>
    <t>사용법안내</t>
    <phoneticPr fontId="1" type="noConversion"/>
  </si>
  <si>
    <t>사용법</t>
  </si>
  <si>
    <t>7. 계정별원장 조회에서 조회기간 단일 &gt; 기간설정 (From ~ To)</t>
    <phoneticPr fontId="1" type="noConversion"/>
  </si>
  <si>
    <t xml:space="preserve">
</t>
    <phoneticPr fontId="1" type="noConversion"/>
  </si>
  <si>
    <t xml:space="preserve">계정별원장'에서 
&gt; 기간설정 (From ~ To)로 조회화면 신규개발 
# 속도이슈 있을수있음 </t>
    <phoneticPr fontId="1" type="noConversion"/>
  </si>
  <si>
    <t>보고서개발
유동성 대체 확인 화면 요청 (만기일 입력 → 유동성 자동계산)</t>
    <phoneticPr fontId="1" type="noConversion"/>
  </si>
  <si>
    <t xml:space="preserve">보고서개발
</t>
    <phoneticPr fontId="1" type="noConversion"/>
  </si>
  <si>
    <t xml:space="preserve">전표조회화면에서 중복 전표 로직추가 : 동일날짜/금액/계정/관리항목에 대해서 조회 </t>
    <phoneticPr fontId="1" type="noConversion"/>
  </si>
  <si>
    <t>추가설명</t>
    <phoneticPr fontId="1" type="noConversion"/>
  </si>
  <si>
    <t>권한관리를 통해 법인차량별 담당가가 있기 때문에, 담당자는 본인의 담당 법인차량만 조회 가능하도록 로직</t>
    <phoneticPr fontId="1" type="noConversion"/>
  </si>
  <si>
    <t>비고수정가능 -&gt;저장 버튼추가</t>
    <phoneticPr fontId="1" type="noConversion"/>
  </si>
  <si>
    <t>프로젝트 수출 B/L 선적일 기준 환율 자동 반영</t>
    <phoneticPr fontId="1" type="noConversion"/>
  </si>
  <si>
    <t>관리항목 다 보여주기 다이나믹식으로( 하트코딩)
#속도영향 있음</t>
    <phoneticPr fontId="1" type="noConversion"/>
  </si>
  <si>
    <t>1. ESS메뉴 &gt; 자재기타출고요청입력에서 MAIL 발송 가능하도록 처리</t>
    <phoneticPr fontId="1" type="noConversion"/>
  </si>
  <si>
    <t>ESS메뉴 &gt; 자재기타출고요청입력에서 EMAIL발송 기능 추가</t>
    <phoneticPr fontId="1" type="noConversion"/>
  </si>
  <si>
    <t>1. [프로젝트조회] 시리얼 번호 조회 기능 추가</t>
    <phoneticPr fontId="1" type="noConversion"/>
  </si>
  <si>
    <t>2. 부가세자료집계처리 : 현재 수출실적명세서는 BL 또는 통관을 기준으로 집계하고 있는데 해당 부분을 전표 집계가 추가될 수 있는지 확인하고 싶습니다.
           부가세 BL 및 통관 기준은 각 장비 및 부품이 따로나가는 경우 하나의 신고서가 여러 개로 쪼개지는 경우가 있어, 부가세 신고서와 매칭이 힘듭니다.</t>
    <phoneticPr fontId="1" type="noConversion"/>
  </si>
  <si>
    <t>환경설정</t>
    <phoneticPr fontId="1" type="noConversion"/>
  </si>
  <si>
    <t xml:space="preserve"> [프로젝트조회]에서 serio No. 보여줌/ 백만 15번 기준 넣어주기</t>
    <phoneticPr fontId="1" type="noConversion"/>
  </si>
  <si>
    <t>3. [프로젝트납품예정내역조회]에서 진행조회 팝업의 내용을 선택시 해당 메뉴로 점프.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</si>
</sst>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0"/>
      <color theme="1"/>
      <name val="맑은 고딕"/>
      <family val="3"/>
      <charset val="129"/>
      <scheme val="minor"/>
    </font>
    <font>
      <sz val="10"/>
      <color theme="1"/>
      <name val="맑은 고딕"/>
      <family val="3"/>
      <charset val="129"/>
      <scheme val="minor"/>
    </font>
    <font>
      <b/>
      <sz val="11"/>
      <color theme="4"/>
      <name val="맑은 고딕"/>
      <family val="3"/>
      <charset val="129"/>
      <scheme val="minor"/>
    </font>
    <font>
      <b/>
      <sz val="11"/>
      <color theme="9"/>
      <name val="맑은 고딕"/>
      <family val="3"/>
      <charset val="129"/>
      <scheme val="minor"/>
    </font>
    <font>
      <b/>
      <sz val="11"/>
      <color rgb="FFFF0000"/>
      <name val="맑은 고딕"/>
      <family val="3"/>
      <charset val="129"/>
      <scheme val="minor"/>
    </font>
    <font>
      <b/>
      <u/>
      <sz val="10"/>
      <color rgb="FFFF0000"/>
      <name val="맑은 고딕"/>
      <family val="3"/>
      <charset val="129"/>
      <scheme val="minor"/>
    </font>
    <font>
      <b/>
      <sz val="10"/>
      <color theme="4"/>
      <name val="맑은 고딕"/>
      <family val="3"/>
      <charset val="129"/>
      <scheme val="minor"/>
    </font>
    <font>
      <sz val="10"/>
      <color theme="4"/>
      <name val="맑은 고딕"/>
      <family val="3"/>
      <charset val="129"/>
      <scheme val="minor"/>
    </font>
    <font>
      <sz val="10"/>
      <color rgb="FFEE0000"/>
      <name val="맑은 고딕"/>
      <family val="3"/>
      <charset val="129"/>
      <scheme val="minor"/>
    </font>
    <font>
      <sz val="9"/>
      <color theme="1"/>
      <name val="맑은 고딕"/>
      <family val="2"/>
      <charset val="129"/>
      <scheme val="minor"/>
    </font>
    <font>
      <sz val="9"/>
      <color theme="1"/>
      <name val="맑은 고딕"/>
      <family val="3"/>
      <charset val="129"/>
      <scheme val="minor"/>
    </font>
  </fonts>
  <fills count="6">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s>
  <cellStyleXfs count="1">
    <xf numFmtId="0" fontId="0" fillId="0" borderId="0">
      <alignment vertical="center"/>
    </xf>
  </cellStyleXfs>
  <cellXfs count="46">
    <xf numFmtId="0" fontId="0" fillId="0" borderId="0" xfId="0">
      <alignment vertical="center"/>
    </xf>
    <xf numFmtId="0" fontId="0" fillId="0" borderId="1" xfId="0" applyBorder="1" applyAlignment="1">
      <alignment horizontal="center" vertical="center"/>
    </xf>
    <xf numFmtId="0" fontId="0" fillId="0" borderId="1" xfId="0" applyBorder="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0" borderId="1" xfId="0" applyBorder="1">
      <alignment vertical="center"/>
    </xf>
    <xf numFmtId="0" fontId="0" fillId="0" borderId="1" xfId="0" applyBorder="1" applyAlignment="1">
      <alignment horizontal="center" vertical="center" wrapText="1"/>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0" fillId="4" borderId="1" xfId="0" applyFill="1" applyBorder="1">
      <alignment vertical="center"/>
    </xf>
    <xf numFmtId="0" fontId="5" fillId="0" borderId="1" xfId="0" applyFont="1" applyBorder="1">
      <alignment vertical="center"/>
    </xf>
    <xf numFmtId="0" fontId="6" fillId="0" borderId="1" xfId="0" applyFont="1" applyBorder="1">
      <alignment vertical="center"/>
    </xf>
    <xf numFmtId="14" fontId="0" fillId="0" borderId="0" xfId="0" applyNumberFormat="1">
      <alignment vertical="center"/>
    </xf>
    <xf numFmtId="0" fontId="0" fillId="4" borderId="2" xfId="0" applyFill="1" applyBorder="1">
      <alignment vertical="center"/>
    </xf>
    <xf numFmtId="0" fontId="7" fillId="0" borderId="1" xfId="0" applyFont="1" applyBorder="1">
      <alignment vertical="center"/>
    </xf>
    <xf numFmtId="14" fontId="2" fillId="3" borderId="0" xfId="0" applyNumberFormat="1" applyFont="1" applyFill="1">
      <alignment vertical="center"/>
    </xf>
    <xf numFmtId="0" fontId="7" fillId="3" borderId="1" xfId="0" applyFont="1" applyFill="1" applyBorder="1">
      <alignment vertical="center"/>
    </xf>
    <xf numFmtId="0" fontId="7" fillId="3" borderId="2" xfId="0" applyFont="1" applyFill="1" applyBorder="1">
      <alignment vertical="center"/>
    </xf>
    <xf numFmtId="0" fontId="2" fillId="3" borderId="0" xfId="0" applyFont="1" applyFill="1">
      <alignment vertical="center"/>
    </xf>
    <xf numFmtId="0" fontId="4" fillId="0" borderId="1" xfId="0" applyFont="1" applyBorder="1" applyAlignment="1">
      <alignment horizontal="left" vertical="center" wrapText="1"/>
    </xf>
    <xf numFmtId="0" fontId="4" fillId="5"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14" fontId="0" fillId="0" borderId="1" xfId="0" applyNumberFormat="1" applyBorder="1" applyAlignment="1">
      <alignment vertical="center" wrapText="1"/>
    </xf>
    <xf numFmtId="0" fontId="9" fillId="0" borderId="1" xfId="0" applyFont="1" applyBorder="1" applyAlignment="1">
      <alignment horizontal="left" vertical="center" wrapText="1"/>
    </xf>
    <xf numFmtId="0" fontId="12" fillId="0" borderId="0" xfId="0" applyFont="1" applyAlignment="1">
      <alignment vertical="center" wrapText="1"/>
    </xf>
    <xf numFmtId="0" fontId="13" fillId="0" borderId="0" xfId="0" applyFont="1" applyAlignment="1">
      <alignment vertical="center" wrapText="1"/>
    </xf>
    <xf numFmtId="0" fontId="13" fillId="3" borderId="0" xfId="0" applyFont="1" applyFill="1" applyAlignment="1">
      <alignment vertical="center" wrapText="1"/>
    </xf>
    <xf numFmtId="0" fontId="13" fillId="0" borderId="0" xfId="0" applyFont="1" applyAlignment="1">
      <alignment horizontal="left"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0" fillId="0" borderId="0" xfId="0" applyAlignment="1">
      <alignment horizontal="center" vertical="center"/>
    </xf>
    <xf numFmtId="0" fontId="13" fillId="2" borderId="1" xfId="0" applyFont="1" applyFill="1" applyBorder="1" applyAlignment="1">
      <alignment horizontal="center" vertical="center" wrapText="1"/>
    </xf>
    <xf numFmtId="0" fontId="13" fillId="0" borderId="0" xfId="0" applyFont="1">
      <alignment vertical="center"/>
    </xf>
    <xf numFmtId="0" fontId="13" fillId="0" borderId="1" xfId="0" applyFont="1" applyBorder="1" applyAlignment="1">
      <alignment horizontal="left" vertical="center" wrapText="1"/>
    </xf>
    <xf numFmtId="0" fontId="13" fillId="0" borderId="0" xfId="0" quotePrefix="1" applyFont="1" applyAlignment="1">
      <alignment horizontal="left" vertical="center" wrapText="1"/>
    </xf>
    <xf numFmtId="0" fontId="13" fillId="2" borderId="1" xfId="0" applyFont="1" applyFill="1" applyBorder="1" applyAlignment="1">
      <alignment horizontal="left" vertical="center" wrapText="1"/>
    </xf>
    <xf numFmtId="0" fontId="13" fillId="0" borderId="0" xfId="0" applyFont="1" applyAlignment="1">
      <alignment horizontal="left" vertical="center"/>
    </xf>
    <xf numFmtId="0" fontId="13" fillId="2" borderId="1" xfId="0" applyFont="1" applyFill="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3" xfId="0" applyFont="1" applyBorder="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205740</xdr:colOff>
      <xdr:row>7</xdr:row>
      <xdr:rowOff>22860</xdr:rowOff>
    </xdr:from>
    <xdr:to>
      <xdr:col>3</xdr:col>
      <xdr:colOff>30480</xdr:colOff>
      <xdr:row>9</xdr:row>
      <xdr:rowOff>45720</xdr:rowOff>
    </xdr:to>
    <xdr:cxnSp macro="">
      <xdr:nvCxnSpPr>
        <xdr:cNvPr id="5" name="연결선: 꺾임 4">
          <a:extLst>
            <a:ext uri="{FF2B5EF4-FFF2-40B4-BE49-F238E27FC236}">
              <a16:creationId xmlns:a16="http://schemas.microsoft.com/office/drawing/2014/main" id="{C4D3B893-3D8C-EB3F-454D-059937663A87}"/>
            </a:ext>
          </a:extLst>
        </xdr:cNvPr>
        <xdr:cNvCxnSpPr/>
      </xdr:nvCxnSpPr>
      <xdr:spPr>
        <a:xfrm flipV="1">
          <a:off x="1546860" y="1569720"/>
          <a:ext cx="495300" cy="464820"/>
        </a:xfrm>
        <a:prstGeom prst="bentConnector3">
          <a:avLst>
            <a:gd name="adj1" fmla="val -769"/>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662940</xdr:colOff>
      <xdr:row>3</xdr:row>
      <xdr:rowOff>123634</xdr:rowOff>
    </xdr:from>
    <xdr:to>
      <xdr:col>10</xdr:col>
      <xdr:colOff>153432</xdr:colOff>
      <xdr:row>24</xdr:row>
      <xdr:rowOff>214615</xdr:rowOff>
    </xdr:to>
    <xdr:pic>
      <xdr:nvPicPr>
        <xdr:cNvPr id="2" name="그림 1">
          <a:extLst>
            <a:ext uri="{FF2B5EF4-FFF2-40B4-BE49-F238E27FC236}">
              <a16:creationId xmlns:a16="http://schemas.microsoft.com/office/drawing/2014/main" id="{B6FBFF06-3D36-15D6-EDF6-E1DD844F4D72}"/>
            </a:ext>
          </a:extLst>
        </xdr:cNvPr>
        <xdr:cNvPicPr>
          <a:picLocks noChangeAspect="1"/>
        </xdr:cNvPicPr>
      </xdr:nvPicPr>
      <xdr:blipFill>
        <a:blip xmlns:r="http://schemas.openxmlformats.org/officeDocument/2006/relationships" r:embed="rId1"/>
        <a:stretch>
          <a:fillRect/>
        </a:stretch>
      </xdr:blipFill>
      <xdr:spPr>
        <a:xfrm>
          <a:off x="662940" y="786574"/>
          <a:ext cx="6363732" cy="47315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662940</xdr:colOff>
      <xdr:row>41</xdr:row>
      <xdr:rowOff>11281</xdr:rowOff>
    </xdr:from>
    <xdr:to>
      <xdr:col>13</xdr:col>
      <xdr:colOff>441960</xdr:colOff>
      <xdr:row>53</xdr:row>
      <xdr:rowOff>210239</xdr:rowOff>
    </xdr:to>
    <xdr:pic>
      <xdr:nvPicPr>
        <xdr:cNvPr id="3" name="그림 2">
          <a:extLst>
            <a:ext uri="{FF2B5EF4-FFF2-40B4-BE49-F238E27FC236}">
              <a16:creationId xmlns:a16="http://schemas.microsoft.com/office/drawing/2014/main" id="{43483417-D19E-2507-7604-DB68F801D2E9}"/>
            </a:ext>
          </a:extLst>
        </xdr:cNvPr>
        <xdr:cNvPicPr>
          <a:picLocks noChangeAspect="1"/>
        </xdr:cNvPicPr>
      </xdr:nvPicPr>
      <xdr:blipFill>
        <a:blip xmlns:r="http://schemas.openxmlformats.org/officeDocument/2006/relationships" r:embed="rId1"/>
        <a:stretch>
          <a:fillRect/>
        </a:stretch>
      </xdr:blipFill>
      <xdr:spPr>
        <a:xfrm>
          <a:off x="1333500" y="9071461"/>
          <a:ext cx="7825740" cy="2850718"/>
        </a:xfrm>
        <a:prstGeom prst="rect">
          <a:avLst/>
        </a:prstGeom>
      </xdr:spPr>
    </xdr:pic>
    <xdr:clientData/>
  </xdr:twoCellAnchor>
  <xdr:twoCellAnchor editAs="oneCell">
    <xdr:from>
      <xdr:col>2</xdr:col>
      <xdr:colOff>121921</xdr:colOff>
      <xdr:row>24</xdr:row>
      <xdr:rowOff>86803</xdr:rowOff>
    </xdr:from>
    <xdr:to>
      <xdr:col>13</xdr:col>
      <xdr:colOff>266701</xdr:colOff>
      <xdr:row>39</xdr:row>
      <xdr:rowOff>144753</xdr:rowOff>
    </xdr:to>
    <xdr:pic>
      <xdr:nvPicPr>
        <xdr:cNvPr id="4" name="그림 3">
          <a:extLst>
            <a:ext uri="{FF2B5EF4-FFF2-40B4-BE49-F238E27FC236}">
              <a16:creationId xmlns:a16="http://schemas.microsoft.com/office/drawing/2014/main" id="{84AF7753-452C-A9BB-364C-CA441F7DE701}"/>
            </a:ext>
          </a:extLst>
        </xdr:cNvPr>
        <xdr:cNvPicPr>
          <a:picLocks noChangeAspect="1"/>
        </xdr:cNvPicPr>
      </xdr:nvPicPr>
      <xdr:blipFill>
        <a:blip xmlns:r="http://schemas.openxmlformats.org/officeDocument/2006/relationships" r:embed="rId2"/>
        <a:stretch>
          <a:fillRect/>
        </a:stretch>
      </xdr:blipFill>
      <xdr:spPr>
        <a:xfrm>
          <a:off x="1463041" y="5390323"/>
          <a:ext cx="7520940" cy="3372650"/>
        </a:xfrm>
        <a:prstGeom prst="rect">
          <a:avLst/>
        </a:prstGeom>
      </xdr:spPr>
    </xdr:pic>
    <xdr:clientData/>
  </xdr:twoCellAnchor>
  <xdr:twoCellAnchor editAs="oneCell">
    <xdr:from>
      <xdr:col>2</xdr:col>
      <xdr:colOff>0</xdr:colOff>
      <xdr:row>58</xdr:row>
      <xdr:rowOff>79744</xdr:rowOff>
    </xdr:from>
    <xdr:to>
      <xdr:col>19</xdr:col>
      <xdr:colOff>263106</xdr:colOff>
      <xdr:row>74</xdr:row>
      <xdr:rowOff>69974</xdr:rowOff>
    </xdr:to>
    <xdr:pic>
      <xdr:nvPicPr>
        <xdr:cNvPr id="5" name="그림 4">
          <a:extLst>
            <a:ext uri="{FF2B5EF4-FFF2-40B4-BE49-F238E27FC236}">
              <a16:creationId xmlns:a16="http://schemas.microsoft.com/office/drawing/2014/main" id="{3B71FFA2-F5FB-CF38-34B9-B63D49A81584}"/>
            </a:ext>
          </a:extLst>
        </xdr:cNvPr>
        <xdr:cNvPicPr>
          <a:picLocks noChangeAspect="1"/>
        </xdr:cNvPicPr>
      </xdr:nvPicPr>
      <xdr:blipFill>
        <a:blip xmlns:r="http://schemas.openxmlformats.org/officeDocument/2006/relationships" r:embed="rId3"/>
        <a:stretch>
          <a:fillRect/>
        </a:stretch>
      </xdr:blipFill>
      <xdr:spPr>
        <a:xfrm>
          <a:off x="1341120" y="12896584"/>
          <a:ext cx="11662626" cy="35259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655320</xdr:colOff>
      <xdr:row>19</xdr:row>
      <xdr:rowOff>34524</xdr:rowOff>
    </xdr:from>
    <xdr:to>
      <xdr:col>16</xdr:col>
      <xdr:colOff>651687</xdr:colOff>
      <xdr:row>29</xdr:row>
      <xdr:rowOff>153947</xdr:rowOff>
    </xdr:to>
    <xdr:pic>
      <xdr:nvPicPr>
        <xdr:cNvPr id="3" name="그림 2">
          <a:extLst>
            <a:ext uri="{FF2B5EF4-FFF2-40B4-BE49-F238E27FC236}">
              <a16:creationId xmlns:a16="http://schemas.microsoft.com/office/drawing/2014/main" id="{ACF32F78-04E5-6C5A-0E00-A6240EC8A583}"/>
            </a:ext>
          </a:extLst>
        </xdr:cNvPr>
        <xdr:cNvPicPr>
          <a:picLocks noChangeAspect="1"/>
        </xdr:cNvPicPr>
      </xdr:nvPicPr>
      <xdr:blipFill>
        <a:blip xmlns:r="http://schemas.openxmlformats.org/officeDocument/2006/relationships" r:embed="rId1"/>
        <a:stretch>
          <a:fillRect/>
        </a:stretch>
      </xdr:blipFill>
      <xdr:spPr>
        <a:xfrm>
          <a:off x="655320" y="476484"/>
          <a:ext cx="11228247" cy="2329223"/>
        </a:xfrm>
        <a:prstGeom prst="rect">
          <a:avLst/>
        </a:prstGeom>
      </xdr:spPr>
    </xdr:pic>
    <xdr:clientData/>
  </xdr:twoCellAnchor>
  <xdr:twoCellAnchor editAs="oneCell">
    <xdr:from>
      <xdr:col>1</xdr:col>
      <xdr:colOff>45720</xdr:colOff>
      <xdr:row>30</xdr:row>
      <xdr:rowOff>144369</xdr:rowOff>
    </xdr:from>
    <xdr:to>
      <xdr:col>16</xdr:col>
      <xdr:colOff>754646</xdr:colOff>
      <xdr:row>45</xdr:row>
      <xdr:rowOff>87155</xdr:rowOff>
    </xdr:to>
    <xdr:pic>
      <xdr:nvPicPr>
        <xdr:cNvPr id="4" name="그림 3">
          <a:extLst>
            <a:ext uri="{FF2B5EF4-FFF2-40B4-BE49-F238E27FC236}">
              <a16:creationId xmlns:a16="http://schemas.microsoft.com/office/drawing/2014/main" id="{8A1B8F51-46D0-096D-320D-66F0ABD2D731}"/>
            </a:ext>
          </a:extLst>
        </xdr:cNvPr>
        <xdr:cNvPicPr>
          <a:picLocks noChangeAspect="1"/>
        </xdr:cNvPicPr>
      </xdr:nvPicPr>
      <xdr:blipFill>
        <a:blip xmlns:r="http://schemas.openxmlformats.org/officeDocument/2006/relationships" r:embed="rId2"/>
        <a:stretch>
          <a:fillRect/>
        </a:stretch>
      </xdr:blipFill>
      <xdr:spPr>
        <a:xfrm>
          <a:off x="716280" y="3017109"/>
          <a:ext cx="11270246" cy="3257486"/>
        </a:xfrm>
        <a:prstGeom prst="rect">
          <a:avLst/>
        </a:prstGeom>
      </xdr:spPr>
    </xdr:pic>
    <xdr:clientData/>
  </xdr:twoCellAnchor>
  <xdr:twoCellAnchor editAs="oneCell">
    <xdr:from>
      <xdr:col>1</xdr:col>
      <xdr:colOff>43180</xdr:colOff>
      <xdr:row>2</xdr:row>
      <xdr:rowOff>134537</xdr:rowOff>
    </xdr:from>
    <xdr:to>
      <xdr:col>14</xdr:col>
      <xdr:colOff>412544</xdr:colOff>
      <xdr:row>14</xdr:row>
      <xdr:rowOff>130175</xdr:rowOff>
    </xdr:to>
    <xdr:pic>
      <xdr:nvPicPr>
        <xdr:cNvPr id="5" name="그림 4">
          <a:extLst>
            <a:ext uri="{FF2B5EF4-FFF2-40B4-BE49-F238E27FC236}">
              <a16:creationId xmlns:a16="http://schemas.microsoft.com/office/drawing/2014/main" id="{D7A593F9-ADB9-80EF-6D62-18DB974E9BDA}"/>
            </a:ext>
          </a:extLst>
        </xdr:cNvPr>
        <xdr:cNvPicPr>
          <a:picLocks noChangeAspect="1"/>
        </xdr:cNvPicPr>
      </xdr:nvPicPr>
      <xdr:blipFill>
        <a:blip xmlns:r="http://schemas.openxmlformats.org/officeDocument/2006/relationships" r:embed="rId3"/>
        <a:stretch>
          <a:fillRect/>
        </a:stretch>
      </xdr:blipFill>
      <xdr:spPr>
        <a:xfrm>
          <a:off x="713105" y="579037"/>
          <a:ext cx="9078389" cy="266263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8222-9FC6-453C-8244-53F33F0C52F6}">
  <dimension ref="A1:F32"/>
  <sheetViews>
    <sheetView workbookViewId="0">
      <pane ySplit="1" topLeftCell="A6" activePane="bottomLeft" state="frozen"/>
      <selection pane="bottomLeft" activeCell="F11" sqref="F11"/>
    </sheetView>
  </sheetViews>
  <sheetFormatPr defaultRowHeight="17.399999999999999" x14ac:dyDescent="0.4"/>
  <cols>
    <col min="1" max="1" width="2.8984375" style="1" customWidth="1"/>
    <col min="2" max="2" width="17" style="1" customWidth="1"/>
    <col min="3" max="3" width="12.3984375" style="1" bestFit="1" customWidth="1"/>
    <col min="4" max="4" width="14.796875" style="7" customWidth="1"/>
    <col min="5" max="5" width="15.69921875" style="1" customWidth="1"/>
    <col min="6" max="6" width="100.69921875" style="2" customWidth="1"/>
  </cols>
  <sheetData>
    <row r="1" spans="1:6" ht="34.799999999999997" x14ac:dyDescent="0.4">
      <c r="A1" s="4" t="s">
        <v>9</v>
      </c>
      <c r="B1" s="4" t="s">
        <v>0</v>
      </c>
      <c r="C1" s="4" t="s">
        <v>1</v>
      </c>
      <c r="D1" s="4" t="s">
        <v>27</v>
      </c>
      <c r="E1" s="4" t="s">
        <v>8</v>
      </c>
      <c r="F1" s="4" t="s">
        <v>2</v>
      </c>
    </row>
    <row r="2" spans="1:6" ht="87" x14ac:dyDescent="0.4">
      <c r="A2" s="7">
        <v>1</v>
      </c>
      <c r="B2" s="7" t="s">
        <v>3</v>
      </c>
      <c r="C2" s="7" t="s">
        <v>4</v>
      </c>
      <c r="E2" s="7" t="s">
        <v>6</v>
      </c>
      <c r="F2" s="2" t="s">
        <v>13</v>
      </c>
    </row>
    <row r="3" spans="1:6" ht="69.599999999999994" x14ac:dyDescent="0.4">
      <c r="A3" s="7">
        <v>2</v>
      </c>
      <c r="B3" s="7" t="s">
        <v>3</v>
      </c>
      <c r="C3" s="7" t="s">
        <v>4</v>
      </c>
      <c r="E3" s="7" t="s">
        <v>7</v>
      </c>
      <c r="F3" s="2" t="s">
        <v>5</v>
      </c>
    </row>
    <row r="4" spans="1:6" ht="52.2" x14ac:dyDescent="0.4">
      <c r="A4" s="7">
        <v>3</v>
      </c>
      <c r="B4" s="7" t="s">
        <v>3</v>
      </c>
      <c r="C4" s="7" t="s">
        <v>4</v>
      </c>
      <c r="E4" s="7"/>
      <c r="F4" s="2" t="s">
        <v>10</v>
      </c>
    </row>
    <row r="5" spans="1:6" ht="104.4" x14ac:dyDescent="0.4">
      <c r="A5" s="7">
        <v>4</v>
      </c>
      <c r="B5" s="7" t="s">
        <v>3</v>
      </c>
      <c r="C5" s="7" t="s">
        <v>12</v>
      </c>
      <c r="E5" s="7"/>
      <c r="F5" s="2" t="s">
        <v>11</v>
      </c>
    </row>
    <row r="6" spans="1:6" ht="69.599999999999994" x14ac:dyDescent="0.4">
      <c r="A6" s="7">
        <v>5</v>
      </c>
      <c r="B6" s="7" t="s">
        <v>3</v>
      </c>
      <c r="C6" s="7" t="s">
        <v>4</v>
      </c>
      <c r="E6" s="7"/>
      <c r="F6" s="2" t="s">
        <v>14</v>
      </c>
    </row>
    <row r="7" spans="1:6" x14ac:dyDescent="0.4">
      <c r="A7" s="7">
        <v>6</v>
      </c>
      <c r="B7" s="7" t="s">
        <v>19</v>
      </c>
      <c r="C7" s="7"/>
      <c r="E7" s="7"/>
      <c r="F7" s="2" t="s">
        <v>15</v>
      </c>
    </row>
    <row r="8" spans="1:6" ht="52.2" x14ac:dyDescent="0.4">
      <c r="A8" s="7">
        <v>7</v>
      </c>
      <c r="B8" s="7" t="s">
        <v>19</v>
      </c>
      <c r="C8" s="7"/>
      <c r="E8" s="7"/>
      <c r="F8" s="2" t="s">
        <v>16</v>
      </c>
    </row>
    <row r="9" spans="1:6" ht="34.799999999999997" x14ac:dyDescent="0.4">
      <c r="A9" s="7">
        <v>8</v>
      </c>
      <c r="B9" s="7" t="s">
        <v>17</v>
      </c>
      <c r="C9" s="7" t="s">
        <v>18</v>
      </c>
      <c r="E9" s="7"/>
      <c r="F9" s="2" t="s">
        <v>20</v>
      </c>
    </row>
    <row r="10" spans="1:6" ht="34.799999999999997" x14ac:dyDescent="0.4">
      <c r="A10" s="7">
        <v>9</v>
      </c>
      <c r="B10" s="7" t="s">
        <v>17</v>
      </c>
      <c r="C10" s="7" t="s">
        <v>18</v>
      </c>
      <c r="E10" s="7"/>
      <c r="F10" s="2" t="s">
        <v>21</v>
      </c>
    </row>
    <row r="11" spans="1:6" ht="52.2" x14ac:dyDescent="0.4">
      <c r="A11" s="7">
        <v>10</v>
      </c>
      <c r="B11" s="7" t="s">
        <v>17</v>
      </c>
      <c r="C11" s="7" t="s">
        <v>18</v>
      </c>
      <c r="E11" s="7"/>
      <c r="F11" s="2" t="s">
        <v>22</v>
      </c>
    </row>
    <row r="12" spans="1:6" ht="34.799999999999997" x14ac:dyDescent="0.4">
      <c r="A12" s="7">
        <v>11</v>
      </c>
      <c r="B12" s="7" t="s">
        <v>23</v>
      </c>
      <c r="C12" s="7"/>
      <c r="E12" s="7"/>
      <c r="F12" s="2" t="s">
        <v>24</v>
      </c>
    </row>
    <row r="13" spans="1:6" ht="69.599999999999994" x14ac:dyDescent="0.4">
      <c r="A13" s="7">
        <v>12</v>
      </c>
      <c r="B13" s="7" t="s">
        <v>23</v>
      </c>
      <c r="C13" s="7"/>
      <c r="D13" s="7" t="s">
        <v>25</v>
      </c>
      <c r="E13" s="7"/>
      <c r="F13" s="2" t="s">
        <v>26</v>
      </c>
    </row>
    <row r="14" spans="1:6" x14ac:dyDescent="0.4">
      <c r="A14" s="7">
        <v>14</v>
      </c>
      <c r="B14" s="7" t="s">
        <v>28</v>
      </c>
      <c r="C14" s="7"/>
      <c r="E14" s="7"/>
      <c r="F14" s="2" t="s">
        <v>29</v>
      </c>
    </row>
    <row r="15" spans="1:6" x14ac:dyDescent="0.4">
      <c r="A15" s="7">
        <v>15</v>
      </c>
      <c r="B15" s="7" t="s">
        <v>28</v>
      </c>
      <c r="C15" s="7"/>
      <c r="E15" s="7"/>
      <c r="F15" s="2" t="s">
        <v>31</v>
      </c>
    </row>
    <row r="16" spans="1:6" ht="34.799999999999997" x14ac:dyDescent="0.4">
      <c r="A16" s="7">
        <v>16</v>
      </c>
      <c r="B16" s="7" t="s">
        <v>28</v>
      </c>
      <c r="C16" s="7"/>
      <c r="D16" s="7" t="s">
        <v>30</v>
      </c>
      <c r="E16" s="7"/>
      <c r="F16" s="2" t="s">
        <v>32</v>
      </c>
    </row>
    <row r="17" spans="1:6" ht="69.599999999999994" x14ac:dyDescent="0.4">
      <c r="A17" s="7">
        <v>17</v>
      </c>
      <c r="B17" s="7" t="s">
        <v>28</v>
      </c>
      <c r="C17" s="7"/>
      <c r="E17" s="7"/>
      <c r="F17" s="2" t="s">
        <v>33</v>
      </c>
    </row>
    <row r="18" spans="1:6" x14ac:dyDescent="0.4">
      <c r="A18" s="7">
        <v>18</v>
      </c>
      <c r="B18" s="7"/>
      <c r="C18" s="7"/>
      <c r="E18" s="7" t="s">
        <v>7</v>
      </c>
      <c r="F18" s="2" t="s">
        <v>34</v>
      </c>
    </row>
    <row r="19" spans="1:6" x14ac:dyDescent="0.4">
      <c r="A19" s="7">
        <v>19</v>
      </c>
      <c r="B19" s="7" t="s">
        <v>37</v>
      </c>
      <c r="C19" s="7"/>
      <c r="E19" s="7"/>
      <c r="F19" s="2" t="s">
        <v>35</v>
      </c>
    </row>
    <row r="20" spans="1:6" x14ac:dyDescent="0.4">
      <c r="A20" s="7">
        <v>20</v>
      </c>
      <c r="B20" s="7" t="s">
        <v>37</v>
      </c>
      <c r="C20" s="7"/>
      <c r="E20" s="7"/>
      <c r="F20" s="2" t="s">
        <v>36</v>
      </c>
    </row>
    <row r="21" spans="1:6" x14ac:dyDescent="0.4">
      <c r="A21" s="7">
        <v>21</v>
      </c>
      <c r="B21" s="7" t="s">
        <v>37</v>
      </c>
      <c r="C21" s="7"/>
      <c r="E21" s="7"/>
      <c r="F21" s="2" t="s">
        <v>39</v>
      </c>
    </row>
    <row r="22" spans="1:6" x14ac:dyDescent="0.4">
      <c r="A22" s="7">
        <v>22</v>
      </c>
      <c r="B22" s="7" t="s">
        <v>37</v>
      </c>
      <c r="C22" s="7"/>
      <c r="E22" s="7"/>
      <c r="F22" s="2" t="s">
        <v>38</v>
      </c>
    </row>
    <row r="23" spans="1:6" x14ac:dyDescent="0.4">
      <c r="A23" s="7">
        <v>23</v>
      </c>
      <c r="B23" s="7" t="s">
        <v>37</v>
      </c>
      <c r="C23" s="7"/>
      <c r="E23" s="7"/>
      <c r="F23" s="2" t="s">
        <v>40</v>
      </c>
    </row>
    <row r="24" spans="1:6" ht="34.799999999999997" x14ac:dyDescent="0.4">
      <c r="A24" s="7">
        <v>24</v>
      </c>
      <c r="B24" s="7" t="s">
        <v>41</v>
      </c>
      <c r="C24" s="7"/>
      <c r="E24" s="7"/>
      <c r="F24" s="2" t="s">
        <v>42</v>
      </c>
    </row>
    <row r="25" spans="1:6" ht="34.799999999999997" x14ac:dyDescent="0.4">
      <c r="A25" s="7">
        <v>25</v>
      </c>
      <c r="B25" s="7" t="s">
        <v>41</v>
      </c>
      <c r="C25" s="7"/>
      <c r="E25" s="7"/>
      <c r="F25" s="2" t="s">
        <v>43</v>
      </c>
    </row>
    <row r="26" spans="1:6" ht="34.799999999999997" x14ac:dyDescent="0.4">
      <c r="A26" s="7">
        <v>26</v>
      </c>
      <c r="B26" s="7" t="s">
        <v>41</v>
      </c>
      <c r="C26" s="7"/>
      <c r="E26" s="7"/>
      <c r="F26" s="2" t="s">
        <v>44</v>
      </c>
    </row>
    <row r="27" spans="1:6" ht="34.799999999999997" x14ac:dyDescent="0.4">
      <c r="A27" s="7">
        <v>27</v>
      </c>
      <c r="B27" s="7" t="s">
        <v>41</v>
      </c>
      <c r="C27" s="7"/>
      <c r="E27" s="7"/>
      <c r="F27" s="2" t="s">
        <v>45</v>
      </c>
    </row>
    <row r="28" spans="1:6" x14ac:dyDescent="0.4">
      <c r="A28" s="7">
        <v>28</v>
      </c>
      <c r="B28" s="7" t="s">
        <v>48</v>
      </c>
      <c r="C28" s="7"/>
      <c r="E28" s="7"/>
      <c r="F28" s="2" t="s">
        <v>49</v>
      </c>
    </row>
    <row r="29" spans="1:6" x14ac:dyDescent="0.4">
      <c r="A29" s="7"/>
      <c r="B29" s="7"/>
      <c r="C29" s="7"/>
      <c r="E29" s="7"/>
    </row>
    <row r="30" spans="1:6" x14ac:dyDescent="0.4">
      <c r="A30" s="7"/>
      <c r="B30" s="7"/>
      <c r="C30" s="7"/>
      <c r="E30" s="7"/>
      <c r="F30" s="5" t="s">
        <v>46</v>
      </c>
    </row>
    <row r="31" spans="1:6" x14ac:dyDescent="0.4">
      <c r="A31" s="7"/>
      <c r="B31" s="7"/>
      <c r="C31" s="7"/>
      <c r="E31" s="7"/>
    </row>
    <row r="32" spans="1:6" x14ac:dyDescent="0.4">
      <c r="A32" s="7"/>
      <c r="B32" s="7"/>
      <c r="C32" s="7"/>
      <c r="E32" s="7"/>
      <c r="F32" s="2" t="s">
        <v>47</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8F30-9666-4351-9FB1-172FCACEE3F7}">
  <sheetPr>
    <pageSetUpPr fitToPage="1"/>
  </sheetPr>
  <dimension ref="A1:G36"/>
  <sheetViews>
    <sheetView zoomScale="70" zoomScaleNormal="70" workbookViewId="0">
      <pane ySplit="1" topLeftCell="A15" activePane="bottomLeft" state="frozen"/>
      <selection pane="bottomLeft" activeCell="E19" sqref="E19"/>
    </sheetView>
  </sheetViews>
  <sheetFormatPr defaultRowHeight="17.399999999999999" x14ac:dyDescent="0.4"/>
  <cols>
    <col min="1" max="1" width="3.5" style="9" customWidth="1"/>
    <col min="2" max="2" width="14.19921875" style="23" customWidth="1"/>
    <col min="3" max="3" width="9.3984375" style="23" customWidth="1"/>
    <col min="4" max="4" width="14.796875" style="7" customWidth="1"/>
    <col min="5" max="5" width="80.09765625" style="20" customWidth="1"/>
    <col min="6" max="6" width="70" style="20" customWidth="1"/>
    <col min="7" max="7" width="11.19921875" style="6" customWidth="1"/>
  </cols>
  <sheetData>
    <row r="1" spans="1:7" x14ac:dyDescent="0.4">
      <c r="A1" s="8" t="s">
        <v>9</v>
      </c>
      <c r="B1" s="22" t="s">
        <v>0</v>
      </c>
      <c r="C1" s="22" t="s">
        <v>1</v>
      </c>
      <c r="D1" s="4" t="s">
        <v>27</v>
      </c>
      <c r="E1" s="8" t="s">
        <v>50</v>
      </c>
      <c r="F1" s="8"/>
      <c r="G1" s="3" t="s">
        <v>77</v>
      </c>
    </row>
    <row r="2" spans="1:7" ht="93.6" x14ac:dyDescent="0.4">
      <c r="A2" s="9">
        <v>1</v>
      </c>
      <c r="B2" s="23" t="s">
        <v>3</v>
      </c>
      <c r="C2" s="23" t="s">
        <v>4</v>
      </c>
      <c r="E2" s="20" t="s">
        <v>51</v>
      </c>
      <c r="F2" s="20" t="s">
        <v>120</v>
      </c>
    </row>
    <row r="3" spans="1:7" ht="87" customHeight="1" x14ac:dyDescent="0.4">
      <c r="A3" s="9">
        <v>2</v>
      </c>
      <c r="B3" s="23" t="s">
        <v>3</v>
      </c>
      <c r="C3" s="23" t="s">
        <v>4</v>
      </c>
      <c r="E3" s="20" t="s">
        <v>52</v>
      </c>
      <c r="F3" s="26" t="s">
        <v>122</v>
      </c>
    </row>
    <row r="4" spans="1:7" ht="69.599999999999994" customHeight="1" x14ac:dyDescent="0.4">
      <c r="A4" s="9">
        <v>3</v>
      </c>
      <c r="B4" s="23" t="s">
        <v>3</v>
      </c>
      <c r="C4" s="23" t="s">
        <v>4</v>
      </c>
      <c r="E4" s="20" t="s">
        <v>76</v>
      </c>
      <c r="F4" s="20" t="s">
        <v>114</v>
      </c>
    </row>
    <row r="5" spans="1:7" ht="93.6" x14ac:dyDescent="0.4">
      <c r="A5" s="9">
        <v>4</v>
      </c>
      <c r="B5" s="23" t="s">
        <v>3</v>
      </c>
      <c r="C5" s="23" t="s">
        <v>4</v>
      </c>
      <c r="E5" s="20" t="s">
        <v>115</v>
      </c>
      <c r="F5" s="20" t="s">
        <v>123</v>
      </c>
    </row>
    <row r="6" spans="1:7" ht="93.6" customHeight="1" x14ac:dyDescent="0.4">
      <c r="A6" s="9">
        <v>5</v>
      </c>
      <c r="B6" s="23" t="s">
        <v>3</v>
      </c>
      <c r="C6" s="23" t="s">
        <v>12</v>
      </c>
      <c r="E6" s="20" t="s">
        <v>53</v>
      </c>
      <c r="F6" s="21" t="s">
        <v>116</v>
      </c>
    </row>
    <row r="7" spans="1:7" ht="85.2" customHeight="1" x14ac:dyDescent="0.4">
      <c r="A7" s="9">
        <v>6</v>
      </c>
      <c r="B7" s="23" t="s">
        <v>3</v>
      </c>
      <c r="C7" s="23" t="s">
        <v>4</v>
      </c>
      <c r="E7" s="20" t="s">
        <v>54</v>
      </c>
      <c r="F7" s="20" t="s">
        <v>117</v>
      </c>
    </row>
    <row r="8" spans="1:7" ht="86.4" customHeight="1" x14ac:dyDescent="0.4">
      <c r="A8" s="9">
        <v>7</v>
      </c>
      <c r="B8" s="23" t="s">
        <v>19</v>
      </c>
      <c r="D8" s="7" t="s">
        <v>80</v>
      </c>
      <c r="E8" s="20" t="s">
        <v>55</v>
      </c>
      <c r="F8" s="20" t="s">
        <v>124</v>
      </c>
    </row>
    <row r="9" spans="1:7" ht="82.8" customHeight="1" x14ac:dyDescent="0.4">
      <c r="A9" s="9">
        <v>8</v>
      </c>
      <c r="B9" s="23" t="s">
        <v>19</v>
      </c>
      <c r="D9" s="7" t="s">
        <v>80</v>
      </c>
      <c r="E9" s="20" t="s">
        <v>56</v>
      </c>
      <c r="F9" s="20" t="s">
        <v>85</v>
      </c>
    </row>
    <row r="10" spans="1:7" ht="190.2" customHeight="1" x14ac:dyDescent="0.4">
      <c r="A10" s="9">
        <v>9</v>
      </c>
      <c r="B10" s="23" t="s">
        <v>17</v>
      </c>
      <c r="C10" s="23" t="s">
        <v>18</v>
      </c>
      <c r="E10" s="20" t="s">
        <v>57</v>
      </c>
      <c r="F10" s="20" t="s">
        <v>110</v>
      </c>
    </row>
    <row r="11" spans="1:7" ht="111" customHeight="1" x14ac:dyDescent="0.4">
      <c r="A11" s="9">
        <v>10</v>
      </c>
      <c r="B11" s="23" t="s">
        <v>17</v>
      </c>
      <c r="C11" s="23" t="s">
        <v>18</v>
      </c>
      <c r="E11" s="20" t="s">
        <v>58</v>
      </c>
      <c r="F11" s="20" t="s">
        <v>111</v>
      </c>
    </row>
    <row r="12" spans="1:7" ht="114" customHeight="1" x14ac:dyDescent="0.4">
      <c r="A12" s="9">
        <v>11</v>
      </c>
      <c r="B12" s="23" t="s">
        <v>17</v>
      </c>
      <c r="C12" s="23" t="s">
        <v>18</v>
      </c>
      <c r="E12" s="20" t="s">
        <v>79</v>
      </c>
      <c r="F12" s="20" t="s">
        <v>87</v>
      </c>
    </row>
    <row r="13" spans="1:7" ht="107.4" customHeight="1" x14ac:dyDescent="0.4">
      <c r="A13" s="9">
        <v>12</v>
      </c>
      <c r="B13" s="23" t="s">
        <v>17</v>
      </c>
      <c r="C13" s="23" t="s">
        <v>18</v>
      </c>
      <c r="E13" s="20" t="s">
        <v>78</v>
      </c>
      <c r="F13" s="20" t="s">
        <v>88</v>
      </c>
    </row>
    <row r="14" spans="1:7" ht="64.8" customHeight="1" x14ac:dyDescent="0.4">
      <c r="A14" s="9">
        <v>13</v>
      </c>
      <c r="B14" s="23" t="s">
        <v>59</v>
      </c>
      <c r="E14" s="20" t="s">
        <v>84</v>
      </c>
      <c r="F14" s="20" t="s">
        <v>99</v>
      </c>
    </row>
    <row r="15" spans="1:7" ht="67.8" customHeight="1" x14ac:dyDescent="0.4">
      <c r="A15" s="9">
        <v>14</v>
      </c>
      <c r="B15" s="23" t="s">
        <v>23</v>
      </c>
      <c r="D15" s="7" t="s">
        <v>25</v>
      </c>
      <c r="E15" s="20" t="s">
        <v>60</v>
      </c>
      <c r="F15" s="20" t="s">
        <v>98</v>
      </c>
    </row>
    <row r="16" spans="1:7" ht="55.8" customHeight="1" x14ac:dyDescent="0.4">
      <c r="A16" s="9">
        <v>15</v>
      </c>
      <c r="B16" s="23" t="s">
        <v>28</v>
      </c>
      <c r="E16" s="20" t="s">
        <v>61</v>
      </c>
      <c r="F16" s="20" t="s">
        <v>89</v>
      </c>
    </row>
    <row r="17" spans="1:6" ht="73.2" customHeight="1" x14ac:dyDescent="0.4">
      <c r="A17" s="9">
        <v>16</v>
      </c>
      <c r="B17" s="23" t="s">
        <v>28</v>
      </c>
      <c r="E17" s="20" t="s">
        <v>62</v>
      </c>
      <c r="F17" s="20" t="s">
        <v>112</v>
      </c>
    </row>
    <row r="18" spans="1:6" ht="48" customHeight="1" x14ac:dyDescent="0.4">
      <c r="A18" s="9">
        <v>17</v>
      </c>
      <c r="B18" s="23" t="s">
        <v>28</v>
      </c>
      <c r="D18" s="7" t="s">
        <v>30</v>
      </c>
      <c r="E18" s="20" t="s">
        <v>63</v>
      </c>
      <c r="F18" s="20" t="s">
        <v>90</v>
      </c>
    </row>
    <row r="19" spans="1:6" ht="87.6" customHeight="1" x14ac:dyDescent="0.4">
      <c r="A19" s="9">
        <v>18</v>
      </c>
      <c r="B19" s="23" t="s">
        <v>28</v>
      </c>
      <c r="E19" s="20" t="s">
        <v>64</v>
      </c>
      <c r="F19" s="20" t="s">
        <v>191</v>
      </c>
    </row>
    <row r="20" spans="1:6" ht="79.2" customHeight="1" x14ac:dyDescent="0.4">
      <c r="A20" s="9">
        <v>19</v>
      </c>
      <c r="B20" s="23" t="s">
        <v>28</v>
      </c>
      <c r="E20" s="20" t="s">
        <v>65</v>
      </c>
      <c r="F20" s="20" t="s">
        <v>91</v>
      </c>
    </row>
    <row r="21" spans="1:6" ht="40.799999999999997" customHeight="1" x14ac:dyDescent="0.4">
      <c r="A21" s="9">
        <v>20</v>
      </c>
      <c r="B21" s="23" t="s">
        <v>37</v>
      </c>
      <c r="E21" s="20" t="s">
        <v>66</v>
      </c>
      <c r="F21" s="20" t="s">
        <v>92</v>
      </c>
    </row>
    <row r="22" spans="1:6" ht="40.200000000000003" customHeight="1" x14ac:dyDescent="0.4">
      <c r="A22" s="9">
        <v>21</v>
      </c>
      <c r="B22" s="23" t="s">
        <v>37</v>
      </c>
      <c r="E22" s="20" t="s">
        <v>67</v>
      </c>
      <c r="F22" s="20" t="s">
        <v>94</v>
      </c>
    </row>
    <row r="23" spans="1:6" ht="60.6" customHeight="1" x14ac:dyDescent="0.4">
      <c r="A23" s="9">
        <v>22</v>
      </c>
      <c r="B23" s="23" t="s">
        <v>37</v>
      </c>
      <c r="E23" s="20" t="s">
        <v>68</v>
      </c>
    </row>
    <row r="24" spans="1:6" ht="54.6" customHeight="1" x14ac:dyDescent="0.4">
      <c r="A24" s="9">
        <v>23</v>
      </c>
      <c r="B24" s="23" t="s">
        <v>37</v>
      </c>
      <c r="E24" s="20" t="s">
        <v>69</v>
      </c>
      <c r="F24" s="20" t="s">
        <v>93</v>
      </c>
    </row>
    <row r="25" spans="1:6" ht="65.400000000000006" customHeight="1" x14ac:dyDescent="0.4">
      <c r="A25" s="9">
        <v>24</v>
      </c>
      <c r="B25" s="23" t="s">
        <v>37</v>
      </c>
      <c r="E25" s="20" t="s">
        <v>70</v>
      </c>
      <c r="F25" s="20" t="s">
        <v>95</v>
      </c>
    </row>
    <row r="26" spans="1:6" ht="44.4" customHeight="1" x14ac:dyDescent="0.4">
      <c r="A26" s="9">
        <v>25</v>
      </c>
      <c r="B26" s="23" t="s">
        <v>41</v>
      </c>
      <c r="E26" s="20" t="s">
        <v>71</v>
      </c>
      <c r="F26" s="20" t="s">
        <v>113</v>
      </c>
    </row>
    <row r="27" spans="1:6" ht="58.8" customHeight="1" x14ac:dyDescent="0.4">
      <c r="A27" s="9">
        <v>26</v>
      </c>
      <c r="B27" s="23" t="s">
        <v>41</v>
      </c>
      <c r="E27" s="20" t="s">
        <v>72</v>
      </c>
      <c r="F27" s="20" t="s">
        <v>96</v>
      </c>
    </row>
    <row r="28" spans="1:6" ht="59.4" customHeight="1" x14ac:dyDescent="0.4">
      <c r="A28" s="9">
        <v>27</v>
      </c>
      <c r="B28" s="23" t="s">
        <v>41</v>
      </c>
      <c r="E28" s="20" t="s">
        <v>73</v>
      </c>
      <c r="F28" s="20" t="s">
        <v>118</v>
      </c>
    </row>
    <row r="29" spans="1:6" ht="78" x14ac:dyDescent="0.4">
      <c r="A29" s="9">
        <v>28</v>
      </c>
      <c r="B29" s="23" t="s">
        <v>41</v>
      </c>
      <c r="E29" s="20" t="s">
        <v>74</v>
      </c>
      <c r="F29" s="20" t="s">
        <v>119</v>
      </c>
    </row>
    <row r="30" spans="1:6" ht="40.200000000000003" customHeight="1" x14ac:dyDescent="0.4">
      <c r="A30" s="9">
        <v>29</v>
      </c>
      <c r="B30" s="23" t="s">
        <v>48</v>
      </c>
      <c r="E30" s="20" t="s">
        <v>75</v>
      </c>
      <c r="F30" s="20" t="s">
        <v>97</v>
      </c>
    </row>
    <row r="36" ht="29.4" customHeight="1" x14ac:dyDescent="0.4"/>
  </sheetData>
  <phoneticPr fontId="1" type="noConversion"/>
  <pageMargins left="0.25" right="0.25" top="0.75" bottom="0.75" header="0.3" footer="0.3"/>
  <pageSetup paperSize="9" scale="6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EF53-87FB-47DC-8E32-F43BACEAB007}">
  <dimension ref="A1:J65"/>
  <sheetViews>
    <sheetView tabSelected="1" zoomScaleNormal="100" workbookViewId="0">
      <pane xSplit="2" ySplit="2" topLeftCell="C40" activePane="bottomRight" state="frozen"/>
      <selection pane="topRight" activeCell="C1" sqref="C1"/>
      <selection pane="bottomLeft" activeCell="A3" sqref="A3"/>
      <selection pane="bottomRight" activeCell="A46" sqref="A46:XFD46"/>
    </sheetView>
  </sheetViews>
  <sheetFormatPr defaultColWidth="72.19921875" defaultRowHeight="17.399999999999999" x14ac:dyDescent="0.4"/>
  <cols>
    <col min="1" max="1" width="2.69921875" style="33" customWidth="1"/>
    <col min="2" max="2" width="7.5" style="31" customWidth="1"/>
    <col min="3" max="3" width="5.69921875" style="27" customWidth="1"/>
    <col min="4" max="4" width="112.5" style="27" customWidth="1"/>
    <col min="5" max="5" width="6.5" style="32" customWidth="1"/>
    <col min="6" max="6" width="7.09765625" style="32" customWidth="1"/>
    <col min="7" max="7" width="6" style="32" customWidth="1"/>
    <col min="8" max="8" width="34.796875" style="30" customWidth="1"/>
    <col min="9" max="9" width="33.296875" style="28" customWidth="1"/>
    <col min="10" max="10" width="19.09765625" style="28" customWidth="1"/>
  </cols>
  <sheetData>
    <row r="1" spans="1:10" x14ac:dyDescent="0.4">
      <c r="A1" s="43" t="s">
        <v>267</v>
      </c>
      <c r="B1" s="43"/>
      <c r="C1" s="43"/>
      <c r="D1" s="43"/>
      <c r="E1" s="28"/>
      <c r="F1" s="35"/>
      <c r="G1" s="35"/>
      <c r="H1" s="39"/>
      <c r="I1" s="35"/>
      <c r="J1" s="35"/>
    </row>
    <row r="2" spans="1:10" s="33" customFormat="1" ht="26.4" x14ac:dyDescent="0.4">
      <c r="A2" s="40" t="s">
        <v>9</v>
      </c>
      <c r="B2" s="34" t="s">
        <v>255</v>
      </c>
      <c r="C2" s="34" t="s">
        <v>1</v>
      </c>
      <c r="D2" s="34" t="s">
        <v>259</v>
      </c>
      <c r="E2" s="34" t="s">
        <v>241</v>
      </c>
      <c r="F2" s="34" t="s">
        <v>261</v>
      </c>
      <c r="G2" s="34" t="s">
        <v>262</v>
      </c>
      <c r="H2" s="38" t="s">
        <v>260</v>
      </c>
      <c r="I2" s="34" t="s">
        <v>277</v>
      </c>
      <c r="J2" s="32"/>
    </row>
    <row r="3" spans="1:10" ht="26.4" x14ac:dyDescent="0.4">
      <c r="A3" s="41">
        <v>1</v>
      </c>
      <c r="B3" s="32" t="s">
        <v>3</v>
      </c>
      <c r="C3" s="32" t="s">
        <v>256</v>
      </c>
      <c r="D3" s="28" t="s">
        <v>125</v>
      </c>
      <c r="E3" s="32">
        <v>5</v>
      </c>
      <c r="F3" s="32" t="s">
        <v>244</v>
      </c>
      <c r="G3" s="32" t="s">
        <v>263</v>
      </c>
      <c r="I3" s="30" t="s">
        <v>239</v>
      </c>
    </row>
    <row r="4" spans="1:10" ht="26.4" x14ac:dyDescent="0.4">
      <c r="A4" s="41">
        <v>2</v>
      </c>
      <c r="B4" s="32" t="s">
        <v>3</v>
      </c>
      <c r="C4" s="32"/>
      <c r="D4" s="28" t="s">
        <v>126</v>
      </c>
      <c r="E4" s="32" t="s">
        <v>242</v>
      </c>
      <c r="I4" s="30" t="s">
        <v>240</v>
      </c>
    </row>
    <row r="5" spans="1:10" ht="26.4" x14ac:dyDescent="0.4">
      <c r="A5" s="41">
        <v>3</v>
      </c>
      <c r="B5" s="32" t="s">
        <v>3</v>
      </c>
      <c r="C5" s="32"/>
      <c r="D5" s="28" t="s">
        <v>127</v>
      </c>
      <c r="E5" s="32" t="s">
        <v>243</v>
      </c>
      <c r="I5" s="30" t="s">
        <v>216</v>
      </c>
    </row>
    <row r="6" spans="1:10" ht="39.6" x14ac:dyDescent="0.4">
      <c r="A6" s="41">
        <v>4</v>
      </c>
      <c r="B6" s="32" t="s">
        <v>3</v>
      </c>
      <c r="C6" s="32"/>
      <c r="D6" s="28" t="s">
        <v>128</v>
      </c>
      <c r="E6" s="32">
        <v>2</v>
      </c>
      <c r="F6" s="32" t="s">
        <v>244</v>
      </c>
      <c r="G6" s="32" t="s">
        <v>264</v>
      </c>
      <c r="H6" s="30" t="s">
        <v>276</v>
      </c>
      <c r="I6" s="30" t="s">
        <v>245</v>
      </c>
      <c r="J6" s="36"/>
    </row>
    <row r="7" spans="1:10" ht="52.8" x14ac:dyDescent="0.4">
      <c r="A7" s="41">
        <v>5</v>
      </c>
      <c r="B7" s="32" t="s">
        <v>3</v>
      </c>
      <c r="C7" s="32"/>
      <c r="D7" s="28" t="s">
        <v>129</v>
      </c>
      <c r="E7" s="32" t="s">
        <v>247</v>
      </c>
      <c r="I7" s="30" t="s">
        <v>246</v>
      </c>
    </row>
    <row r="8" spans="1:10" x14ac:dyDescent="0.4">
      <c r="A8" s="41">
        <v>6</v>
      </c>
      <c r="B8" s="32" t="s">
        <v>48</v>
      </c>
      <c r="C8" s="32" t="s">
        <v>258</v>
      </c>
      <c r="D8" s="28" t="s">
        <v>130</v>
      </c>
      <c r="E8" s="32" t="s">
        <v>247</v>
      </c>
      <c r="I8" s="30"/>
    </row>
    <row r="9" spans="1:10" ht="52.8" x14ac:dyDescent="0.4">
      <c r="A9" s="41">
        <v>7</v>
      </c>
      <c r="B9" s="32" t="s">
        <v>131</v>
      </c>
      <c r="C9" s="32"/>
      <c r="D9" s="28" t="s">
        <v>285</v>
      </c>
      <c r="E9" s="32" t="s">
        <v>243</v>
      </c>
      <c r="I9" s="30" t="s">
        <v>217</v>
      </c>
    </row>
    <row r="10" spans="1:10" ht="26.4" x14ac:dyDescent="0.4">
      <c r="A10" s="45">
        <v>9</v>
      </c>
      <c r="B10" s="42" t="s">
        <v>131</v>
      </c>
      <c r="C10" s="42"/>
      <c r="D10" s="28" t="s">
        <v>132</v>
      </c>
      <c r="E10" s="32" t="s">
        <v>243</v>
      </c>
      <c r="I10" s="30" t="s">
        <v>218</v>
      </c>
    </row>
    <row r="11" spans="1:10" x14ac:dyDescent="0.4">
      <c r="A11" s="45"/>
      <c r="B11" s="42"/>
      <c r="C11" s="42"/>
      <c r="D11" s="28" t="s">
        <v>214</v>
      </c>
      <c r="E11" s="32" t="s">
        <v>270</v>
      </c>
      <c r="H11" s="30" t="s">
        <v>269</v>
      </c>
      <c r="I11" s="30"/>
    </row>
    <row r="12" spans="1:10" x14ac:dyDescent="0.4">
      <c r="A12" s="45"/>
      <c r="B12" s="42"/>
      <c r="C12" s="42"/>
      <c r="D12" s="28" t="s">
        <v>215</v>
      </c>
      <c r="E12" s="32" t="s">
        <v>243</v>
      </c>
      <c r="I12" s="30"/>
    </row>
    <row r="13" spans="1:10" ht="39.6" x14ac:dyDescent="0.4">
      <c r="A13" s="41"/>
      <c r="B13" s="32" t="s">
        <v>131</v>
      </c>
      <c r="C13" s="32"/>
      <c r="D13" s="28" t="s">
        <v>133</v>
      </c>
      <c r="E13" s="32">
        <v>3</v>
      </c>
      <c r="F13" s="32" t="s">
        <v>248</v>
      </c>
      <c r="G13" s="32" t="s">
        <v>263</v>
      </c>
      <c r="H13" s="30" t="s">
        <v>274</v>
      </c>
      <c r="J13" s="28" t="s">
        <v>180</v>
      </c>
    </row>
    <row r="14" spans="1:10" ht="26.4" x14ac:dyDescent="0.4">
      <c r="A14" s="41"/>
      <c r="B14" s="32" t="s">
        <v>131</v>
      </c>
      <c r="C14" s="32"/>
      <c r="D14" s="28" t="s">
        <v>134</v>
      </c>
      <c r="E14" s="32">
        <v>2</v>
      </c>
      <c r="G14" s="32" t="s">
        <v>264</v>
      </c>
      <c r="H14" s="30" t="s">
        <v>275</v>
      </c>
      <c r="I14" s="30"/>
      <c r="J14" s="28" t="s">
        <v>180</v>
      </c>
    </row>
    <row r="15" spans="1:10" ht="26.4" x14ac:dyDescent="0.4">
      <c r="A15" s="41"/>
      <c r="B15" s="32" t="s">
        <v>131</v>
      </c>
      <c r="C15" s="32"/>
      <c r="D15" s="28" t="s">
        <v>135</v>
      </c>
      <c r="E15" s="32" t="s">
        <v>250</v>
      </c>
      <c r="I15" s="30" t="s">
        <v>249</v>
      </c>
    </row>
    <row r="16" spans="1:10" ht="52.8" x14ac:dyDescent="0.4">
      <c r="A16" s="41"/>
      <c r="B16" s="32" t="s">
        <v>131</v>
      </c>
      <c r="C16" s="32"/>
      <c r="D16" s="28" t="s">
        <v>271</v>
      </c>
      <c r="E16" s="32">
        <v>4</v>
      </c>
      <c r="F16" s="32" t="s">
        <v>248</v>
      </c>
      <c r="G16" s="32" t="s">
        <v>263</v>
      </c>
      <c r="H16" s="37" t="s">
        <v>273</v>
      </c>
      <c r="I16" s="30" t="s">
        <v>272</v>
      </c>
    </row>
    <row r="17" spans="1:10" ht="26.4" x14ac:dyDescent="0.4">
      <c r="A17" s="41"/>
      <c r="B17" s="32" t="s">
        <v>131</v>
      </c>
      <c r="C17" s="32"/>
      <c r="D17" s="28" t="s">
        <v>136</v>
      </c>
      <c r="E17" s="32" t="s">
        <v>250</v>
      </c>
      <c r="I17" s="30" t="s">
        <v>7</v>
      </c>
      <c r="J17" s="28" t="s">
        <v>181</v>
      </c>
    </row>
    <row r="18" spans="1:10" ht="26.4" x14ac:dyDescent="0.4">
      <c r="A18" s="41"/>
      <c r="B18" s="32" t="s">
        <v>131</v>
      </c>
      <c r="C18" s="32"/>
      <c r="D18" s="28" t="s">
        <v>137</v>
      </c>
      <c r="E18" s="42">
        <v>6</v>
      </c>
      <c r="F18" s="42" t="s">
        <v>244</v>
      </c>
      <c r="G18" s="42" t="s">
        <v>263</v>
      </c>
      <c r="H18" s="44" t="s">
        <v>268</v>
      </c>
      <c r="I18" s="28" t="s">
        <v>182</v>
      </c>
    </row>
    <row r="19" spans="1:10" ht="26.4" x14ac:dyDescent="0.4">
      <c r="A19" s="41"/>
      <c r="B19" s="32" t="s">
        <v>131</v>
      </c>
      <c r="C19" s="32"/>
      <c r="D19" s="28" t="s">
        <v>138</v>
      </c>
      <c r="E19" s="42"/>
      <c r="F19" s="42"/>
      <c r="G19" s="42"/>
      <c r="H19" s="44"/>
    </row>
    <row r="20" spans="1:10" ht="26.4" x14ac:dyDescent="0.4">
      <c r="A20" s="41"/>
      <c r="B20" s="32" t="s">
        <v>131</v>
      </c>
      <c r="C20" s="32"/>
      <c r="D20" s="28" t="s">
        <v>139</v>
      </c>
      <c r="E20" s="32" t="s">
        <v>247</v>
      </c>
      <c r="I20" s="30" t="s">
        <v>251</v>
      </c>
    </row>
    <row r="21" spans="1:10" ht="26.4" x14ac:dyDescent="0.4">
      <c r="A21" s="41"/>
      <c r="B21" s="32" t="s">
        <v>131</v>
      </c>
      <c r="C21" s="32"/>
      <c r="D21" s="28" t="s">
        <v>257</v>
      </c>
      <c r="E21" s="32" t="s">
        <v>252</v>
      </c>
      <c r="I21" s="30" t="s">
        <v>253</v>
      </c>
    </row>
    <row r="22" spans="1:10" ht="39.6" x14ac:dyDescent="0.4">
      <c r="A22" s="41"/>
      <c r="B22" s="32" t="s">
        <v>19</v>
      </c>
      <c r="C22" s="42" t="s">
        <v>140</v>
      </c>
      <c r="D22" s="28" t="s">
        <v>141</v>
      </c>
      <c r="E22" s="32">
        <v>2</v>
      </c>
      <c r="F22" s="32" t="s">
        <v>244</v>
      </c>
      <c r="H22" s="36" t="s">
        <v>278</v>
      </c>
    </row>
    <row r="23" spans="1:10" ht="66" x14ac:dyDescent="0.4">
      <c r="A23" s="41"/>
      <c r="B23" s="32" t="s">
        <v>19</v>
      </c>
      <c r="C23" s="42"/>
      <c r="D23" s="28" t="s">
        <v>142</v>
      </c>
      <c r="E23" s="32">
        <v>3</v>
      </c>
      <c r="I23" s="36" t="s">
        <v>56</v>
      </c>
    </row>
    <row r="24" spans="1:10" ht="118.8" x14ac:dyDescent="0.4">
      <c r="A24" s="41"/>
      <c r="B24" s="32" t="s">
        <v>265</v>
      </c>
      <c r="C24" s="28"/>
      <c r="D24" s="28" t="s">
        <v>183</v>
      </c>
      <c r="E24" s="32">
        <v>5</v>
      </c>
      <c r="H24" s="28" t="s">
        <v>184</v>
      </c>
      <c r="I24" s="30" t="s">
        <v>219</v>
      </c>
    </row>
    <row r="25" spans="1:10" ht="26.4" x14ac:dyDescent="0.4">
      <c r="A25" s="41"/>
      <c r="B25" s="32" t="s">
        <v>265</v>
      </c>
      <c r="C25" s="28"/>
      <c r="D25" s="28" t="s">
        <v>143</v>
      </c>
      <c r="E25" s="32">
        <v>1</v>
      </c>
      <c r="H25" s="30" t="s">
        <v>279</v>
      </c>
      <c r="J25" s="28" t="s">
        <v>185</v>
      </c>
    </row>
    <row r="26" spans="1:10" x14ac:dyDescent="0.4">
      <c r="A26" s="41"/>
      <c r="B26" s="32" t="s">
        <v>265</v>
      </c>
      <c r="C26" s="28"/>
      <c r="D26" s="28" t="s">
        <v>144</v>
      </c>
      <c r="E26" s="32">
        <v>4</v>
      </c>
      <c r="H26" s="30" t="s">
        <v>220</v>
      </c>
      <c r="I26" s="30" t="s">
        <v>221</v>
      </c>
      <c r="J26" s="28" t="s">
        <v>186</v>
      </c>
    </row>
    <row r="27" spans="1:10" x14ac:dyDescent="0.4">
      <c r="A27" s="41"/>
      <c r="B27" s="32" t="s">
        <v>145</v>
      </c>
      <c r="C27" s="28"/>
      <c r="D27" s="28" t="s">
        <v>146</v>
      </c>
      <c r="E27" s="32">
        <v>5</v>
      </c>
      <c r="H27" s="30" t="s">
        <v>280</v>
      </c>
    </row>
    <row r="28" spans="1:10" ht="26.4" x14ac:dyDescent="0.4">
      <c r="A28" s="41"/>
      <c r="B28" s="32" t="s">
        <v>145</v>
      </c>
      <c r="C28" s="28"/>
      <c r="D28" s="28" t="s">
        <v>147</v>
      </c>
      <c r="E28" s="32">
        <v>2</v>
      </c>
      <c r="H28" s="30" t="s">
        <v>222</v>
      </c>
    </row>
    <row r="29" spans="1:10" ht="26.4" x14ac:dyDescent="0.4">
      <c r="A29" s="41"/>
      <c r="B29" s="32" t="s">
        <v>145</v>
      </c>
      <c r="C29" s="28"/>
      <c r="D29" s="28" t="s">
        <v>148</v>
      </c>
      <c r="E29" s="32">
        <v>5</v>
      </c>
      <c r="H29" s="30" t="s">
        <v>281</v>
      </c>
    </row>
    <row r="30" spans="1:10" ht="26.4" x14ac:dyDescent="0.4">
      <c r="A30" s="41"/>
      <c r="B30" s="32" t="s">
        <v>145</v>
      </c>
      <c r="C30" s="28"/>
      <c r="D30" s="28" t="s">
        <v>187</v>
      </c>
      <c r="H30" s="30" t="s">
        <v>223</v>
      </c>
    </row>
    <row r="31" spans="1:10" ht="26.4" x14ac:dyDescent="0.4">
      <c r="A31" s="41"/>
      <c r="B31" s="32" t="s">
        <v>145</v>
      </c>
      <c r="C31" s="28"/>
      <c r="D31" s="28" t="s">
        <v>149</v>
      </c>
      <c r="I31" s="30" t="s">
        <v>224</v>
      </c>
      <c r="J31" s="28" t="s">
        <v>188</v>
      </c>
    </row>
    <row r="32" spans="1:10" ht="39.6" x14ac:dyDescent="0.4">
      <c r="A32" s="41"/>
      <c r="B32" s="32" t="s">
        <v>145</v>
      </c>
      <c r="C32" s="28"/>
      <c r="D32" s="28" t="s">
        <v>189</v>
      </c>
      <c r="I32" s="28" t="s">
        <v>190</v>
      </c>
    </row>
    <row r="33" spans="1:10" ht="26.4" x14ac:dyDescent="0.4">
      <c r="A33" s="41"/>
      <c r="B33" s="32" t="s">
        <v>150</v>
      </c>
      <c r="C33" s="28"/>
      <c r="D33" s="28" t="s">
        <v>282</v>
      </c>
      <c r="H33" s="28" t="s">
        <v>283</v>
      </c>
    </row>
    <row r="34" spans="1:10" x14ac:dyDescent="0.4">
      <c r="A34" s="41"/>
      <c r="B34" s="32" t="s">
        <v>150</v>
      </c>
      <c r="C34" s="28"/>
      <c r="D34" s="28" t="s">
        <v>151</v>
      </c>
      <c r="I34" s="30" t="s">
        <v>225</v>
      </c>
    </row>
    <row r="35" spans="1:10" x14ac:dyDescent="0.4">
      <c r="A35" s="41"/>
      <c r="B35" s="32" t="s">
        <v>150</v>
      </c>
      <c r="C35" s="28"/>
      <c r="D35" s="28" t="s">
        <v>152</v>
      </c>
      <c r="I35" s="30" t="s">
        <v>226</v>
      </c>
    </row>
    <row r="36" spans="1:10" ht="39.6" x14ac:dyDescent="0.4">
      <c r="A36" s="41"/>
      <c r="B36" s="32" t="s">
        <v>150</v>
      </c>
      <c r="C36" s="28"/>
      <c r="D36" s="28" t="s">
        <v>153</v>
      </c>
      <c r="I36" s="30" t="s">
        <v>227</v>
      </c>
      <c r="J36" s="28" t="s">
        <v>192</v>
      </c>
    </row>
    <row r="37" spans="1:10" ht="26.4" x14ac:dyDescent="0.4">
      <c r="A37" s="41"/>
      <c r="B37" s="32" t="s">
        <v>150</v>
      </c>
      <c r="C37" s="28"/>
      <c r="D37" s="28" t="s">
        <v>154</v>
      </c>
      <c r="E37" s="32" t="s">
        <v>243</v>
      </c>
      <c r="I37" s="28" t="s">
        <v>193</v>
      </c>
    </row>
    <row r="38" spans="1:10" ht="39.6" x14ac:dyDescent="0.4">
      <c r="A38" s="41"/>
      <c r="B38" s="32" t="s">
        <v>150</v>
      </c>
      <c r="C38" s="28"/>
      <c r="D38" s="28" t="s">
        <v>155</v>
      </c>
      <c r="I38" s="28" t="s">
        <v>194</v>
      </c>
    </row>
    <row r="39" spans="1:10" ht="52.8" x14ac:dyDescent="0.4">
      <c r="A39" s="41"/>
      <c r="B39" s="32" t="s">
        <v>150</v>
      </c>
      <c r="C39" s="28"/>
      <c r="D39" s="28" t="s">
        <v>266</v>
      </c>
      <c r="I39" s="28" t="s">
        <v>195</v>
      </c>
    </row>
    <row r="40" spans="1:10" ht="66" x14ac:dyDescent="0.4">
      <c r="A40" s="41"/>
      <c r="B40" s="32" t="s">
        <v>150</v>
      </c>
      <c r="C40" s="28"/>
      <c r="D40" s="28" t="s">
        <v>196</v>
      </c>
      <c r="I40" s="30" t="s">
        <v>228</v>
      </c>
      <c r="J40" s="28" t="s">
        <v>197</v>
      </c>
    </row>
    <row r="41" spans="1:10" ht="37.799999999999997" customHeight="1" x14ac:dyDescent="0.4">
      <c r="A41" s="41"/>
      <c r="B41" s="32" t="s">
        <v>150</v>
      </c>
      <c r="C41" s="28"/>
      <c r="D41" s="28" t="s">
        <v>156</v>
      </c>
      <c r="I41" s="28" t="s">
        <v>198</v>
      </c>
    </row>
    <row r="42" spans="1:10" x14ac:dyDescent="0.4">
      <c r="A42" s="41"/>
      <c r="B42" s="32" t="s">
        <v>150</v>
      </c>
      <c r="C42" s="28"/>
      <c r="D42" s="28" t="s">
        <v>157</v>
      </c>
      <c r="F42" s="32" t="s">
        <v>286</v>
      </c>
      <c r="I42" s="28" t="s">
        <v>199</v>
      </c>
    </row>
    <row r="43" spans="1:10" ht="26.4" x14ac:dyDescent="0.4">
      <c r="A43" s="41"/>
      <c r="B43" s="32" t="s">
        <v>150</v>
      </c>
      <c r="C43" s="28"/>
      <c r="D43" s="28" t="s">
        <v>158</v>
      </c>
      <c r="I43" s="29" t="s">
        <v>200</v>
      </c>
    </row>
    <row r="44" spans="1:10" ht="26.4" x14ac:dyDescent="0.4">
      <c r="A44" s="41"/>
      <c r="B44" s="32" t="s">
        <v>159</v>
      </c>
      <c r="C44" s="28"/>
      <c r="D44" s="28" t="s">
        <v>284</v>
      </c>
      <c r="H44" s="28" t="s">
        <v>287</v>
      </c>
    </row>
    <row r="45" spans="1:10" ht="26.4" x14ac:dyDescent="0.4">
      <c r="A45" s="41"/>
      <c r="B45" s="32" t="s">
        <v>159</v>
      </c>
      <c r="C45" s="28"/>
      <c r="D45" s="28" t="s">
        <v>201</v>
      </c>
      <c r="I45" s="30" t="s">
        <v>229</v>
      </c>
      <c r="J45" s="28" t="s">
        <v>202</v>
      </c>
    </row>
    <row r="46" spans="1:10" ht="26.4" x14ac:dyDescent="0.4">
      <c r="A46" s="41"/>
      <c r="B46" s="32" t="s">
        <v>159</v>
      </c>
      <c r="C46" s="28"/>
      <c r="D46" s="28" t="s">
        <v>288</v>
      </c>
      <c r="I46" s="30" t="s">
        <v>230</v>
      </c>
      <c r="J46" s="28" t="s">
        <v>203</v>
      </c>
    </row>
    <row r="47" spans="1:10" x14ac:dyDescent="0.4">
      <c r="A47" s="41"/>
      <c r="B47" s="32" t="s">
        <v>159</v>
      </c>
      <c r="C47" s="28"/>
      <c r="D47" s="28" t="s">
        <v>160</v>
      </c>
      <c r="I47" s="30"/>
    </row>
    <row r="48" spans="1:10" ht="26.4" x14ac:dyDescent="0.4">
      <c r="A48" s="41"/>
      <c r="B48" s="32" t="s">
        <v>161</v>
      </c>
      <c r="C48" s="28"/>
      <c r="D48" s="28" t="s">
        <v>162</v>
      </c>
      <c r="I48" s="28" t="s">
        <v>204</v>
      </c>
    </row>
    <row r="49" spans="1:10" ht="26.4" x14ac:dyDescent="0.4">
      <c r="A49" s="41"/>
      <c r="B49" s="32" t="s">
        <v>161</v>
      </c>
      <c r="C49" s="28"/>
      <c r="D49" s="28" t="s">
        <v>163</v>
      </c>
      <c r="I49" s="30"/>
    </row>
    <row r="50" spans="1:10" ht="26.4" x14ac:dyDescent="0.4">
      <c r="A50" s="41"/>
      <c r="B50" s="32" t="s">
        <v>161</v>
      </c>
      <c r="C50" s="28"/>
      <c r="D50" s="28" t="s">
        <v>205</v>
      </c>
      <c r="I50" s="30"/>
      <c r="J50" s="28" t="s">
        <v>206</v>
      </c>
    </row>
    <row r="51" spans="1:10" x14ac:dyDescent="0.4">
      <c r="A51" s="41"/>
      <c r="B51" s="32" t="s">
        <v>164</v>
      </c>
      <c r="C51" s="28"/>
      <c r="D51" s="28" t="s">
        <v>165</v>
      </c>
      <c r="I51" s="30" t="s">
        <v>231</v>
      </c>
    </row>
    <row r="52" spans="1:10" x14ac:dyDescent="0.4">
      <c r="A52" s="41"/>
      <c r="B52" s="32" t="s">
        <v>164</v>
      </c>
      <c r="C52" s="28"/>
      <c r="D52" s="28" t="s">
        <v>166</v>
      </c>
    </row>
    <row r="53" spans="1:10" ht="26.4" x14ac:dyDescent="0.4">
      <c r="A53" s="41"/>
      <c r="B53" s="32" t="s">
        <v>164</v>
      </c>
      <c r="C53" s="28"/>
      <c r="D53" s="28" t="s">
        <v>167</v>
      </c>
    </row>
    <row r="54" spans="1:10" ht="26.4" x14ac:dyDescent="0.4">
      <c r="A54" s="41"/>
      <c r="B54" s="32" t="s">
        <v>164</v>
      </c>
      <c r="C54" s="28"/>
      <c r="D54" s="28" t="s">
        <v>168</v>
      </c>
      <c r="I54" s="30" t="s">
        <v>233</v>
      </c>
    </row>
    <row r="55" spans="1:10" x14ac:dyDescent="0.4">
      <c r="A55" s="41"/>
      <c r="B55" s="32" t="s">
        <v>164</v>
      </c>
      <c r="C55" s="28"/>
      <c r="D55" s="28" t="s">
        <v>169</v>
      </c>
      <c r="I55" s="30"/>
    </row>
    <row r="56" spans="1:10" x14ac:dyDescent="0.4">
      <c r="A56" s="41"/>
      <c r="B56" s="32" t="s">
        <v>164</v>
      </c>
      <c r="C56" s="28"/>
      <c r="D56" s="28" t="s">
        <v>170</v>
      </c>
      <c r="I56" s="30" t="s">
        <v>232</v>
      </c>
      <c r="J56" s="28" t="s">
        <v>207</v>
      </c>
    </row>
    <row r="57" spans="1:10" ht="39.6" x14ac:dyDescent="0.4">
      <c r="A57" s="41"/>
      <c r="B57" s="32" t="s">
        <v>164</v>
      </c>
      <c r="C57" s="28"/>
      <c r="D57" s="28" t="s">
        <v>208</v>
      </c>
      <c r="I57" s="28" t="s">
        <v>70</v>
      </c>
    </row>
    <row r="58" spans="1:10" x14ac:dyDescent="0.4">
      <c r="A58" s="41"/>
      <c r="B58" s="32" t="s">
        <v>171</v>
      </c>
      <c r="C58" s="28"/>
      <c r="D58" s="28" t="s">
        <v>172</v>
      </c>
      <c r="I58" s="30" t="s">
        <v>234</v>
      </c>
    </row>
    <row r="59" spans="1:10" ht="26.4" x14ac:dyDescent="0.4">
      <c r="A59" s="41"/>
      <c r="B59" s="32" t="s">
        <v>171</v>
      </c>
      <c r="C59" s="28"/>
      <c r="D59" s="28" t="s">
        <v>173</v>
      </c>
      <c r="I59" s="30" t="s">
        <v>235</v>
      </c>
    </row>
    <row r="60" spans="1:10" ht="26.4" x14ac:dyDescent="0.4">
      <c r="A60" s="41"/>
      <c r="B60" s="32" t="s">
        <v>174</v>
      </c>
      <c r="C60" s="28"/>
      <c r="D60" s="28" t="s">
        <v>254</v>
      </c>
      <c r="I60" s="30" t="s">
        <v>236</v>
      </c>
    </row>
    <row r="61" spans="1:10" ht="52.8" x14ac:dyDescent="0.4">
      <c r="A61" s="41"/>
      <c r="B61" s="32" t="s">
        <v>174</v>
      </c>
      <c r="C61" s="28"/>
      <c r="D61" s="28" t="s">
        <v>175</v>
      </c>
      <c r="I61" s="30" t="s">
        <v>237</v>
      </c>
      <c r="J61" s="28" t="s">
        <v>209</v>
      </c>
    </row>
    <row r="62" spans="1:10" ht="26.4" x14ac:dyDescent="0.4">
      <c r="A62" s="41"/>
      <c r="B62" s="32" t="s">
        <v>174</v>
      </c>
      <c r="C62" s="28"/>
      <c r="D62" s="28" t="s">
        <v>176</v>
      </c>
      <c r="I62" s="30" t="s">
        <v>238</v>
      </c>
      <c r="J62" s="28" t="s">
        <v>210</v>
      </c>
    </row>
    <row r="63" spans="1:10" ht="26.4" x14ac:dyDescent="0.4">
      <c r="A63" s="41"/>
      <c r="B63" s="32" t="s">
        <v>174</v>
      </c>
      <c r="C63" s="28"/>
      <c r="D63" s="28" t="s">
        <v>177</v>
      </c>
      <c r="I63" s="28" t="s">
        <v>211</v>
      </c>
    </row>
    <row r="64" spans="1:10" ht="26.4" x14ac:dyDescent="0.4">
      <c r="A64" s="41"/>
      <c r="B64" s="32" t="s">
        <v>174</v>
      </c>
      <c r="C64" s="28"/>
      <c r="D64" s="28" t="s">
        <v>178</v>
      </c>
      <c r="I64" s="28" t="s">
        <v>212</v>
      </c>
    </row>
    <row r="65" spans="1:9" ht="26.4" x14ac:dyDescent="0.4">
      <c r="A65" s="41"/>
      <c r="B65" s="32" t="s">
        <v>174</v>
      </c>
      <c r="C65" s="28"/>
      <c r="D65" s="28" t="s">
        <v>179</v>
      </c>
      <c r="I65" s="28" t="s">
        <v>213</v>
      </c>
    </row>
  </sheetData>
  <mergeCells count="9">
    <mergeCell ref="C22:C23"/>
    <mergeCell ref="E18:E19"/>
    <mergeCell ref="A1:D1"/>
    <mergeCell ref="H18:H19"/>
    <mergeCell ref="A10:A12"/>
    <mergeCell ref="B10:B12"/>
    <mergeCell ref="C10:C12"/>
    <mergeCell ref="G18:G19"/>
    <mergeCell ref="F18:F19"/>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8C3C5-4A29-4469-A0C4-3E21F0009272}">
  <dimension ref="C3:M10"/>
  <sheetViews>
    <sheetView workbookViewId="0">
      <selection activeCell="E9" sqref="E9"/>
    </sheetView>
  </sheetViews>
  <sheetFormatPr defaultRowHeight="17.399999999999999" x14ac:dyDescent="0.4"/>
  <cols>
    <col min="4" max="4" width="10.8984375" bestFit="1" customWidth="1"/>
    <col min="10" max="10" width="10.8984375" bestFit="1" customWidth="1"/>
  </cols>
  <sheetData>
    <row r="3" spans="3:13" x14ac:dyDescent="0.4">
      <c r="E3" s="11" t="s">
        <v>81</v>
      </c>
      <c r="F3" s="12" t="s">
        <v>82</v>
      </c>
      <c r="G3" s="10" t="s">
        <v>83</v>
      </c>
      <c r="K3" s="11" t="s">
        <v>81</v>
      </c>
      <c r="L3" s="12" t="s">
        <v>82</v>
      </c>
      <c r="M3" s="10" t="s">
        <v>83</v>
      </c>
    </row>
    <row r="4" spans="3:13" x14ac:dyDescent="0.4">
      <c r="D4" s="13">
        <v>45658</v>
      </c>
      <c r="E4" s="11">
        <v>100</v>
      </c>
      <c r="F4" s="12">
        <v>150</v>
      </c>
      <c r="G4" s="10">
        <v>50</v>
      </c>
      <c r="J4" s="13">
        <v>45658</v>
      </c>
      <c r="K4" s="11">
        <v>100</v>
      </c>
      <c r="L4" s="12">
        <v>150</v>
      </c>
      <c r="M4" s="10">
        <v>50</v>
      </c>
    </row>
    <row r="5" spans="3:13" x14ac:dyDescent="0.4">
      <c r="D5" s="13">
        <v>45659</v>
      </c>
      <c r="E5" s="11">
        <f>F4</f>
        <v>150</v>
      </c>
      <c r="F5" s="12">
        <f>E5+G5</f>
        <v>190</v>
      </c>
      <c r="G5" s="10">
        <v>40</v>
      </c>
      <c r="J5" s="13">
        <v>45659</v>
      </c>
      <c r="K5" s="11">
        <f>L4</f>
        <v>150</v>
      </c>
      <c r="L5" s="12">
        <f>K5+M5</f>
        <v>190</v>
      </c>
      <c r="M5" s="10">
        <v>40</v>
      </c>
    </row>
    <row r="6" spans="3:13" x14ac:dyDescent="0.4">
      <c r="D6" s="13">
        <v>45660</v>
      </c>
      <c r="E6" s="11">
        <f t="shared" ref="E6:E9" si="0">F5</f>
        <v>190</v>
      </c>
      <c r="F6" s="12">
        <f t="shared" ref="F6:F9" si="1">E6+G6</f>
        <v>310</v>
      </c>
      <c r="G6" s="10">
        <v>120</v>
      </c>
      <c r="J6" s="13">
        <v>45660</v>
      </c>
      <c r="K6" s="11">
        <f t="shared" ref="K6:K10" si="2">L5</f>
        <v>190</v>
      </c>
      <c r="L6" s="12">
        <f t="shared" ref="L6:L10" si="3">K6+M6</f>
        <v>310</v>
      </c>
      <c r="M6" s="10">
        <v>120</v>
      </c>
    </row>
    <row r="7" spans="3:13" x14ac:dyDescent="0.4">
      <c r="D7" s="13">
        <v>45661</v>
      </c>
      <c r="E7" s="11">
        <f t="shared" si="0"/>
        <v>310</v>
      </c>
      <c r="F7" s="12">
        <f t="shared" si="1"/>
        <v>510</v>
      </c>
      <c r="G7" s="10">
        <v>200</v>
      </c>
      <c r="J7" s="13">
        <v>45661</v>
      </c>
      <c r="K7" s="11">
        <f t="shared" si="2"/>
        <v>310</v>
      </c>
      <c r="L7" s="12">
        <f t="shared" si="3"/>
        <v>510</v>
      </c>
      <c r="M7" s="10">
        <v>200</v>
      </c>
    </row>
    <row r="8" spans="3:13" x14ac:dyDescent="0.4">
      <c r="D8" s="13">
        <v>45663</v>
      </c>
      <c r="E8" s="11">
        <f t="shared" si="0"/>
        <v>510</v>
      </c>
      <c r="F8" s="12">
        <f t="shared" si="1"/>
        <v>560</v>
      </c>
      <c r="G8" s="10">
        <v>50</v>
      </c>
      <c r="J8" s="16">
        <v>45662</v>
      </c>
      <c r="K8" s="17">
        <f t="shared" si="2"/>
        <v>510</v>
      </c>
      <c r="L8" s="17">
        <f t="shared" si="3"/>
        <v>610</v>
      </c>
      <c r="M8" s="18">
        <v>100</v>
      </c>
    </row>
    <row r="9" spans="3:13" x14ac:dyDescent="0.4">
      <c r="D9" s="13">
        <v>45664</v>
      </c>
      <c r="E9" s="11">
        <f t="shared" si="0"/>
        <v>560</v>
      </c>
      <c r="F9" s="12">
        <f t="shared" si="1"/>
        <v>760</v>
      </c>
      <c r="G9" s="14">
        <v>200</v>
      </c>
      <c r="J9" s="13">
        <v>45663</v>
      </c>
      <c r="K9" s="15">
        <f t="shared" si="2"/>
        <v>610</v>
      </c>
      <c r="L9" s="15">
        <f t="shared" si="3"/>
        <v>660</v>
      </c>
      <c r="M9" s="10">
        <v>50</v>
      </c>
    </row>
    <row r="10" spans="3:13" x14ac:dyDescent="0.4">
      <c r="C10" s="19" t="s">
        <v>86</v>
      </c>
      <c r="D10" s="16">
        <v>45662</v>
      </c>
      <c r="E10" s="17"/>
      <c r="F10" s="17"/>
      <c r="G10" s="18">
        <v>100</v>
      </c>
      <c r="J10" s="13">
        <v>45664</v>
      </c>
      <c r="K10" s="15">
        <f t="shared" si="2"/>
        <v>660</v>
      </c>
      <c r="L10" s="15">
        <f t="shared" si="3"/>
        <v>860</v>
      </c>
      <c r="M10" s="14">
        <v>200</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724F-4422-4629-8342-BA445F15068F}">
  <dimension ref="A2:B2"/>
  <sheetViews>
    <sheetView workbookViewId="0">
      <selection activeCell="B3" sqref="B3"/>
    </sheetView>
  </sheetViews>
  <sheetFormatPr defaultRowHeight="17.399999999999999" x14ac:dyDescent="0.4"/>
  <cols>
    <col min="2" max="2" width="11" customWidth="1"/>
  </cols>
  <sheetData>
    <row r="2" spans="1:2" x14ac:dyDescent="0.4">
      <c r="A2">
        <v>3</v>
      </c>
      <c r="B2" t="s">
        <v>121</v>
      </c>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A677-9ADB-46EC-8837-1528367B7CF8}">
  <dimension ref="B2:B58"/>
  <sheetViews>
    <sheetView topLeftCell="A22" workbookViewId="0">
      <selection activeCell="C60" sqref="C60"/>
    </sheetView>
  </sheetViews>
  <sheetFormatPr defaultRowHeight="17.399999999999999" x14ac:dyDescent="0.4"/>
  <sheetData>
    <row r="2" spans="2:2" x14ac:dyDescent="0.4">
      <c r="B2">
        <v>9</v>
      </c>
    </row>
    <row r="24" spans="2:2" x14ac:dyDescent="0.4">
      <c r="B24">
        <v>10</v>
      </c>
    </row>
    <row r="58" spans="2:2" x14ac:dyDescent="0.4">
      <c r="B58">
        <v>11</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2D41-7144-42E1-8FBE-D2ECBBA085AE}">
  <dimension ref="A3:R19"/>
  <sheetViews>
    <sheetView topLeftCell="A19" zoomScale="70" zoomScaleNormal="70" workbookViewId="0">
      <selection activeCell="P5" sqref="P5:R7"/>
    </sheetView>
  </sheetViews>
  <sheetFormatPr defaultRowHeight="17.399999999999999" x14ac:dyDescent="0.4"/>
  <cols>
    <col min="16" max="16" width="15.3984375" customWidth="1"/>
    <col min="17" max="17" width="10.8984375" bestFit="1" customWidth="1"/>
    <col min="18" max="18" width="20.796875" customWidth="1"/>
  </cols>
  <sheetData>
    <row r="3" spans="1:18" x14ac:dyDescent="0.4">
      <c r="A3">
        <v>13</v>
      </c>
    </row>
    <row r="4" spans="1:18" x14ac:dyDescent="0.4">
      <c r="P4" s="24" t="s">
        <v>100</v>
      </c>
      <c r="Q4" s="24" t="s">
        <v>101</v>
      </c>
      <c r="R4" s="24" t="s">
        <v>102</v>
      </c>
    </row>
    <row r="5" spans="1:18" x14ac:dyDescent="0.4">
      <c r="P5" s="2" t="s">
        <v>103</v>
      </c>
      <c r="Q5" s="25">
        <v>45836</v>
      </c>
      <c r="R5" s="2" t="s">
        <v>104</v>
      </c>
    </row>
    <row r="6" spans="1:18" x14ac:dyDescent="0.4">
      <c r="P6" s="2" t="s">
        <v>105</v>
      </c>
      <c r="Q6" s="25">
        <v>45834</v>
      </c>
      <c r="R6" s="2" t="s">
        <v>106</v>
      </c>
    </row>
    <row r="7" spans="1:18" x14ac:dyDescent="0.4">
      <c r="P7" s="2" t="s">
        <v>107</v>
      </c>
      <c r="Q7" s="2" t="s">
        <v>108</v>
      </c>
      <c r="R7" s="2" t="s">
        <v>109</v>
      </c>
    </row>
    <row r="19" spans="1:1" x14ac:dyDescent="0.4">
      <c r="A19">
        <v>14</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본 회의록</vt:lpstr>
      <vt:lpstr>개발사항 정리 0703</vt:lpstr>
      <vt:lpstr>요구사항정리 0707</vt:lpstr>
      <vt:lpstr>Case</vt:lpstr>
      <vt:lpstr>Sheet3</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양 정오</dc:creator>
  <cp:lastModifiedBy>김 명남</cp:lastModifiedBy>
  <cp:lastPrinted>2025-07-03T02:58:39Z</cp:lastPrinted>
  <dcterms:created xsi:type="dcterms:W3CDTF">2025-06-18T01:27:07Z</dcterms:created>
  <dcterms:modified xsi:type="dcterms:W3CDTF">2025-07-11T07:36:02Z</dcterms:modified>
</cp:coreProperties>
</file>