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OneDrive - 영림원소프트랩\00 ODC 프로젝트\6.Pemtron팸트론\0.계약\"/>
    </mc:Choice>
  </mc:AlternateContent>
  <xr:revisionPtr revIDLastSave="0" documentId="13_ncr:1_{6D1A06AD-BD3C-43DA-A4ED-B17D752EA4A7}" xr6:coauthVersionLast="47" xr6:coauthVersionMax="47" xr10:uidLastSave="{00000000-0000-0000-0000-000000000000}"/>
  <bookViews>
    <workbookView xWindow="-108" yWindow="-108" windowWidth="23256" windowHeight="12456" tabRatio="590" activeTab="2" xr2:uid="{00000000-000D-0000-FFFF-FFFF00000000}"/>
  </bookViews>
  <sheets>
    <sheet name="WBS" sheetId="3" r:id="rId1"/>
    <sheet name="상세 스케줄 " sheetId="10" r:id="rId2"/>
    <sheet name="상세개발항목" sheetId="11" r:id="rId3"/>
  </sheets>
  <definedNames>
    <definedName name="____DD2" localSheetId="1">#REF!</definedName>
    <definedName name="____DD2">#REF!</definedName>
    <definedName name="____SS2" localSheetId="1">#REF!</definedName>
    <definedName name="____SS2">#REF!</definedName>
    <definedName name="__123Graph_A그래프2" localSheetId="1">#REF!</definedName>
    <definedName name="__123Graph_A그래프2">#REF!</definedName>
    <definedName name="__123Graph_B그래프2" localSheetId="1">#REF!</definedName>
    <definedName name="__123Graph_B그래프2">#REF!</definedName>
    <definedName name="__123Graph_X그래프2" localSheetId="1">#REF!</definedName>
    <definedName name="__123Graph_X그래프2">#REF!</definedName>
    <definedName name="__DD2" localSheetId="1">#REF!</definedName>
    <definedName name="__DD2">#REF!</definedName>
    <definedName name="__SS2" localSheetId="1">#REF!</definedName>
    <definedName name="__SS2">#REF!</definedName>
    <definedName name="_DD2" localSheetId="1">#REF!</definedName>
    <definedName name="_DD2">#REF!</definedName>
    <definedName name="_Fill" localSheetId="1">#REF!</definedName>
    <definedName name="_Fill">#REF!</definedName>
    <definedName name="_xlnm._FilterDatabase" localSheetId="1" hidden="1">'상세 스케줄 '!$B$5:$K$5</definedName>
    <definedName name="_Key1" localSheetId="1">#REF!</definedName>
    <definedName name="_Key1">#REF!</definedName>
    <definedName name="_Key2" localSheetId="1">#REF!</definedName>
    <definedName name="_Key2">#REF!</definedName>
    <definedName name="_Sort" localSheetId="1">#REF!</definedName>
    <definedName name="_Sort">#REF!</definedName>
    <definedName name="_SS2" localSheetId="1">#REF!</definedName>
    <definedName name="_SS2">#REF!</definedName>
    <definedName name="_Table1_In1" localSheetId="1">#REF!</definedName>
    <definedName name="_Table1_In1">#REF!</definedName>
    <definedName name="ACCT_ID" localSheetId="1">#REF!</definedName>
    <definedName name="ACCT_ID">#REF!</definedName>
    <definedName name="AJHD" localSheetId="1">#REF!</definedName>
    <definedName name="AJHD">#REF!</definedName>
    <definedName name="baseline" localSheetId="1">#REF!</definedName>
    <definedName name="baseline">#REF!</definedName>
    <definedName name="BBB" localSheetId="1">#REF!</definedName>
    <definedName name="BBB">#REF!</definedName>
    <definedName name="BVV" localSheetId="1">#REF!</definedName>
    <definedName name="BVV">#REF!</definedName>
    <definedName name="CASE2" localSheetId="1">#REF!</definedName>
    <definedName name="CASE2">#REF!</definedName>
    <definedName name="CCC" localSheetId="1">#REF!</definedName>
    <definedName name="CCC">#REF!</definedName>
    <definedName name="CSR_STEP" localSheetId="1">#REF!</definedName>
    <definedName name="CSR_STEP">#REF!</definedName>
    <definedName name="CSR단계" localSheetId="1">#REF!</definedName>
    <definedName name="CSR단계">#REF!</definedName>
    <definedName name="ddd" localSheetId="1">#REF!</definedName>
    <definedName name="ddd">#REF!</definedName>
    <definedName name="ddddd" localSheetId="1">#REF!</definedName>
    <definedName name="ddddd">#REF!</definedName>
    <definedName name="DDFRE" localSheetId="1">#REF!</definedName>
    <definedName name="DDFRE">#REF!</definedName>
    <definedName name="DFSWE" localSheetId="1">#REF!</definedName>
    <definedName name="DFSWE">#REF!</definedName>
    <definedName name="DK" localSheetId="1">#REF!</definedName>
    <definedName name="DK">#REF!</definedName>
    <definedName name="dkfj" localSheetId="1">#REF!</definedName>
    <definedName name="dkfj">#REF!</definedName>
    <definedName name="EEE" localSheetId="1">#REF!</definedName>
    <definedName name="EEE">#REF!</definedName>
    <definedName name="ENJA" localSheetId="1">#REF!</definedName>
    <definedName name="ENJA">#REF!</definedName>
    <definedName name="FEFADSF" localSheetId="1">#REF!</definedName>
    <definedName name="FEFADSF">#REF!</definedName>
    <definedName name="FL" localSheetId="1">#REF!</definedName>
    <definedName name="FL">#REF!</definedName>
    <definedName name="FLOW" localSheetId="1">#REF!</definedName>
    <definedName name="FLOW">#REF!</definedName>
    <definedName name="GEMCO" localSheetId="1">#REF!</definedName>
    <definedName name="GEMCO">#REF!</definedName>
    <definedName name="GGG" localSheetId="1">#REF!</definedName>
    <definedName name="GGG">#REF!</definedName>
    <definedName name="GGGTR" localSheetId="1">#REF!</definedName>
    <definedName name="GGGTR">#REF!</definedName>
    <definedName name="GGTREW" localSheetId="1">#REF!</definedName>
    <definedName name="GGTREW">#REF!</definedName>
    <definedName name="GJTL" localSheetId="1">#REF!</definedName>
    <definedName name="GJTL">#REF!</definedName>
    <definedName name="hardwar" localSheetId="1">#REF!</definedName>
    <definedName name="hardwar">#REF!</definedName>
    <definedName name="IIJELLSS" localSheetId="1">#REF!</definedName>
    <definedName name="IIJELLSS">#REF!</definedName>
    <definedName name="JJFORS" localSheetId="1">#REF!</definedName>
    <definedName name="JJFORS">#REF!</definedName>
    <definedName name="JJHSHHA" localSheetId="1">#REF!</definedName>
    <definedName name="JJHSHHA">#REF!</definedName>
    <definedName name="JJJJ" localSheetId="1">#REF!</definedName>
    <definedName name="JJJJ">#REF!</definedName>
    <definedName name="JJSUWE" localSheetId="1">#REF!</definedName>
    <definedName name="JJSUWE">#REF!</definedName>
    <definedName name="JSHS" localSheetId="1">#REF!</definedName>
    <definedName name="JSHS">#REF!</definedName>
    <definedName name="KKA" localSheetId="1">#REF!</definedName>
    <definedName name="KKA">#REF!</definedName>
    <definedName name="KKDAW" localSheetId="1">#REF!</definedName>
    <definedName name="KKDAW">#REF!</definedName>
    <definedName name="KKDIE" localSheetId="1">#REF!</definedName>
    <definedName name="KKDIE">#REF!</definedName>
    <definedName name="KKDUEKS" localSheetId="1">#REF!</definedName>
    <definedName name="KKDUEKS">#REF!</definedName>
    <definedName name="KKISJJD" localSheetId="1">#REF!</definedName>
    <definedName name="KKISJJD">#REF!</definedName>
    <definedName name="KKKD" localSheetId="1">#REF!</definedName>
    <definedName name="KKKD">#REF!</definedName>
    <definedName name="KKKDJJS" localSheetId="1">#REF!</definedName>
    <definedName name="KKKDJJS">#REF!</definedName>
    <definedName name="KKKEEP" localSheetId="1">#REF!</definedName>
    <definedName name="KKKEEP">#REF!</definedName>
    <definedName name="KKKSJS" localSheetId="1">#REF!</definedName>
    <definedName name="KKKSJS">#REF!</definedName>
    <definedName name="KKKSSL" localSheetId="1">#REF!</definedName>
    <definedName name="KKKSSL">#REF!</definedName>
    <definedName name="KKSIIEJD" localSheetId="1">#REF!</definedName>
    <definedName name="KKSIIEJD">#REF!</definedName>
    <definedName name="KKSJJWUJD" localSheetId="1">#REF!</definedName>
    <definedName name="KKSJJWUJD">#REF!</definedName>
    <definedName name="KKSJWEI" localSheetId="1">#REF!</definedName>
    <definedName name="KKSJWEI">#REF!</definedName>
    <definedName name="LAK" localSheetId="1">#REF!</definedName>
    <definedName name="LAK">#REF!</definedName>
    <definedName name="LBJ" localSheetId="1">#REF!</definedName>
    <definedName name="LBJ">#REF!</definedName>
    <definedName name="LL" localSheetId="1">#REF!</definedName>
    <definedName name="LL">#REF!</definedName>
    <definedName name="LLDIEKKS" localSheetId="1">#REF!</definedName>
    <definedName name="LLDIEKKS">#REF!</definedName>
    <definedName name="LLKD" localSheetId="1">#REF!</definedName>
    <definedName name="LLKD">#REF!</definedName>
    <definedName name="LLLS" localSheetId="1">#REF!</definedName>
    <definedName name="LLLS">#REF!</definedName>
    <definedName name="LLLSE" localSheetId="1">#REF!</definedName>
    <definedName name="LLLSE">#REF!</definedName>
    <definedName name="LLSIEKDKD" localSheetId="1">#REF!</definedName>
    <definedName name="LLSIEKDKD">#REF!</definedName>
    <definedName name="LLSKEIE" localSheetId="1">#REF!</definedName>
    <definedName name="LLSKEIE">#REF!</definedName>
    <definedName name="MMM" localSheetId="1">#REF!</definedName>
    <definedName name="MMM">#REF!</definedName>
    <definedName name="MNCT" localSheetId="1">#REF!</definedName>
    <definedName name="MNCT">#REF!</definedName>
    <definedName name="OUTPUT_TYPE" localSheetId="1">#REF!</definedName>
    <definedName name="OUTPUT_TYPE">#REF!</definedName>
    <definedName name="QWS" localSheetId="1">#REF!</definedName>
    <definedName name="QWS">#REF!</definedName>
    <definedName name="REFSDF" localSheetId="1">#REF!</definedName>
    <definedName name="REFSDF">#REF!</definedName>
    <definedName name="SAD" localSheetId="1">#REF!</definedName>
    <definedName name="SAD">#REF!</definedName>
    <definedName name="SDA" localSheetId="1">#REF!</definedName>
    <definedName name="SDA">#REF!</definedName>
    <definedName name="SDAS" localSheetId="1">#REF!</definedName>
    <definedName name="SDAS">#REF!</definedName>
    <definedName name="SDFDFSDSFD" localSheetId="1">#REF!</definedName>
    <definedName name="SDFDFSDSFD">#REF!</definedName>
    <definedName name="SDFDFSFSDAF" localSheetId="1">#REF!</definedName>
    <definedName name="SDFDFSFSDAF">#REF!</definedName>
    <definedName name="SK" localSheetId="1">#REF!</definedName>
    <definedName name="SK">#REF!</definedName>
    <definedName name="SSS" localSheetId="1">#REF!</definedName>
    <definedName name="SSS">#REF!</definedName>
    <definedName name="SSSEE" localSheetId="1">#REF!</definedName>
    <definedName name="SSSEE">#REF!</definedName>
    <definedName name="tol" localSheetId="1">#REF!</definedName>
    <definedName name="tol">#REF!</definedName>
    <definedName name="wrn.DACOM._.광전송장치._.투찰가._.검토." localSheetId="1">#REF!</definedName>
    <definedName name="wrn.DACOM._.광전송장치._.투찰가._.검토.">#REF!</definedName>
    <definedName name="wrn.DDD." localSheetId="1">#REF!</definedName>
    <definedName name="wrn.DDD.">#REF!</definedName>
    <definedName name="wrn.RPT." localSheetId="1">#REF!</definedName>
    <definedName name="wrn.RPT.">#REF!</definedName>
    <definedName name="wrn.부산주경기장." localSheetId="1">#REF!</definedName>
    <definedName name="wrn.부산주경기장.">#REF!</definedName>
    <definedName name="wrn.신용찬." localSheetId="1">#REF!</definedName>
    <definedName name="wrn.신용찬.">#REF!</definedName>
    <definedName name="wrn.주간._.보고." localSheetId="1">#REF!</definedName>
    <definedName name="wrn.주간._.보고.">#REF!</definedName>
    <definedName name="WWW" localSheetId="1">#REF!</definedName>
    <definedName name="WWW">#REF!</definedName>
    <definedName name="YYY" localSheetId="1">#REF!</definedName>
    <definedName name="YYY">#REF!</definedName>
    <definedName name="ZZZ" localSheetId="1">#REF!</definedName>
    <definedName name="ZZZ">#REF!</definedName>
    <definedName name="가나다" localSheetId="1">#REF!</definedName>
    <definedName name="가나다">#REF!</definedName>
    <definedName name="검토유형" localSheetId="1">#REF!</definedName>
    <definedName name="검토유형">#REF!</definedName>
    <definedName name="계측기기" localSheetId="1">#REF!</definedName>
    <definedName name="계측기기">#REF!</definedName>
    <definedName name="공공도서" localSheetId="1">#REF!</definedName>
    <definedName name="공공도서">#REF!</definedName>
    <definedName name="공공도서1" localSheetId="1">#REF!</definedName>
    <definedName name="공공도서1">#REF!</definedName>
    <definedName name="기능그룹" localSheetId="1">#REF!</definedName>
    <definedName name="기능그룹">#REF!</definedName>
    <definedName name="ㄴㄴ" localSheetId="1">#REF!</definedName>
    <definedName name="ㄴㄴ">#REF!</definedName>
    <definedName name="나ㅏㅓㄹ" localSheetId="1">#REF!</definedName>
    <definedName name="나ㅏㅓㄹ">#REF!</definedName>
    <definedName name="남남" localSheetId="1">#REF!</definedName>
    <definedName name="남남">#REF!</definedName>
    <definedName name="내장" localSheetId="1">#REF!</definedName>
    <definedName name="내장">#REF!</definedName>
    <definedName name="노원문화" localSheetId="1">#REF!</definedName>
    <definedName name="노원문화">#REF!</definedName>
    <definedName name="노원문화1" localSheetId="1">#REF!</definedName>
    <definedName name="노원문화1">#REF!</definedName>
    <definedName name="ㄷ" localSheetId="1">#REF!</definedName>
    <definedName name="ㄷ">#REF!</definedName>
    <definedName name="단가조사자료" localSheetId="1">#REF!</definedName>
    <definedName name="단가조사자료">#REF!</definedName>
    <definedName name="대구공항" localSheetId="1">#REF!</definedName>
    <definedName name="대구공항">#REF!</definedName>
    <definedName name="도사" localSheetId="1">#REF!</definedName>
    <definedName name="도사">#REF!</definedName>
    <definedName name="ㄹ" localSheetId="1">#REF!</definedName>
    <definedName name="ㄹ">#REF!</definedName>
    <definedName name="ㄹㄹㄹ" localSheetId="1">#REF!</definedName>
    <definedName name="ㄹㄹㄹ">#REF!</definedName>
    <definedName name="ㄹㄹㅇㄴㄴ" localSheetId="1">#REF!</definedName>
    <definedName name="ㄹㄹㅇㄴㄴ">#REF!</definedName>
    <definedName name="ㄹ로" localSheetId="1">#REF!</definedName>
    <definedName name="ㄹ로">#REF!</definedName>
    <definedName name="ㄹㅇㄴ" localSheetId="1">#REF!</definedName>
    <definedName name="ㄹㅇㄴ">#REF!</definedName>
    <definedName name="ㄹㅇㄶ" localSheetId="1">#REF!</definedName>
    <definedName name="ㄹㅇㄶ">#REF!</definedName>
    <definedName name="라" localSheetId="1">#REF!</definedName>
    <definedName name="라">#REF!</definedName>
    <definedName name="라ㅓㅇ" localSheetId="1">#REF!</definedName>
    <definedName name="라ㅓㅇ">#REF!</definedName>
    <definedName name="ㅁㅅㅅㅁㄱㅈ" localSheetId="1">#REF!</definedName>
    <definedName name="ㅁㅅㅅㅁㄱㅈ">#REF!</definedName>
    <definedName name="물가변동내역서" localSheetId="1">#REF!</definedName>
    <definedName name="물가변동내역서">#REF!</definedName>
    <definedName name="미" localSheetId="1">#REF!</definedName>
    <definedName name="미">#REF!</definedName>
    <definedName name="미승인" localSheetId="1">#REF!</definedName>
    <definedName name="미승인">#REF!</definedName>
    <definedName name="ㅂ" localSheetId="1">#REF!</definedName>
    <definedName name="ㅂ">#REF!</definedName>
    <definedName name="ㅂㅂ" localSheetId="1">#REF!</definedName>
    <definedName name="ㅂㅂ">#REF!</definedName>
    <definedName name="보오링그라우팅" localSheetId="1">#REF!</definedName>
    <definedName name="보오링그라우팅">#REF!</definedName>
    <definedName name="부산주경기장" localSheetId="1">#REF!</definedName>
    <definedName name="부산주경기장">#REF!</definedName>
    <definedName name="분야" localSheetId="1">#REF!</definedName>
    <definedName name="분야">#REF!</definedName>
    <definedName name="분야별" localSheetId="1">#REF!</definedName>
    <definedName name="분야별">#REF!</definedName>
    <definedName name="분야별공사비" localSheetId="1">#REF!</definedName>
    <definedName name="분야별공사비">#REF!</definedName>
    <definedName name="분양별" localSheetId="1">#REF!</definedName>
    <definedName name="분양별">#REF!</definedName>
    <definedName name="ㅅ" localSheetId="1">#REF!</definedName>
    <definedName name="ㅅ">#REF!</definedName>
    <definedName name="산출물종류" localSheetId="1">#REF!</definedName>
    <definedName name="산출물종류">#REF!</definedName>
    <definedName name="산출물종류2" localSheetId="1">#REF!</definedName>
    <definedName name="산출물종류2">#REF!</definedName>
    <definedName name="생산" localSheetId="1">#REF!</definedName>
    <definedName name="생산">#REF!</definedName>
    <definedName name="순공사" localSheetId="1">#REF!</definedName>
    <definedName name="순공사">#REF!</definedName>
    <definedName name="순공사비집" localSheetId="1">#REF!</definedName>
    <definedName name="순공사비집">#REF!</definedName>
    <definedName name="ㅇㄹㅇㄴㄹㅇ" localSheetId="1">#REF!</definedName>
    <definedName name="ㅇㄹㅇㄴㄹㅇ">#REF!</definedName>
    <definedName name="ㅇ라ㅓㅏㅗㄹ" localSheetId="1">#REF!</definedName>
    <definedName name="ㅇ라ㅓㅏㅗㄹ">#REF!</definedName>
    <definedName name="아ㅏㅓ랜" localSheetId="1">#REF!</definedName>
    <definedName name="아ㅏㅓ랜">#REF!</definedName>
    <definedName name="아ㅏㅓㅗㄹ" localSheetId="1">#REF!</definedName>
    <definedName name="아ㅏㅓㅗㄹ">#REF!</definedName>
    <definedName name="어ㅓㅓㅇ" localSheetId="1">#REF!</definedName>
    <definedName name="어ㅓㅓㅇ">#REF!</definedName>
    <definedName name="어ㅘㄴ" localSheetId="1">#REF!</definedName>
    <definedName name="어ㅘㄴ">#REF!</definedName>
    <definedName name="옥" localSheetId="1">#REF!</definedName>
    <definedName name="옥">#REF!</definedName>
    <definedName name="원가계간" localSheetId="1">#REF!</definedName>
    <definedName name="원가계간">#REF!</definedName>
    <definedName name="원가계산19" localSheetId="1">#REF!</definedName>
    <definedName name="원가계산19">#REF!</definedName>
    <definedName name="원각" localSheetId="1">#REF!</definedName>
    <definedName name="원각">#REF!</definedName>
    <definedName name="원기기ㅣㅇ" localSheetId="1">#REF!</definedName>
    <definedName name="원기기ㅣㅇ">#REF!</definedName>
    <definedName name="이법제" localSheetId="1">#REF!</definedName>
    <definedName name="이법제">#REF!</definedName>
    <definedName name="인사급여" localSheetId="1">#REF!</definedName>
    <definedName name="인사급여">#REF!</definedName>
    <definedName name="인천지검" localSheetId="1">#REF!</definedName>
    <definedName name="인천지검">#REF!</definedName>
    <definedName name="제조3" localSheetId="1">#REF!</definedName>
    <definedName name="제조3">#REF!</definedName>
    <definedName name="종합청사" localSheetId="1">#REF!</definedName>
    <definedName name="종합청사">#REF!</definedName>
    <definedName name="지원사이트" localSheetId="1">#REF!</definedName>
    <definedName name="지원사이트">#REF!</definedName>
    <definedName name="직매54P" localSheetId="1">#REF!</definedName>
    <definedName name="직매54P">#REF!</definedName>
    <definedName name="철근자료" localSheetId="1">#REF!</definedName>
    <definedName name="철근자료">#REF!</definedName>
    <definedName name="케이블간지" localSheetId="1">#REF!</definedName>
    <definedName name="케이블간지">#REF!</definedName>
    <definedName name="품질" localSheetId="1">#REF!</definedName>
    <definedName name="품질">#REF!</definedName>
    <definedName name="ㅎㅎㅎㅇ" localSheetId="1">#REF!</definedName>
    <definedName name="ㅎㅎㅎㅇ">#REF!</definedName>
    <definedName name="하도사" localSheetId="1">#REF!</definedName>
    <definedName name="하도사">#REF!</definedName>
    <definedName name="하동사" localSheetId="1">#REF!</definedName>
    <definedName name="하동사">#REF!</definedName>
    <definedName name="하수도2" localSheetId="1">#REF!</definedName>
    <definedName name="하수도2">#REF!</definedName>
    <definedName name="ㅏㅏㅏ" localSheetId="1">#REF!</definedName>
    <definedName name="ㅏㅏㅏ">#REF!</definedName>
    <definedName name="ㅏㅏㅏ갸" localSheetId="1">#REF!</definedName>
    <definedName name="ㅏㅏㅏ갸">#REF!</definedName>
    <definedName name="ㅏㅏㅏ데" localSheetId="1">#REF!</definedName>
    <definedName name="ㅏㅏㅏ데">#REF!</definedName>
    <definedName name="ㅏㅏㅣ" localSheetId="1">#REF!</definedName>
    <definedName name="ㅏㅏㅣ">#REF!</definedName>
    <definedName name="ㅓ난" localSheetId="1">#REF!</definedName>
    <definedName name="ㅓ난">#REF!</definedName>
    <definedName name="ㅓㄹ" localSheetId="1">#REF!</definedName>
    <definedName name="ㅓㄹ">#REF!</definedName>
    <definedName name="ㅓㅓ" localSheetId="1">#REF!</definedName>
    <definedName name="ㅓㅓ">#REF!</definedName>
    <definedName name="ㅓㅓㄹ" localSheetId="1">#REF!</definedName>
    <definedName name="ㅓㅓㄹ">#REF!</definedName>
    <definedName name="ㅓㅓㅏ니ㅣㅇ" localSheetId="1">#REF!</definedName>
    <definedName name="ㅓㅓㅏ니ㅣㅇ">#REF!</definedName>
    <definedName name="ㅓㅓㅓㄴ" localSheetId="1">#REF!</definedName>
    <definedName name="ㅓㅓㅓㄴ">#REF!</definedName>
    <definedName name="ㅓㅗㅎ" localSheetId="1">#REF!</definedName>
    <definedName name="ㅓㅗㅎ">#REF!</definedName>
    <definedName name="ㅗ" localSheetId="1">#REF!</definedName>
    <definedName name="ㅗ">#REF!</definedName>
    <definedName name="ㅗ마ㅓ리" localSheetId="1">#REF!</definedName>
    <definedName name="ㅗ마ㅓ리">#REF!</definedName>
    <definedName name="ㅗㅎ" localSheetId="1">#REF!</definedName>
    <definedName name="ㅗㅎ">#REF!</definedName>
    <definedName name="ㅗㅗㅗ" localSheetId="1">#REF!</definedName>
    <definedName name="ㅗㅗㅗ">#REF!</definedName>
    <definedName name="ㅣㅏ아ㅓㄴ" localSheetId="1">#REF!</definedName>
    <definedName name="ㅣㅏ아ㅓㄴ">#REF!</definedName>
    <definedName name="ㅣㅣㅣ" localSheetId="1">#REF!</definedName>
    <definedName name="ㅣㅣㅣ">#REF!</definedName>
    <definedName name="ㅣㅣㅣ노원문화" localSheetId="1">#REF!</definedName>
    <definedName name="ㅣㅣㅣ노원문화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iIOF7j7kkOot6Wa7bod5oE4VfADA=="/>
    </ext>
  </extLst>
</workbook>
</file>

<file path=xl/calcChain.xml><?xml version="1.0" encoding="utf-8"?>
<calcChain xmlns="http://schemas.openxmlformats.org/spreadsheetml/2006/main">
  <c r="I10" i="3" l="1"/>
  <c r="J8" i="10"/>
  <c r="F42" i="11"/>
  <c r="B3" i="3"/>
  <c r="H8" i="3"/>
  <c r="H7" i="3" l="1"/>
  <c r="I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H4" authorId="0" shapeId="0" xr:uid="{9F139A72-1BF7-40D3-8A66-49513BD2454F}">
      <text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입력바랍니다</t>
        </r>
        <r>
          <rPr>
            <b/>
            <sz val="9"/>
            <color indexed="81"/>
            <rFont val="Tahoma"/>
            <family val="2"/>
          </rPr>
          <t>.
Ex) 50</t>
        </r>
      </text>
    </comment>
  </commentList>
</comments>
</file>

<file path=xl/sharedStrings.xml><?xml version="1.0" encoding="utf-8"?>
<sst xmlns="http://schemas.openxmlformats.org/spreadsheetml/2006/main" count="390" uniqueCount="201">
  <si>
    <t>Project WBS</t>
  </si>
  <si>
    <t>Enter Project Range</t>
  </si>
  <si>
    <t>Start Date</t>
  </si>
  <si>
    <t>End Date</t>
  </si>
  <si>
    <t>작업</t>
  </si>
  <si>
    <t>산출물</t>
  </si>
  <si>
    <t>주관</t>
  </si>
  <si>
    <t>책임자/
담당자</t>
  </si>
  <si>
    <t>인원</t>
    <phoneticPr fontId="13" type="noConversion"/>
  </si>
  <si>
    <t>공수
(M/M)</t>
    <phoneticPr fontId="13" type="noConversion"/>
  </si>
  <si>
    <t>추가개발</t>
    <phoneticPr fontId="13" type="noConversion"/>
  </si>
  <si>
    <t>-. 화면설계 및 Spec 작성</t>
    <phoneticPr fontId="13" type="noConversion"/>
  </si>
  <si>
    <t>추가개발 화면설계서(Spec)</t>
    <phoneticPr fontId="13" type="noConversion"/>
  </si>
  <si>
    <t>YLW</t>
    <phoneticPr fontId="13" type="noConversion"/>
  </si>
  <si>
    <t>개발PM</t>
  </si>
  <si>
    <t>-. 화면 개발</t>
    <phoneticPr fontId="13" type="noConversion"/>
  </si>
  <si>
    <t>추가개발 프로그램 리스트</t>
  </si>
  <si>
    <t>YLW</t>
  </si>
  <si>
    <t>-. 테스트 및 수정 보완</t>
    <phoneticPr fontId="13" type="noConversion"/>
  </si>
  <si>
    <t>단위테스트결과서</t>
  </si>
  <si>
    <t>No</t>
    <phoneticPr fontId="15" type="noConversion"/>
  </si>
  <si>
    <t>업무 구분</t>
    <phoneticPr fontId="13" type="noConversion"/>
  </si>
  <si>
    <t>개발우선순위</t>
  </si>
  <si>
    <t>진행 업무</t>
    <phoneticPr fontId="15" type="noConversion"/>
  </si>
  <si>
    <t>진척률</t>
    <phoneticPr fontId="15" type="noConversion"/>
  </si>
  <si>
    <t>기간</t>
    <phoneticPr fontId="15" type="noConversion"/>
  </si>
  <si>
    <t>실행
구분</t>
    <phoneticPr fontId="15" type="noConversion"/>
  </si>
  <si>
    <t>시작</t>
    <phoneticPr fontId="15" type="noConversion"/>
  </si>
  <si>
    <t>종료</t>
    <phoneticPr fontId="15" type="noConversion"/>
  </si>
  <si>
    <t>15일~30일</t>
  </si>
  <si>
    <t>1일~15일</t>
    <phoneticPr fontId="13" type="noConversion"/>
  </si>
  <si>
    <t>16일~31일</t>
    <phoneticPr fontId="13" type="noConversion"/>
  </si>
  <si>
    <t>16일~31일</t>
  </si>
  <si>
    <t>16일~30일</t>
  </si>
  <si>
    <t>화면 설계 및 Spec 작성</t>
    <phoneticPr fontId="13" type="noConversion"/>
  </si>
  <si>
    <t>컨설팅/IO설계</t>
  </si>
  <si>
    <t>계획</t>
  </si>
  <si>
    <t>실행</t>
  </si>
  <si>
    <t>Spec 작성</t>
  </si>
  <si>
    <t>ERP 개발</t>
    <phoneticPr fontId="13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</si>
  <si>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</si>
  <si>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</si>
  <si>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</si>
  <si>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</si>
  <si>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</si>
  <si>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</si>
  <si>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</si>
  <si>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</si>
  <si>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</si>
  <si>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</si>
  <si>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</si>
  <si>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</si>
  <si>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테스트 및 수정 보완</t>
    <phoneticPr fontId="13" type="noConversion"/>
  </si>
  <si>
    <t>개발자 테스트(TEST DB)</t>
  </si>
  <si>
    <t>고객 테스트 및 수정사항 반영(TEST DB)</t>
  </si>
  <si>
    <t>개발 내역 반영(TEST DB-&gt;LIVE DB)</t>
  </si>
  <si>
    <t>산출물 정리 및 인계</t>
  </si>
  <si>
    <t>프로젝트 종료 보고</t>
    <phoneticPr fontId="13" type="noConversion"/>
  </si>
  <si>
    <t>구분</t>
    <phoneticPr fontId="13" type="noConversion"/>
  </si>
  <si>
    <t>상세개발내역
(상세내역 자세히 기록)</t>
    <phoneticPr fontId="13" type="noConversion"/>
  </si>
  <si>
    <t>개발
구분</t>
    <phoneticPr fontId="13" type="noConversion"/>
  </si>
  <si>
    <t>개발공수
(M/D)</t>
    <phoneticPr fontId="13" type="noConversion"/>
  </si>
  <si>
    <t>수정</t>
    <phoneticPr fontId="13" type="noConversion"/>
  </si>
  <si>
    <t>신규</t>
    <phoneticPr fontId="13" type="noConversion"/>
  </si>
  <si>
    <t>추가개발 공수 합계 (M/D)</t>
    <phoneticPr fontId="13" type="noConversion"/>
  </si>
  <si>
    <t>컨설턴트</t>
  </si>
  <si>
    <r>
      <t>■ 202</t>
    </r>
    <r>
      <rPr>
        <b/>
        <sz val="10"/>
        <color theme="1"/>
        <rFont val="Microsoft YaHei"/>
        <family val="3"/>
        <charset val="134"/>
      </rPr>
      <t>5</t>
    </r>
    <r>
      <rPr>
        <b/>
        <sz val="10"/>
        <color theme="1"/>
        <rFont val="Malgun Gothic"/>
        <family val="3"/>
        <charset val="129"/>
      </rPr>
      <t>. 0</t>
    </r>
    <r>
      <rPr>
        <b/>
        <sz val="10"/>
        <color theme="1"/>
        <rFont val="Microsoft YaHei"/>
        <family val="3"/>
        <charset val="134"/>
      </rPr>
      <t>9</t>
    </r>
    <r>
      <rPr>
        <b/>
        <sz val="10"/>
        <color theme="1"/>
        <rFont val="Malgun Gothic"/>
        <family val="3"/>
        <charset val="129"/>
      </rPr>
      <t xml:space="preserve">. </t>
    </r>
    <r>
      <rPr>
        <b/>
        <sz val="10"/>
        <color theme="1"/>
        <rFont val="Microsoft YaHei"/>
        <family val="3"/>
        <charset val="134"/>
      </rPr>
      <t>02</t>
    </r>
    <r>
      <rPr>
        <b/>
        <sz val="10"/>
        <color theme="1"/>
        <rFont val="Malgun Gothic"/>
        <family val="3"/>
        <charset val="129"/>
      </rPr>
      <t>.</t>
    </r>
    <phoneticPr fontId="13" type="noConversion"/>
  </si>
  <si>
    <r>
      <rPr>
        <b/>
        <sz val="9"/>
        <color rgb="FFC00000"/>
        <rFont val="맑은 고딕"/>
        <family val="3"/>
        <charset val="129"/>
      </rPr>
      <t>1.[일반비용신청_pemtron]</t>
    </r>
    <r>
      <rPr>
        <sz val="10"/>
        <rFont val="맑은 고딕"/>
        <family val="3"/>
        <charset val="129"/>
      </rPr>
      <t xml:space="preserve">
 1. 경비처리개선 (계정을 직접선택하지 않고, 단계적 선택로 진행, 사용할 계정 별도 관리, 절차 관리)</t>
    </r>
    <phoneticPr fontId="13" type="noConversion"/>
  </si>
  <si>
    <r>
      <rPr>
        <b/>
        <sz val="9"/>
        <color rgb="FFC00000"/>
        <rFont val="맑은 고딕"/>
        <family val="3"/>
        <charset val="129"/>
      </rPr>
      <t>10.[차입금유동성대체_pemtron]</t>
    </r>
    <r>
      <rPr>
        <sz val="9"/>
        <rFont val="맑은 고딕"/>
        <family val="3"/>
        <charset val="129"/>
      </rPr>
      <t xml:space="preserve">
 1. 유동성대체화면에서 만기일 입력기준으로 현시점까지 확인화면 개발
※ 펨트론에서 양식제공</t>
    </r>
    <phoneticPr fontId="13" type="noConversion"/>
  </si>
  <si>
    <r>
      <rPr>
        <b/>
        <sz val="9"/>
        <color rgb="FFC00000"/>
        <rFont val="맑은 고딕"/>
        <family val="3"/>
        <charset val="129"/>
      </rPr>
      <t>11.[미상계잔액조회_pemtron]</t>
    </r>
    <r>
      <rPr>
        <sz val="9"/>
        <rFont val="맑은 고딕"/>
        <family val="3"/>
        <charset val="129"/>
      </rPr>
      <t xml:space="preserve">
 1. 매출완된 료프로젝트의 선수금·미수금 등 잔액확인할 수 있는 프로젝트별 정산잔액 조회화면 개발</t>
    </r>
    <phoneticPr fontId="13" type="noConversion"/>
  </si>
  <si>
    <r>
      <rPr>
        <b/>
        <sz val="9"/>
        <color rgb="FFC00000"/>
        <rFont val="맑은 고딕"/>
        <family val="3"/>
        <charset val="129"/>
      </rPr>
      <t>12.[프로젝트 선수금/미수금 잔액조회]</t>
    </r>
    <r>
      <rPr>
        <sz val="9"/>
        <rFont val="맑은 고딕"/>
        <family val="3"/>
        <charset val="129"/>
      </rPr>
      <t xml:space="preserve">
 1. 프로젝트별 선수금/미수금 잔액 조회화면 개발
※ 펨트론에서 조회화면 양식제공</t>
    </r>
    <phoneticPr fontId="13" type="noConversion"/>
  </si>
  <si>
    <r>
      <rPr>
        <b/>
        <sz val="9"/>
        <color rgb="FFC00000"/>
        <rFont val="맑은 고딕"/>
        <family val="3"/>
        <charset val="129"/>
      </rPr>
      <t>13.[계정별원장_pemtron]</t>
    </r>
    <r>
      <rPr>
        <sz val="9"/>
        <rFont val="맑은 고딕"/>
        <family val="3"/>
        <charset val="129"/>
      </rPr>
      <t xml:space="preserve">
 1. 조회조건 기간 설정(From~To) 방식으로 개발
 ※ 조회기간에 따라 속도에 영향이 있을 수 있습니다.</t>
    </r>
    <phoneticPr fontId="13" type="noConversion"/>
  </si>
  <si>
    <r>
      <rPr>
        <b/>
        <sz val="9"/>
        <color rgb="FFC00000"/>
        <rFont val="맑은 고딕"/>
        <family val="3"/>
        <charset val="129"/>
      </rPr>
      <t>16.[수출매출처리]</t>
    </r>
    <r>
      <rPr>
        <sz val="9"/>
        <rFont val="맑은 고딕"/>
        <family val="3"/>
        <charset val="129"/>
      </rPr>
      <t xml:space="preserve"> 
 1.[원장상세조회] 외화계정 조회 시 통화를 지정하지 않아도 일괄조회 가능하도록 개발
 2.[거래처별계정잔액조회] 외화계정 조회 시 통화별 일괄조회 가능하도록 개선</t>
    </r>
    <phoneticPr fontId="13" type="noConversion"/>
  </si>
  <si>
    <r>
      <rPr>
        <b/>
        <sz val="9"/>
        <color rgb="FFC00000"/>
        <rFont val="맑은 고딕"/>
        <family val="3"/>
        <charset val="129"/>
      </rPr>
      <t>18.[건설중인자산 대체처리 개선]</t>
    </r>
    <r>
      <rPr>
        <sz val="9"/>
        <rFont val="맑은 고딕"/>
        <family val="3"/>
        <charset val="129"/>
      </rPr>
      <t xml:space="preserve">
 1. 건설중인자산 /미지급금으로 고정자산대체처리화면 신규개발
 2. 건설중인자산잔액조회 화면 개발
 3. 건설중인자산 대체자산조회 화면 개발</t>
    </r>
    <phoneticPr fontId="13" type="noConversion"/>
  </si>
  <si>
    <r>
      <rPr>
        <b/>
        <sz val="9"/>
        <color rgb="FFC00000"/>
        <rFont val="맑은 고딕"/>
        <family val="3"/>
        <charset val="129"/>
      </rPr>
      <t>19.[업무용승용차운행기록부_pemtron]</t>
    </r>
    <r>
      <rPr>
        <sz val="9"/>
        <rFont val="맑은 고딕"/>
        <family val="3"/>
        <charset val="129"/>
      </rPr>
      <t xml:space="preserve">
 1. 본인의 담당법인차량만 조회 가능하도록 개발</t>
    </r>
    <phoneticPr fontId="13" type="noConversion"/>
  </si>
  <si>
    <r>
      <rPr>
        <b/>
        <sz val="9"/>
        <color rgb="FFC00000"/>
        <rFont val="맑은 고딕"/>
        <family val="3"/>
        <charset val="129"/>
      </rPr>
      <t>20.[업무용승용차운행기록부_pemtron]</t>
    </r>
    <r>
      <rPr>
        <sz val="9"/>
        <rFont val="맑은 고딕"/>
        <family val="3"/>
        <charset val="129"/>
      </rPr>
      <t xml:space="preserve">
 1. 수정된 월의 전월 마지막 일자 기준 재계산 기능개발
</t>
    </r>
    <r>
      <rPr>
        <sz val="9"/>
        <rFont val="Microsoft YaHei"/>
        <family val="3"/>
        <charset val="134"/>
      </rPr>
      <t xml:space="preserve"> 2. </t>
    </r>
    <r>
      <rPr>
        <sz val="9"/>
        <rFont val="맑은 고딕"/>
        <family val="3"/>
        <charset val="129"/>
      </rPr>
      <t>조회조건의 차량번호 코드도움에 담당자 추가</t>
    </r>
    <phoneticPr fontId="13" type="noConversion"/>
  </si>
  <si>
    <r>
      <rPr>
        <b/>
        <sz val="9"/>
        <color rgb="FFC00000"/>
        <rFont val="맑은 고딕"/>
        <family val="3"/>
        <charset val="129"/>
      </rPr>
      <t>21.[프로젝트구매요청입력_pemtron]</t>
    </r>
    <r>
      <rPr>
        <sz val="9"/>
        <rFont val="맑은 고딕"/>
        <family val="3"/>
        <charset val="129"/>
      </rPr>
      <t xml:space="preserve">
 1.프로젝트재료자원, 구매요청, 투입자재를 비교화면 개발
※ 펨트론에서 비교자료제공</t>
    </r>
    <phoneticPr fontId="13" type="noConversion"/>
  </si>
  <si>
    <r>
      <rPr>
        <b/>
        <sz val="9"/>
        <color rgb="FFC00000"/>
        <rFont val="맑은 고딕"/>
        <family val="3"/>
        <charset val="129"/>
      </rPr>
      <t>22.[프로젝트재료자원조회_pemtron]</t>
    </r>
    <r>
      <rPr>
        <sz val="9"/>
        <rFont val="맑은 고딕"/>
        <family val="3"/>
        <charset val="129"/>
      </rPr>
      <t xml:space="preserve">
 1. 최종BOM 기준으로 수량 수정가능하도록 개발
 2. BOM레벨 자동채번기능
 3. 비고저장 버튼추가</t>
    </r>
    <phoneticPr fontId="13" type="noConversion"/>
  </si>
  <si>
    <r>
      <rPr>
        <b/>
        <sz val="9"/>
        <color rgb="FFC00000"/>
        <rFont val="맑은 고딕"/>
        <family val="3"/>
        <charset val="129"/>
      </rPr>
      <t>24.[프로젝트수출BL입력_pemtron]</t>
    </r>
    <r>
      <rPr>
        <sz val="9"/>
        <rFont val="맑은 고딕"/>
        <family val="3"/>
        <charset val="129"/>
      </rPr>
      <t xml:space="preserve">
 1. 프로젝트수출B/L에서 환율 적용일자가 선적일자로 적용 개발 </t>
    </r>
    <phoneticPr fontId="13" type="noConversion"/>
  </si>
  <si>
    <r>
      <rPr>
        <b/>
        <sz val="9"/>
        <color rgb="FFC00000"/>
        <rFont val="맑은 고딕"/>
        <family val="3"/>
        <charset val="129"/>
      </rPr>
      <t>25.[프로젝트입력]</t>
    </r>
    <r>
      <rPr>
        <sz val="9"/>
        <rFont val="맑은 고딕"/>
        <family val="3"/>
        <charset val="129"/>
      </rPr>
      <t xml:space="preserve">
1. 생산실적 입력시 프로젝트입력 관리항목 '시리얼번호' 자동 반영 개발</t>
    </r>
    <phoneticPr fontId="13" type="noConversion"/>
  </si>
  <si>
    <r>
      <rPr>
        <b/>
        <sz val="9"/>
        <color rgb="FFC00000"/>
        <rFont val="맑은 고딕"/>
        <family val="3"/>
        <charset val="129"/>
      </rPr>
      <t>26.[프로젝트조회</t>
    </r>
    <r>
      <rPr>
        <b/>
        <sz val="9"/>
        <color rgb="FFC00000"/>
        <rFont val="Noto Sans KR"/>
        <family val="3"/>
        <charset val="134"/>
      </rPr>
      <t>_pemtron]</t>
    </r>
    <r>
      <rPr>
        <sz val="9"/>
        <rFont val="맑은 고딕"/>
        <family val="3"/>
        <charset val="129"/>
      </rPr>
      <t xml:space="preserve"> 
</t>
    </r>
    <r>
      <rPr>
        <sz val="9"/>
        <rFont val="Microsoft YaHei"/>
        <family val="3"/>
        <charset val="134"/>
      </rPr>
      <t xml:space="preserve"> </t>
    </r>
    <r>
      <rPr>
        <sz val="9"/>
        <rFont val="맑은 고딕"/>
        <family val="3"/>
        <charset val="129"/>
      </rPr>
      <t xml:space="preserve">1. 프로젝트조회(관리항목)에서 조회조건 프로젝트유형 필수조건 제거
</t>
    </r>
    <r>
      <rPr>
        <sz val="9"/>
        <rFont val="Calibri"/>
        <family val="3"/>
        <charset val="129"/>
        <scheme val="minor"/>
      </rPr>
      <t xml:space="preserve"> 2. 관</t>
    </r>
    <r>
      <rPr>
        <sz val="9"/>
        <rFont val="맑은 고딕"/>
        <family val="3"/>
        <charset val="129"/>
      </rPr>
      <t>리항목 다이나믹식으로</t>
    </r>
    <r>
      <rPr>
        <sz val="9"/>
        <rFont val="Microsoft YaHei"/>
        <family val="3"/>
        <charset val="134"/>
      </rPr>
      <t xml:space="preserve"> </t>
    </r>
    <r>
      <rPr>
        <sz val="9"/>
        <rFont val="맑은 고딕"/>
        <family val="3"/>
        <charset val="129"/>
      </rPr>
      <t xml:space="preserve">보일도록 개발
 </t>
    </r>
    <r>
      <rPr>
        <sz val="9"/>
        <rFont val="Microsoft YaHei"/>
        <family val="3"/>
        <charset val="134"/>
      </rPr>
      <t>3</t>
    </r>
    <r>
      <rPr>
        <sz val="9"/>
        <rFont val="맑은 고딕"/>
        <family val="3"/>
        <charset val="129"/>
      </rPr>
      <t>. 조회조건: 비고 추가</t>
    </r>
    <phoneticPr fontId="13" type="noConversion"/>
  </si>
  <si>
    <r>
      <rPr>
        <b/>
        <sz val="9"/>
        <color rgb="FFC00000"/>
        <rFont val="맑은 고딕"/>
        <family val="3"/>
        <charset val="129"/>
      </rPr>
      <t>28.[프로젝트매출세금계산서입력(청구)_pemtron]</t>
    </r>
    <r>
      <rPr>
        <sz val="9"/>
        <rFont val="맑은 고딕"/>
        <family val="3"/>
        <charset val="129"/>
      </rPr>
      <t xml:space="preserve">
 1. toolbar 추가 신규화면</t>
    </r>
    <r>
      <rPr>
        <sz val="9"/>
        <rFont val="Noto Sans KR"/>
        <family val="3"/>
        <charset val="134"/>
      </rPr>
      <t xml:space="preserve"> 개발</t>
    </r>
    <phoneticPr fontId="13" type="noConversion"/>
  </si>
  <si>
    <r>
      <rPr>
        <b/>
        <sz val="9"/>
        <color rgb="FFC00000"/>
        <rFont val="맑은 고딕"/>
        <family val="3"/>
        <charset val="129"/>
      </rPr>
      <t>31.[프로젝트발주품목조회_pemtron]</t>
    </r>
    <r>
      <rPr>
        <sz val="9"/>
        <rFont val="맑은 고딕"/>
        <family val="3"/>
        <charset val="129"/>
      </rPr>
      <t xml:space="preserve">
 1. 조회조건에 납품도래일 D-day 입력 항목 추가, 조회 기능 개발</t>
    </r>
    <phoneticPr fontId="13" type="noConversion"/>
  </si>
  <si>
    <r>
      <rPr>
        <b/>
        <sz val="9"/>
        <color rgb="FFC00000"/>
        <rFont val="맑은 고딕"/>
        <family val="3"/>
        <charset val="129"/>
      </rPr>
      <t>37.[프로젝트구매요청]</t>
    </r>
    <r>
      <rPr>
        <sz val="9"/>
        <rFont val="맑은 고딕"/>
        <family val="3"/>
        <charset val="129"/>
      </rPr>
      <t xml:space="preserve">
 1. 구매요청에 RM코드 규칙 및 부가세 처리 기준대로 프로젝트번호에 n/d 코드 시작한거 아니면 rm코드 사용불가 로직추가
 2. 재료자원등록시 RM코드 등록 불가 로직추가</t>
    </r>
    <phoneticPr fontId="13" type="noConversion"/>
  </si>
  <si>
    <r>
      <rPr>
        <b/>
        <sz val="9"/>
        <color rgb="FFC00000"/>
        <rFont val="맑은 고딕"/>
        <family val="3"/>
        <charset val="129"/>
      </rPr>
      <t>40.[프로젝트구매발주입력_pemtron]</t>
    </r>
    <r>
      <rPr>
        <sz val="9"/>
        <rFont val="맑은 고딕"/>
        <family val="3"/>
        <charset val="129"/>
      </rPr>
      <t xml:space="preserve">
 1. 파셜로 일부입고처리 시 수정용 납품예정일 컬럼 추가  수정가능하도록 개발</t>
    </r>
    <phoneticPr fontId="13" type="noConversion"/>
  </si>
  <si>
    <r>
      <rPr>
        <b/>
        <sz val="9"/>
        <color rgb="FFC00000"/>
        <rFont val="맑은 고딕"/>
        <family val="3"/>
        <charset val="129"/>
      </rPr>
      <t xml:space="preserve">41.[프로젝트조회_pemtron]
</t>
    </r>
    <r>
      <rPr>
        <sz val="9"/>
        <color theme="1"/>
        <rFont val="맑은 고딕"/>
        <family val="3"/>
        <charset val="129"/>
      </rPr>
      <t xml:space="preserve"> 1. 조회조건 </t>
    </r>
    <r>
      <rPr>
        <sz val="9"/>
        <rFont val="맑은 고딕"/>
        <family val="3"/>
        <charset val="129"/>
      </rPr>
      <t>:시리얼 번호 추가
 2. 컬럼: 시리얼 번호추가</t>
    </r>
    <phoneticPr fontId="13" type="noConversion"/>
  </si>
  <si>
    <r>
      <rPr>
        <b/>
        <sz val="9"/>
        <color rgb="FFC00000"/>
        <rFont val="맑은 고딕"/>
        <family val="3"/>
        <charset val="129"/>
      </rPr>
      <t xml:space="preserve">42.[프로젝트수출출하의뢰입력_pemtron] 
</t>
    </r>
    <r>
      <rPr>
        <sz val="9"/>
        <color theme="1"/>
        <rFont val="맑은 고딕"/>
        <family val="3"/>
        <charset val="129"/>
      </rPr>
      <t xml:space="preserve"> 1. 납품거래처의 Payment조건/미수금액 표시 추가개발</t>
    </r>
    <r>
      <rPr>
        <sz val="9"/>
        <rFont val="맑은 고딕"/>
        <family val="3"/>
        <charset val="129"/>
      </rPr>
      <t xml:space="preserve">
 2. 프로젝트입력의 결제조건 조회
 3. 프로젝트기준의 입금여부/선수금입금율 조회</t>
    </r>
    <phoneticPr fontId="13" type="noConversion"/>
  </si>
  <si>
    <r>
      <t xml:space="preserve">43.[프로젝트납품예정내역조회]
</t>
    </r>
    <r>
      <rPr>
        <sz val="9"/>
        <color theme="1"/>
        <rFont val="맑은 고딕"/>
        <family val="3"/>
        <charset val="129"/>
      </rPr>
      <t xml:space="preserve"> 1. 컬럼'진행조회' 팝업에서 점프 추가개발</t>
    </r>
    <phoneticPr fontId="13" type="noConversion"/>
  </si>
  <si>
    <r>
      <rPr>
        <b/>
        <sz val="9"/>
        <color rgb="FFC00000"/>
        <rFont val="Calibri"/>
        <family val="3"/>
        <charset val="129"/>
        <scheme val="minor"/>
      </rPr>
      <t>45.[자재기타출고요청품목조회/자재기타출고요청품목입력]</t>
    </r>
    <r>
      <rPr>
        <sz val="9"/>
        <rFont val="Calibri"/>
        <family val="3"/>
        <charset val="129"/>
        <scheme val="minor"/>
      </rPr>
      <t xml:space="preserve">
  1.Dummy 활용 출고처리 근거를 입력하여 프로젝트구매자재진행조회 로 점프 개발
  2. 원장에 연계 </t>
    </r>
    <phoneticPr fontId="15" type="noConversion"/>
  </si>
  <si>
    <r>
      <rPr>
        <b/>
        <sz val="9"/>
        <color rgb="FFC00000"/>
        <rFont val="맑은 고딕"/>
        <family val="3"/>
        <charset val="129"/>
      </rPr>
      <t>48.[품목별예외검사대상등록/프로젝트최종검사의뢰조회_pemtron/프로젝트작업실적조회_pemtron/프로젝트최종검사결과조회_pemtron/프로젝트출하검사결과조회_pemtron]</t>
    </r>
    <r>
      <rPr>
        <sz val="9"/>
        <rFont val="맑은 고딕"/>
        <family val="3"/>
        <charset val="129"/>
      </rPr>
      <t xml:space="preserve">
 1. 5개 조회화면에서 End User, 시리얼번호 표시작업</t>
    </r>
    <phoneticPr fontId="13" type="noConversion"/>
  </si>
  <si>
    <r>
      <rPr>
        <b/>
        <sz val="9"/>
        <color rgb="FFC00000"/>
        <rFont val="Noto Sans KR"/>
        <family val="3"/>
        <charset val="134"/>
      </rPr>
      <t>53</t>
    </r>
    <r>
      <rPr>
        <b/>
        <sz val="9"/>
        <color rgb="FFC00000"/>
        <rFont val="맑은 고딕"/>
        <family val="3"/>
        <charset val="129"/>
      </rPr>
      <t>.[프로젝트최종검사입력_pemtron /  검사성적서출력 ]</t>
    </r>
    <r>
      <rPr>
        <sz val="9"/>
        <rFont val="맑은 고딕"/>
        <family val="3"/>
        <charset val="129"/>
      </rPr>
      <t xml:space="preserve">
 1. 프로젝트최종검사입력에서 컬럼(승인자)추가 
 2. 검사성적서 출력 시 검사자/승인자 서명란에 해당 서명이미지 자동 반영.</t>
    </r>
    <phoneticPr fontId="13" type="noConversion"/>
  </si>
  <si>
    <r>
      <rPr>
        <b/>
        <sz val="9"/>
        <color rgb="FFC00000"/>
        <rFont val="Noto Sans KR"/>
        <family val="3"/>
        <charset val="134"/>
      </rPr>
      <t>57</t>
    </r>
    <r>
      <rPr>
        <b/>
        <sz val="9"/>
        <color rgb="FFC00000"/>
        <rFont val="맑은 고딕"/>
        <family val="3"/>
        <charset val="129"/>
      </rPr>
      <t>.[연차내역조회_pemtron]/[휴가신청내역조회_pemtron]</t>
    </r>
    <r>
      <rPr>
        <sz val="9"/>
        <rFont val="맑은 고딕"/>
        <family val="3"/>
        <charset val="129"/>
      </rPr>
      <t xml:space="preserve">
 1. 사원명부 직책기준으로 권한관리하여 연차내역조회, 휴가신청내역조회 개발</t>
    </r>
    <phoneticPr fontId="13" type="noConversion"/>
  </si>
  <si>
    <r>
      <rPr>
        <b/>
        <sz val="9"/>
        <color rgb="FFC00000"/>
        <rFont val="Noto Sans KR"/>
        <family val="3"/>
        <charset val="134"/>
      </rPr>
      <t>59</t>
    </r>
    <r>
      <rPr>
        <b/>
        <sz val="9"/>
        <color rgb="FFC00000"/>
        <rFont val="맑은 고딕"/>
        <family val="3"/>
        <charset val="129"/>
      </rPr>
      <t xml:space="preserve">.[휴가신청서]
</t>
    </r>
    <r>
      <rPr>
        <sz val="9"/>
        <color theme="1"/>
        <rFont val="맑은 고딕"/>
        <family val="3"/>
        <charset val="129"/>
      </rPr>
      <t xml:space="preserve"> 1. 양식 수정
 2. 세부현황, 반차, 반반차 자동입력 수정불가 처리</t>
    </r>
    <phoneticPr fontId="13" type="noConversion"/>
  </si>
  <si>
    <r>
      <rPr>
        <b/>
        <sz val="9"/>
        <color rgb="FFC00000"/>
        <rFont val="Noto Sans KR"/>
        <family val="3"/>
        <charset val="134"/>
      </rPr>
      <t>60</t>
    </r>
    <r>
      <rPr>
        <b/>
        <sz val="9"/>
        <color rgb="FFC00000"/>
        <rFont val="맑은 고딕"/>
        <family val="3"/>
        <charset val="129"/>
      </rPr>
      <t xml:space="preserve">.[시간외근무신청서]
</t>
    </r>
    <r>
      <rPr>
        <sz val="9"/>
        <color theme="1"/>
        <rFont val="맑은 고딕"/>
        <family val="3"/>
        <charset val="129"/>
      </rPr>
      <t xml:space="preserve"> 1. 식사여부 ( 평일/주말 구분</t>
    </r>
    <r>
      <rPr>
        <sz val="9"/>
        <color theme="1"/>
        <rFont val="Noto Sans KR"/>
        <family val="3"/>
        <charset val="134"/>
      </rPr>
      <t>)</t>
    </r>
    <r>
      <rPr>
        <sz val="9"/>
        <color theme="1"/>
        <rFont val="맑은 고딕"/>
        <family val="3"/>
        <charset val="129"/>
      </rPr>
      <t xml:space="preserve"> 체크하여</t>
    </r>
    <r>
      <rPr>
        <sz val="9"/>
        <color theme="1"/>
        <rFont val="Noto Sans KR"/>
        <family val="3"/>
        <charset val="134"/>
      </rPr>
      <t xml:space="preserve"> </t>
    </r>
    <r>
      <rPr>
        <sz val="9"/>
        <color theme="1"/>
        <rFont val="맑은 고딕"/>
        <family val="3"/>
        <charset val="129"/>
      </rPr>
      <t>각 근무시간 자동계산</t>
    </r>
    <phoneticPr fontId="13" type="noConversion"/>
  </si>
  <si>
    <r>
      <rPr>
        <b/>
        <sz val="9"/>
        <color rgb="FFC00000"/>
        <rFont val="Noto Sans KR"/>
        <family val="3"/>
        <charset val="134"/>
      </rPr>
      <t>63</t>
    </r>
    <r>
      <rPr>
        <b/>
        <sz val="9"/>
        <color rgb="FFC00000"/>
        <rFont val="맑은 고딕"/>
        <family val="3"/>
        <charset val="129"/>
      </rPr>
      <t>.[휴가신청서_pemtron]/[시간외근무신청__pemtron]</t>
    </r>
    <r>
      <rPr>
        <sz val="9"/>
        <rFont val="맑은 고딕"/>
        <family val="3"/>
        <charset val="129"/>
      </rPr>
      <t xml:space="preserve">
 1. 휴가신청서: 전자결재 상신 전 건에 대해 중복 데이터 삭제 기능 추가, 상신된 상태이면 삭제불가</t>
    </r>
    <r>
      <rPr>
        <sz val="9"/>
        <rFont val="맑은 고딕"/>
        <family val="3"/>
        <charset val="134"/>
      </rPr>
      <t xml:space="preserve">
 2. 시간외근무신청: 내역 생성 시 동일 일자 중복 여부 체크 후 기존 데이터 삭제 안내 메시지 표시</t>
    </r>
    <phoneticPr fontId="13" type="noConversion"/>
  </si>
  <si>
    <r>
      <rPr>
        <b/>
        <sz val="9"/>
        <color rgb="FFC00000"/>
        <rFont val="맑은 고딕"/>
        <family val="3"/>
        <charset val="129"/>
      </rPr>
      <t>64.[건물등감가상각취등명세서_pemtron]</t>
    </r>
    <r>
      <rPr>
        <sz val="9"/>
        <rFont val="맑은 고딕"/>
        <family val="3"/>
        <charset val="134"/>
      </rPr>
      <t xml:space="preserve">
 1. 취득명세서작성 시 취득금액이 아닌 회계전표의 전표금액(부가세 포함 여부 기준)으로 신고자료 집계되도록 개발</t>
    </r>
    <phoneticPr fontId="15" type="noConversion"/>
  </si>
  <si>
    <r>
      <rPr>
        <b/>
        <sz val="9"/>
        <color rgb="FFC00000"/>
        <rFont val="맑은 고딕"/>
        <family val="3"/>
        <charset val="129"/>
      </rPr>
      <t>65. [입금내역처리]</t>
    </r>
    <r>
      <rPr>
        <sz val="9"/>
        <rFont val="맑은 고딕"/>
        <family val="3"/>
        <charset val="129"/>
      </rPr>
      <t xml:space="preserve">
 1. 입금입력처리 시 ‘받을어음’ 컬럼 표시 및 전표 보통예금 차변 / 받을어음 대변 으로 자동처리 기능 개발</t>
    </r>
    <phoneticPr fontId="13" type="noConversion"/>
  </si>
  <si>
    <r>
      <rPr>
        <b/>
        <sz val="9"/>
        <color rgb="FFC00000"/>
        <rFont val="맑은 고딕"/>
        <family val="3"/>
        <charset val="129"/>
      </rPr>
      <t>66.[재고금액상세조회_pemtron ]</t>
    </r>
    <r>
      <rPr>
        <sz val="9"/>
        <rFont val="맑은 고딕"/>
        <family val="3"/>
        <charset val="129"/>
      </rPr>
      <t xml:space="preserve">
 1. 재고금액상세조회의 입고수량/입고금액/출고수량/출고금액/재고수량/재고금액을 월별 다이나믹 방식으로 조회화면 개발</t>
    </r>
    <phoneticPr fontId="15" type="noConversion"/>
  </si>
  <si>
    <r>
      <rPr>
        <b/>
        <sz val="9"/>
        <color rgb="FFC00000"/>
        <rFont val="맑은 고딕"/>
        <family val="3"/>
        <charset val="129"/>
      </rPr>
      <t>67.[손익계산서_pemtron]</t>
    </r>
    <r>
      <rPr>
        <sz val="9"/>
        <rFont val="맑은 고딕"/>
        <family val="3"/>
        <charset val="129"/>
      </rPr>
      <t xml:space="preserve">
 1. 2024년도 손익계산서 조회 로직을 더존 데이터 기준으로 수정하여 조회화면 개발</t>
    </r>
    <phoneticPr fontId="15" type="noConversion"/>
  </si>
  <si>
    <r>
      <rPr>
        <b/>
        <sz val="9"/>
        <color rgb="FFC00000"/>
        <rFont val="맑은 고딕"/>
        <family val="3"/>
        <charset val="129"/>
      </rPr>
      <t>68.[수출실적명세서_pemtron]</t>
    </r>
    <r>
      <rPr>
        <sz val="9"/>
        <rFont val="맑은 고딕"/>
        <family val="3"/>
        <charset val="134"/>
      </rPr>
      <t xml:space="preserve">
 1. 수출실적명세서 전표기준 조회 화면 신설, 부가세예수금 전표에 환종·환율·수출신고번호 관리항목 추가</t>
    </r>
    <phoneticPr fontId="15" type="noConversion"/>
  </si>
  <si>
    <r>
      <t xml:space="preserve">69.[프로젝트구매요청]/[프로젝트자재출고요청]/[자재기타출고요청]
</t>
    </r>
    <r>
      <rPr>
        <sz val="9"/>
        <color theme="1"/>
        <rFont val="맑은 고딕"/>
        <family val="3"/>
        <charset val="129"/>
      </rPr>
      <t xml:space="preserve"> 1. 프로젝트구매요청입력 시 ‘입고 후 자동출고요청 여부’ /‘입고 후 기타출고요청 여부’ 체크 기능 추가
 2. 출고요청 생성 시 더미컬럼 추가 설정으로 원구매요청번호 저장</t>
    </r>
    <phoneticPr fontId="15" type="noConversion"/>
  </si>
  <si>
    <r>
      <rPr>
        <b/>
        <sz val="9"/>
        <color rgb="FFC00000"/>
        <rFont val="맑은 고딕"/>
        <family val="3"/>
        <charset val="129"/>
      </rPr>
      <t>70.[구매요청품목조회]</t>
    </r>
    <r>
      <rPr>
        <sz val="9"/>
        <rFont val="맑은 고딕"/>
        <family val="3"/>
        <charset val="129"/>
      </rPr>
      <t xml:space="preserve">
 1. 중단</t>
    </r>
    <r>
      <rPr>
        <sz val="9"/>
        <rFont val="Noto Sans KR"/>
        <family val="3"/>
        <charset val="134"/>
      </rPr>
      <t>/</t>
    </r>
    <r>
      <rPr>
        <sz val="9"/>
        <rFont val="맑은 고딕"/>
        <family val="3"/>
        <charset val="129"/>
      </rPr>
      <t xml:space="preserve">이동처리 버튼 추가로 해당건 자동 중단처리후 이동처리화면으로 점프 기능개발 
 2. 조회에서 이동처리 수량 표시컬럼 추가 및 더미컬럼 추가 설정으로 구매요청번호 기입·저장
 3. 일괄중단가능하로독 ‘일괄중단처리’  버튼 추가 </t>
    </r>
    <phoneticPr fontId="15" type="noConversion"/>
  </si>
  <si>
    <r>
      <rPr>
        <b/>
        <sz val="9"/>
        <color rgb="FFC00000"/>
        <rFont val="맑은 고딕"/>
        <family val="3"/>
        <charset val="129"/>
      </rPr>
      <t>73.[프로젝트자재구매진행조회]</t>
    </r>
    <r>
      <rPr>
        <sz val="9"/>
        <rFont val="맑은 고딕"/>
        <family val="3"/>
        <charset val="129"/>
      </rPr>
      <t xml:space="preserve">
 1. 프로젝트자재구매진행조회에서 기타출고요청 점프 시 구매요청번호 더미컬럼 자동 적용
 2. 재고원장·구매요청입력 연계 조회/점프 기능 추가
 1. 더미컬럼에 구매요청번호 수기입력되어야 함
 3. 구매 관련 건도 더미컬럼에 구매요청번호 조회
 4. 조회에서 기타출고요청 점프 시 구매요청번호 더미컬럼 자동 적용</t>
    </r>
    <phoneticPr fontId="15" type="noConversion"/>
  </si>
  <si>
    <r>
      <rPr>
        <b/>
        <sz val="9"/>
        <color rgb="FFC00000"/>
        <rFont val="맑은 고딕"/>
        <family val="3"/>
        <charset val="129"/>
      </rPr>
      <t>74.[프로젝트작업실적입력(호기)_pemtron]/[프로젝트입력]</t>
    </r>
    <r>
      <rPr>
        <sz val="9"/>
        <rFont val="맑은 고딕"/>
        <family val="3"/>
        <charset val="129"/>
      </rPr>
      <t xml:space="preserve">
 1. 진행 상태와 무관하게 SerialNo 변경 후 프로젝트입력에서 관리항목에 SerialNo 자동반영</t>
    </r>
    <phoneticPr fontId="15" type="noConversion"/>
  </si>
  <si>
    <r>
      <rPr>
        <b/>
        <sz val="9"/>
        <color rgb="FFC00000"/>
        <rFont val="맑은 고딕"/>
        <family val="3"/>
        <charset val="129"/>
      </rPr>
      <t>7</t>
    </r>
    <r>
      <rPr>
        <b/>
        <sz val="9"/>
        <color rgb="FFC00000"/>
        <rFont val="Microsoft YaHei"/>
        <family val="3"/>
        <charset val="134"/>
      </rPr>
      <t>5</t>
    </r>
    <r>
      <rPr>
        <b/>
        <sz val="9"/>
        <color rgb="FFC00000"/>
        <rFont val="맑은 고딕"/>
        <family val="3"/>
        <charset val="129"/>
      </rPr>
      <t>.[프로젝트 출하검사입력_pemtron]/[프로젝트 최종검사입력_pemtron]</t>
    </r>
    <r>
      <rPr>
        <sz val="9"/>
        <rFont val="맑은 고딕"/>
        <family val="3"/>
        <charset val="129"/>
      </rPr>
      <t xml:space="preserve">
 1. 출하검사/최종검사 화면에서 불량수량 컬럼 추가하여 조회할 수 있도록 개발</t>
    </r>
    <phoneticPr fontId="15" type="noConversion"/>
  </si>
  <si>
    <t>1.[일반비용신청_pemtron]</t>
  </si>
  <si>
    <t>10.[차입금유동성대체_pemtron]</t>
  </si>
  <si>
    <t>11.[미상계잔액조회_pemtron]</t>
  </si>
  <si>
    <t>12.[프로젝트 선수금/미수금 잔액조회]</t>
  </si>
  <si>
    <t>13.[계정별원장_pemtron]</t>
  </si>
  <si>
    <t>18.[건설중인자산 대체처리 개선]</t>
  </si>
  <si>
    <t>19.[업무용승용차운행기록부_pemtron]</t>
  </si>
  <si>
    <t>20.[업무용승용차운행기록부_pemtron]</t>
  </si>
  <si>
    <t>21.[프로젝트구매요청입력_pemtron]</t>
  </si>
  <si>
    <t>22.[프로젝트재료자원조회_pemtron]</t>
  </si>
  <si>
    <t>24.[프로젝트수출BL입력_pemtron]</t>
  </si>
  <si>
    <t>25.[프로젝트입력]</t>
  </si>
  <si>
    <t>28.[프로젝트매출세금계산서입력(청구)_pemtron]</t>
  </si>
  <si>
    <t>31.[프로젝트발주품목조회_pemtron]</t>
  </si>
  <si>
    <t>37.[프로젝트구매요청]</t>
  </si>
  <si>
    <t>40.[프로젝트구매발주입력_pemtron]</t>
  </si>
  <si>
    <t>41.[프로젝트조회_pemtron]</t>
  </si>
  <si>
    <t xml:space="preserve">42.[프로젝트수출출하의뢰입력_pemtron] </t>
  </si>
  <si>
    <t>43.[프로젝트납품예정내역조회]</t>
  </si>
  <si>
    <t>48.[품목별예외검사대상등록/프로젝트최종검사의뢰조회_pemtron/프로젝트작업실적조회_pemtron/프로젝트최종검사결과조회_pemtron/프로젝트출하검사결과조회_pemtron]</t>
    <phoneticPr fontId="13" type="noConversion"/>
  </si>
  <si>
    <t xml:space="preserve">16.[수출매출처리] </t>
  </si>
  <si>
    <t xml:space="preserve">26.[프로젝트조회_pemtron] </t>
  </si>
  <si>
    <t>45.[자재기타출고요청품목조회/자재기타출고요청품목입력]</t>
  </si>
  <si>
    <t>53.[프로젝트최종검사입력_pemtron /  검사성적서출력 ]</t>
  </si>
  <si>
    <t>64.[건물등감가상각취등명세서_pemtron]</t>
    <phoneticPr fontId="13" type="noConversion"/>
  </si>
  <si>
    <t>63.[휴가신청서_pemtron]/[시간외근무신청__pemtron]</t>
    <phoneticPr fontId="13" type="noConversion"/>
  </si>
  <si>
    <t>60.[시간외근무신청서]</t>
    <phoneticPr fontId="13" type="noConversion"/>
  </si>
  <si>
    <t>65. [입금내역처리]</t>
    <phoneticPr fontId="13" type="noConversion"/>
  </si>
  <si>
    <t>75.[프로젝트 출하검사입력_pemtron]/[프로젝트 최종검사입력_pemtron]</t>
    <phoneticPr fontId="13" type="noConversion"/>
  </si>
  <si>
    <t>74.[프로젝트작업실적입력(호기)_pemtron]/[프로젝트입력]</t>
    <phoneticPr fontId="13" type="noConversion"/>
  </si>
  <si>
    <t>73.[프로젝트자재구매진행조회]</t>
    <phoneticPr fontId="13" type="noConversion"/>
  </si>
  <si>
    <t>70.[구매요청품목조회]</t>
    <phoneticPr fontId="13" type="noConversion"/>
  </si>
  <si>
    <t>69.[프로젝트구매요청]/[프로젝트자재출고요청]/[자재기타출고요청]</t>
    <phoneticPr fontId="13" type="noConversion"/>
  </si>
  <si>
    <t>68.[수출실적명세서_pemtron]</t>
    <phoneticPr fontId="13" type="noConversion"/>
  </si>
  <si>
    <t>67.[손익계산서_pemtron]</t>
    <phoneticPr fontId="13" type="noConversion"/>
  </si>
  <si>
    <t>66.[재고금액상세조회_pemtron ]</t>
    <phoneticPr fontId="13" type="noConversion"/>
  </si>
  <si>
    <t>2025-09</t>
    <phoneticPr fontId="13" type="noConversion"/>
  </si>
  <si>
    <t>2025-10</t>
    <phoneticPr fontId="13" type="noConversion"/>
  </si>
  <si>
    <t>2025-11</t>
    <phoneticPr fontId="13" type="noConversion"/>
  </si>
  <si>
    <t>2025-12</t>
    <phoneticPr fontId="13" type="noConversion"/>
  </si>
  <si>
    <t>2026-01</t>
    <phoneticPr fontId="13" type="noConversion"/>
  </si>
  <si>
    <t>2026-02</t>
    <phoneticPr fontId="13" type="noConversion"/>
  </si>
  <si>
    <t>14</t>
  </si>
  <si>
    <t>15</t>
  </si>
  <si>
    <t>16</t>
  </si>
  <si>
    <t>17</t>
  </si>
  <si>
    <t>18</t>
  </si>
  <si>
    <t>19</t>
  </si>
  <si>
    <t>20</t>
  </si>
  <si>
    <t>1</t>
    <phoneticPr fontId="13" type="noConversion"/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</si>
  <si>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</si>
  <si>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</si>
  <si>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</si>
  <si>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</si>
  <si>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</si>
  <si>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</si>
  <si>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</si>
  <si>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</si>
  <si>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</si>
  <si>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</si>
  <si>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</si>
  <si>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</si>
  <si>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</si>
  <si>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</si>
  <si>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</si>
  <si>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</si>
  <si>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</si>
  <si>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</si>
  <si>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59.[휴가신청서]</t>
    <phoneticPr fontId="13" type="noConversion"/>
  </si>
  <si>
    <t>57.[연차내역조회_pemtron]/[휴가신청내역조회_pemtron]</t>
    <phoneticPr fontId="13" type="noConversion"/>
  </si>
  <si>
    <t>부서</t>
    <phoneticPr fontId="13" type="noConversion"/>
  </si>
  <si>
    <t>회계</t>
    <phoneticPr fontId="15" type="noConversion"/>
  </si>
  <si>
    <t>회계</t>
  </si>
  <si>
    <t>총무</t>
    <phoneticPr fontId="15" type="noConversion"/>
  </si>
  <si>
    <t>설계</t>
    <phoneticPr fontId="15" type="noConversion"/>
  </si>
  <si>
    <t>영업/수출</t>
  </si>
  <si>
    <t>구매/수입</t>
  </si>
  <si>
    <t>구매/수입</t>
    <phoneticPr fontId="15" type="noConversion"/>
  </si>
  <si>
    <t>무역</t>
  </si>
  <si>
    <t>CS</t>
  </si>
  <si>
    <t>품질</t>
  </si>
  <si>
    <t>인사/급여</t>
  </si>
  <si>
    <t>인사/급여</t>
    <phoneticPr fontId="15" type="noConversion"/>
  </si>
  <si>
    <t>생산</t>
  </si>
  <si>
    <t>우선순위</t>
    <phoneticPr fontId="13" type="noConversion"/>
  </si>
  <si>
    <t>회계</t>
    <phoneticPr fontId="13" type="noConversion"/>
  </si>
  <si>
    <t>영업/수출</t>
    <phoneticPr fontId="13" type="noConversion"/>
  </si>
  <si>
    <t>구매/수입</t>
    <phoneticPr fontId="13" type="noConversion"/>
  </si>
  <si>
    <t>무역</t>
    <phoneticPr fontId="13" type="noConversion"/>
  </si>
  <si>
    <t>CS</t>
    <phoneticPr fontId="13" type="noConversion"/>
  </si>
  <si>
    <t>품질</t>
    <phoneticPr fontId="13" type="noConversion"/>
  </si>
  <si>
    <t>인사/급여</t>
    <phoneticPr fontId="13" type="noConversion"/>
  </si>
  <si>
    <t>생산</t>
    <phoneticPr fontId="13" type="noConversion"/>
  </si>
  <si>
    <t>공수</t>
    <phoneticPr fontId="13" type="noConversion"/>
  </si>
  <si>
    <r>
      <rPr>
        <sz val="10"/>
        <color theme="1"/>
        <rFont val="Microsoft YaHei"/>
        <family val="3"/>
        <charset val="134"/>
      </rPr>
      <t>1</t>
    </r>
    <r>
      <rPr>
        <sz val="10"/>
        <color theme="1"/>
        <rFont val="맑은 고딕"/>
        <family val="3"/>
        <charset val="129"/>
      </rPr>
      <t>-15일</t>
    </r>
    <phoneticPr fontId="13" type="noConversion"/>
  </si>
  <si>
    <t>◎ 상세 마스터 스케줄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</si>
</sst>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yyyy\-mm\-dd"/>
    <numFmt numFmtId="178" formatCode="yyyy/mm/dd\(aaa\)"/>
    <numFmt numFmtId="179" formatCode="0&quot;%&quot;"/>
    <numFmt numFmtId="180" formatCode="#,##0_);[Red]\(#,##0\)"/>
  </numFmts>
  <fonts count="52">
    <font>
      <sz val="11"/>
      <color rgb="FF000000"/>
      <name val="Dotum"/>
    </font>
    <font>
      <sz val="11"/>
      <color theme="1"/>
      <name val="Calibri"/>
      <family val="2"/>
      <charset val="129"/>
      <scheme val="minor"/>
    </font>
    <font>
      <sz val="10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11"/>
      <name val="Dotum"/>
      <family val="3"/>
      <charset val="129"/>
    </font>
    <font>
      <sz val="9"/>
      <color theme="1"/>
      <name val="Malgun Gothic"/>
      <family val="3"/>
      <charset val="129"/>
    </font>
    <font>
      <b/>
      <sz val="22"/>
      <color rgb="FF800000"/>
      <name val="Malgun Gothic"/>
      <family val="3"/>
      <charset val="129"/>
    </font>
    <font>
      <sz val="10"/>
      <color rgb="FFFFFFFF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14"/>
      <color rgb="FF8000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8"/>
      <name val="돋움"/>
      <family val="3"/>
      <charset val="129"/>
    </font>
    <font>
      <b/>
      <sz val="18"/>
      <color theme="1"/>
      <name val="맑은 고딕"/>
      <family val="3"/>
      <charset val="129"/>
    </font>
    <font>
      <sz val="8"/>
      <name val="Calibri"/>
      <family val="2"/>
      <charset val="129"/>
      <scheme val="minor"/>
    </font>
    <font>
      <b/>
      <sz val="22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6" tint="-0.499984740745262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</font>
    <font>
      <b/>
      <sz val="12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color theme="1"/>
      <name val="Microsoft YaHei"/>
      <family val="3"/>
      <charset val="134"/>
    </font>
    <font>
      <b/>
      <sz val="9"/>
      <color theme="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Microsoft YaHei"/>
      <family val="3"/>
      <charset val="134"/>
    </font>
    <font>
      <b/>
      <sz val="9"/>
      <color rgb="FFC00000"/>
      <name val="Noto Sans KR"/>
      <family val="3"/>
      <charset val="134"/>
    </font>
    <font>
      <sz val="9"/>
      <name val="Calibri"/>
      <family val="3"/>
      <charset val="129"/>
      <scheme val="minor"/>
    </font>
    <font>
      <sz val="9"/>
      <name val="Noto Sans KR"/>
      <family val="3"/>
      <charset val="134"/>
    </font>
    <font>
      <sz val="9"/>
      <color theme="1"/>
      <name val="맑은 고딕"/>
      <family val="3"/>
      <charset val="129"/>
    </font>
    <font>
      <b/>
      <sz val="9"/>
      <color rgb="FFC00000"/>
      <name val="Calibri"/>
      <family val="3"/>
      <charset val="129"/>
      <scheme val="minor"/>
    </font>
    <font>
      <sz val="9"/>
      <name val="맑은 고딕"/>
      <family val="3"/>
      <charset val="134"/>
    </font>
    <font>
      <sz val="9"/>
      <color theme="1"/>
      <name val="Noto Sans KR"/>
      <family val="3"/>
      <charset val="134"/>
    </font>
    <font>
      <b/>
      <sz val="9"/>
      <color rgb="FFC00000"/>
      <name val="Microsoft YaHei"/>
      <family val="3"/>
      <charset val="134"/>
    </font>
    <font>
      <sz val="9"/>
      <color theme="1"/>
      <name val="Calibri"/>
      <family val="3"/>
      <charset val="129"/>
      <scheme val="minor"/>
    </font>
    <font>
      <sz val="8"/>
      <color theme="1"/>
      <name val="Calibri"/>
      <family val="3"/>
      <charset val="129"/>
      <scheme val="minor"/>
    </font>
    <font>
      <sz val="18"/>
      <color theme="1"/>
      <name val="맑은 고딕"/>
      <family val="3"/>
      <charset val="129"/>
    </font>
    <font>
      <sz val="22"/>
      <color theme="1"/>
      <name val="맑은 고딕"/>
      <family val="3"/>
      <charset val="129"/>
    </font>
    <font>
      <sz val="10"/>
      <name val="맑은 고딕"/>
      <family val="3"/>
      <charset val="134"/>
    </font>
    <font>
      <sz val="10"/>
      <color theme="1"/>
      <name val="맑은 고딕"/>
      <family val="3"/>
      <charset val="134"/>
    </font>
    <font>
      <sz val="10"/>
      <color theme="1"/>
      <name val="Microsoft YaHei"/>
      <family val="3"/>
      <charset val="134"/>
    </font>
    <font>
      <sz val="8"/>
      <color rgb="FF000000"/>
      <name val="Malgun Gothic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9944"/>
        <bgColor indexed="64"/>
      </patternFill>
    </fill>
    <fill>
      <patternFill patternType="solid">
        <fgColor rgb="FFDCEAE6"/>
        <bgColor indexed="64"/>
      </patternFill>
    </fill>
    <fill>
      <patternFill patternType="solid">
        <fgColor rgb="FFF7EEDC"/>
        <bgColor indexed="64"/>
      </patternFill>
    </fill>
    <fill>
      <patternFill patternType="solid">
        <fgColor theme="4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4">
      <alignment vertical="center"/>
    </xf>
    <xf numFmtId="0" fontId="26" fillId="0" borderId="4"/>
  </cellStyleXfs>
  <cellXfs count="173">
    <xf numFmtId="0" fontId="0" fillId="0" borderId="0" xfId="0" applyAlignment="1">
      <alignment vertical="center"/>
    </xf>
    <xf numFmtId="176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vertical="center"/>
    </xf>
    <xf numFmtId="4" fontId="2" fillId="0" borderId="0" xfId="0" applyNumberFormat="1" applyFont="1" applyAlignment="1">
      <alignment horizontal="center" vertical="center"/>
    </xf>
    <xf numFmtId="2" fontId="6" fillId="2" borderId="4" xfId="0" applyNumberFormat="1" applyFont="1" applyFill="1" applyBorder="1" applyAlignment="1">
      <alignment horizontal="left" vertical="center"/>
    </xf>
    <xf numFmtId="2" fontId="7" fillId="2" borderId="4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top"/>
    </xf>
    <xf numFmtId="4" fontId="8" fillId="2" borderId="7" xfId="0" applyNumberFormat="1" applyFont="1" applyFill="1" applyBorder="1" applyAlignment="1">
      <alignment horizontal="center" vertical="center" wrapText="1"/>
    </xf>
    <xf numFmtId="4" fontId="8" fillId="0" borderId="8" xfId="0" applyNumberFormat="1" applyFont="1" applyBorder="1" applyAlignment="1">
      <alignment horizontal="center" vertical="center" wrapText="1"/>
    </xf>
    <xf numFmtId="176" fontId="10" fillId="0" borderId="0" xfId="0" applyNumberFormat="1" applyFont="1" applyAlignment="1">
      <alignment horizontal="left" vertical="center"/>
    </xf>
    <xf numFmtId="177" fontId="8" fillId="3" borderId="9" xfId="0" applyNumberFormat="1" applyFont="1" applyFill="1" applyBorder="1" applyAlignment="1">
      <alignment horizontal="center" vertical="center"/>
    </xf>
    <xf numFmtId="177" fontId="8" fillId="3" borderId="10" xfId="0" applyNumberFormat="1" applyFont="1" applyFill="1" applyBorder="1" applyAlignment="1">
      <alignment horizontal="center" vertical="center"/>
    </xf>
    <xf numFmtId="4" fontId="10" fillId="4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shrinkToFit="1"/>
    </xf>
    <xf numFmtId="4" fontId="5" fillId="0" borderId="0" xfId="0" applyNumberFormat="1" applyFont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/>
    </xf>
    <xf numFmtId="4" fontId="11" fillId="4" borderId="1" xfId="0" applyNumberFormat="1" applyFont="1" applyFill="1" applyBorder="1" applyAlignment="1">
      <alignment horizontal="center" vertical="center" wrapText="1"/>
    </xf>
    <xf numFmtId="0" fontId="14" fillId="0" borderId="4" xfId="1" applyFont="1">
      <alignment vertical="center"/>
    </xf>
    <xf numFmtId="0" fontId="16" fillId="0" borderId="4" xfId="1" applyFont="1" applyAlignment="1"/>
    <xf numFmtId="0" fontId="17" fillId="0" borderId="4" xfId="1" applyFont="1" applyAlignment="1">
      <alignment horizontal="center" vertical="center"/>
    </xf>
    <xf numFmtId="0" fontId="18" fillId="0" borderId="4" xfId="1" applyFont="1">
      <alignment vertical="center"/>
    </xf>
    <xf numFmtId="14" fontId="19" fillId="0" borderId="14" xfId="1" applyNumberFormat="1" applyFont="1" applyBorder="1" applyAlignment="1">
      <alignment horizontal="center" vertical="center"/>
    </xf>
    <xf numFmtId="0" fontId="21" fillId="0" borderId="4" xfId="1" applyFont="1" applyAlignment="1">
      <alignment horizontal="center" vertical="center"/>
    </xf>
    <xf numFmtId="14" fontId="22" fillId="8" borderId="14" xfId="1" applyNumberFormat="1" applyFont="1" applyFill="1" applyBorder="1" applyAlignment="1">
      <alignment horizontal="center" vertical="center"/>
    </xf>
    <xf numFmtId="0" fontId="17" fillId="0" borderId="14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/>
    </xf>
    <xf numFmtId="0" fontId="25" fillId="0" borderId="4" xfId="1" applyFont="1" applyAlignment="1">
      <alignment horizontal="center" vertical="center"/>
    </xf>
    <xf numFmtId="178" fontId="3" fillId="3" borderId="11" xfId="0" applyNumberFormat="1" applyFont="1" applyFill="1" applyBorder="1" applyAlignment="1">
      <alignment horizontal="center" vertical="center"/>
    </xf>
    <xf numFmtId="14" fontId="19" fillId="0" borderId="19" xfId="1" applyNumberFormat="1" applyFont="1" applyBorder="1" applyAlignment="1">
      <alignment horizontal="center" vertical="center"/>
    </xf>
    <xf numFmtId="0" fontId="21" fillId="0" borderId="19" xfId="1" applyFont="1" applyBorder="1" applyAlignment="1">
      <alignment horizontal="center" vertical="center"/>
    </xf>
    <xf numFmtId="14" fontId="22" fillId="8" borderId="23" xfId="1" applyNumberFormat="1" applyFont="1" applyFill="1" applyBorder="1" applyAlignment="1">
      <alignment horizontal="center" vertical="center"/>
    </xf>
    <xf numFmtId="0" fontId="21" fillId="10" borderId="14" xfId="1" applyFont="1" applyFill="1" applyBorder="1" applyAlignment="1">
      <alignment horizontal="center" vertical="center"/>
    </xf>
    <xf numFmtId="180" fontId="27" fillId="0" borderId="14" xfId="2" applyNumberFormat="1" applyFont="1" applyBorder="1" applyAlignment="1">
      <alignment vertical="center" wrapText="1"/>
    </xf>
    <xf numFmtId="180" fontId="27" fillId="0" borderId="14" xfId="2" applyNumberFormat="1" applyFont="1" applyBorder="1" applyAlignment="1">
      <alignment horizontal="center" vertical="center"/>
    </xf>
    <xf numFmtId="180" fontId="19" fillId="14" borderId="14" xfId="2" applyNumberFormat="1" applyFont="1" applyFill="1" applyBorder="1" applyAlignment="1">
      <alignment horizontal="center" vertical="center"/>
    </xf>
    <xf numFmtId="49" fontId="14" fillId="0" borderId="4" xfId="1" applyNumberFormat="1" applyFont="1">
      <alignment vertical="center"/>
    </xf>
    <xf numFmtId="49" fontId="18" fillId="0" borderId="4" xfId="1" applyNumberFormat="1" applyFont="1">
      <alignment vertical="center"/>
    </xf>
    <xf numFmtId="49" fontId="17" fillId="0" borderId="4" xfId="1" applyNumberFormat="1" applyFont="1" applyAlignment="1">
      <alignment horizontal="center" vertical="center"/>
    </xf>
    <xf numFmtId="0" fontId="16" fillId="0" borderId="4" xfId="1" applyFont="1" applyAlignment="1">
      <alignment horizontal="left"/>
    </xf>
    <xf numFmtId="0" fontId="17" fillId="0" borderId="4" xfId="1" applyFont="1" applyAlignment="1">
      <alignment horizontal="left" vertical="center"/>
    </xf>
    <xf numFmtId="180" fontId="29" fillId="6" borderId="14" xfId="2" applyNumberFormat="1" applyFont="1" applyFill="1" applyBorder="1" applyAlignment="1">
      <alignment horizontal="center" vertical="center"/>
    </xf>
    <xf numFmtId="180" fontId="34" fillId="0" borderId="14" xfId="2" applyNumberFormat="1" applyFont="1" applyBorder="1" applyAlignment="1">
      <alignment vertical="center" wrapText="1"/>
    </xf>
    <xf numFmtId="180" fontId="34" fillId="0" borderId="14" xfId="2" applyNumberFormat="1" applyFont="1" applyBorder="1" applyAlignment="1">
      <alignment horizontal="center" vertical="center"/>
    </xf>
    <xf numFmtId="180" fontId="33" fillId="14" borderId="14" xfId="2" applyNumberFormat="1" applyFont="1" applyFill="1" applyBorder="1" applyAlignment="1">
      <alignment horizontal="center" vertical="center"/>
    </xf>
    <xf numFmtId="180" fontId="32" fillId="0" borderId="14" xfId="2" applyNumberFormat="1" applyFont="1" applyBorder="1" applyAlignment="1">
      <alignment vertical="center" wrapText="1"/>
    </xf>
    <xf numFmtId="180" fontId="37" fillId="0" borderId="25" xfId="2" applyNumberFormat="1" applyFont="1" applyBorder="1" applyAlignment="1">
      <alignment horizontal="left" vertical="center" wrapText="1"/>
    </xf>
    <xf numFmtId="180" fontId="41" fillId="0" borderId="14" xfId="2" applyNumberFormat="1" applyFont="1" applyBorder="1" applyAlignment="1">
      <alignment vertical="center" wrapText="1"/>
    </xf>
    <xf numFmtId="180" fontId="34" fillId="0" borderId="25" xfId="2" applyNumberFormat="1" applyFont="1" applyBorder="1" applyAlignment="1">
      <alignment vertical="center" wrapText="1"/>
    </xf>
    <xf numFmtId="180" fontId="34" fillId="0" borderId="14" xfId="2" applyNumberFormat="1" applyFont="1" applyBorder="1" applyAlignment="1">
      <alignment horizontal="left" vertical="center" wrapText="1"/>
    </xf>
    <xf numFmtId="180" fontId="34" fillId="0" borderId="25" xfId="2" applyNumberFormat="1" applyFont="1" applyBorder="1" applyAlignment="1">
      <alignment horizontal="left" vertical="center" wrapText="1"/>
    </xf>
    <xf numFmtId="180" fontId="32" fillId="0" borderId="25" xfId="2" applyNumberFormat="1" applyFont="1" applyBorder="1" applyAlignment="1">
      <alignment horizontal="left" vertical="center" wrapText="1"/>
    </xf>
    <xf numFmtId="14" fontId="22" fillId="8" borderId="15" xfId="1" applyNumberFormat="1" applyFont="1" applyFill="1" applyBorder="1" applyAlignment="1">
      <alignment horizontal="center" vertical="center"/>
    </xf>
    <xf numFmtId="0" fontId="44" fillId="0" borderId="31" xfId="0" applyFont="1" applyBorder="1" applyAlignment="1">
      <alignment horizontal="center" vertical="center" wrapText="1"/>
    </xf>
    <xf numFmtId="0" fontId="45" fillId="0" borderId="31" xfId="0" applyFont="1" applyBorder="1" applyAlignment="1">
      <alignment horizontal="center" vertical="center" wrapText="1"/>
    </xf>
    <xf numFmtId="0" fontId="19" fillId="13" borderId="4" xfId="2" applyFont="1" applyFill="1" applyAlignment="1">
      <alignment horizontal="center" vertical="center"/>
    </xf>
    <xf numFmtId="0" fontId="20" fillId="0" borderId="4" xfId="1" applyFont="1">
      <alignment vertical="center"/>
    </xf>
    <xf numFmtId="49" fontId="20" fillId="0" borderId="4" xfId="1" applyNumberFormat="1" applyFont="1">
      <alignment vertical="center"/>
    </xf>
    <xf numFmtId="49" fontId="25" fillId="0" borderId="4" xfId="1" applyNumberFormat="1" applyFont="1" applyAlignment="1">
      <alignment horizontal="center" vertical="center"/>
    </xf>
    <xf numFmtId="0" fontId="27" fillId="9" borderId="14" xfId="1" applyFont="1" applyFill="1" applyBorder="1" applyAlignment="1">
      <alignment horizontal="center" vertical="center" wrapText="1"/>
    </xf>
    <xf numFmtId="178" fontId="3" fillId="0" borderId="11" xfId="0" applyNumberFormat="1" applyFont="1" applyBorder="1" applyAlignment="1">
      <alignment horizontal="center" vertical="center"/>
    </xf>
    <xf numFmtId="14" fontId="19" fillId="0" borderId="16" xfId="1" applyNumberFormat="1" applyFont="1" applyBorder="1" applyAlignment="1">
      <alignment horizontal="center" vertical="center"/>
    </xf>
    <xf numFmtId="0" fontId="21" fillId="0" borderId="16" xfId="1" applyFont="1" applyBorder="1" applyAlignment="1">
      <alignment horizontal="center" vertical="center"/>
    </xf>
    <xf numFmtId="178" fontId="3" fillId="0" borderId="33" xfId="0" applyNumberFormat="1" applyFont="1" applyBorder="1" applyAlignment="1">
      <alignment horizontal="center" vertical="center"/>
    </xf>
    <xf numFmtId="0" fontId="21" fillId="0" borderId="34" xfId="1" applyFont="1" applyBorder="1" applyAlignment="1">
      <alignment horizontal="center" vertical="center"/>
    </xf>
    <xf numFmtId="0" fontId="21" fillId="10" borderId="36" xfId="1" applyFont="1" applyFill="1" applyBorder="1" applyAlignment="1">
      <alignment horizontal="center" vertical="center"/>
    </xf>
    <xf numFmtId="0" fontId="21" fillId="0" borderId="36" xfId="1" applyFont="1" applyBorder="1" applyAlignment="1">
      <alignment horizontal="center" vertical="center"/>
    </xf>
    <xf numFmtId="0" fontId="21" fillId="10" borderId="23" xfId="1" applyFont="1" applyFill="1" applyBorder="1" applyAlignment="1">
      <alignment horizontal="center" vertical="center"/>
    </xf>
    <xf numFmtId="0" fontId="21" fillId="10" borderId="38" xfId="1" applyFont="1" applyFill="1" applyBorder="1" applyAlignment="1">
      <alignment horizontal="center" vertical="center"/>
    </xf>
    <xf numFmtId="0" fontId="21" fillId="10" borderId="15" xfId="1" applyFont="1" applyFill="1" applyBorder="1" applyAlignment="1">
      <alignment horizontal="center" vertical="center"/>
    </xf>
    <xf numFmtId="0" fontId="17" fillId="0" borderId="36" xfId="1" applyFont="1" applyBorder="1" applyAlignment="1">
      <alignment horizontal="center" vertical="center"/>
    </xf>
    <xf numFmtId="0" fontId="27" fillId="9" borderId="23" xfId="1" applyFont="1" applyFill="1" applyBorder="1" applyAlignment="1">
      <alignment horizontal="center" vertical="center" wrapText="1"/>
    </xf>
    <xf numFmtId="0" fontId="27" fillId="5" borderId="15" xfId="1" applyFont="1" applyFill="1" applyBorder="1" applyAlignment="1">
      <alignment horizontal="center" vertical="center"/>
    </xf>
    <xf numFmtId="180" fontId="27" fillId="15" borderId="16" xfId="2" applyNumberFormat="1" applyFont="1" applyFill="1" applyBorder="1" applyAlignment="1">
      <alignment horizontal="center" vertical="center"/>
    </xf>
    <xf numFmtId="180" fontId="27" fillId="15" borderId="14" xfId="2" applyNumberFormat="1" applyFont="1" applyFill="1" applyBorder="1" applyAlignment="1">
      <alignment horizontal="center" vertical="center"/>
    </xf>
    <xf numFmtId="180" fontId="34" fillId="15" borderId="14" xfId="2" applyNumberFormat="1" applyFont="1" applyFill="1" applyBorder="1" applyAlignment="1">
      <alignment horizontal="center" vertical="center"/>
    </xf>
    <xf numFmtId="180" fontId="34" fillId="15" borderId="15" xfId="2" applyNumberFormat="1" applyFont="1" applyFill="1" applyBorder="1" applyAlignment="1">
      <alignment horizontal="center" vertical="center"/>
    </xf>
    <xf numFmtId="0" fontId="25" fillId="11" borderId="15" xfId="1" applyFont="1" applyFill="1" applyBorder="1" applyAlignment="1">
      <alignment horizontal="center" vertical="center"/>
    </xf>
    <xf numFmtId="0" fontId="49" fillId="11" borderId="15" xfId="1" applyFont="1" applyFill="1" applyBorder="1" applyAlignment="1">
      <alignment horizontal="center" vertical="center"/>
    </xf>
    <xf numFmtId="49" fontId="48" fillId="11" borderId="39" xfId="1" applyNumberFormat="1" applyFont="1" applyFill="1" applyBorder="1" applyAlignment="1">
      <alignment horizontal="center" vertical="center" wrapText="1"/>
    </xf>
    <xf numFmtId="0" fontId="25" fillId="11" borderId="40" xfId="1" applyFont="1" applyFill="1" applyBorder="1" applyAlignment="1">
      <alignment horizontal="center" vertical="center"/>
    </xf>
    <xf numFmtId="0" fontId="21" fillId="0" borderId="41" xfId="1" applyFont="1" applyBorder="1" applyAlignment="1">
      <alignment horizontal="center" vertical="center"/>
    </xf>
    <xf numFmtId="0" fontId="21" fillId="10" borderId="40" xfId="1" applyFont="1" applyFill="1" applyBorder="1" applyAlignment="1">
      <alignment horizontal="center" vertical="center"/>
    </xf>
    <xf numFmtId="178" fontId="3" fillId="0" borderId="14" xfId="0" applyNumberFormat="1" applyFont="1" applyBorder="1" applyAlignment="1">
      <alignment horizontal="center" vertical="center"/>
    </xf>
    <xf numFmtId="178" fontId="3" fillId="10" borderId="14" xfId="0" applyNumberFormat="1" applyFont="1" applyFill="1" applyBorder="1" applyAlignment="1">
      <alignment horizontal="center" vertical="center"/>
    </xf>
    <xf numFmtId="178" fontId="3" fillId="0" borderId="19" xfId="0" applyNumberFormat="1" applyFont="1" applyBorder="1" applyAlignment="1">
      <alignment horizontal="center" vertical="center"/>
    </xf>
    <xf numFmtId="0" fontId="46" fillId="0" borderId="4" xfId="1" applyFont="1" applyAlignment="1">
      <alignment horizontal="center" vertical="center"/>
    </xf>
    <xf numFmtId="0" fontId="47" fillId="0" borderId="4" xfId="1" applyFont="1" applyAlignment="1">
      <alignment horizontal="center"/>
    </xf>
    <xf numFmtId="4" fontId="8" fillId="2" borderId="5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4" fontId="10" fillId="4" borderId="2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27" fillId="6" borderId="19" xfId="1" applyFont="1" applyFill="1" applyBorder="1" applyAlignment="1">
      <alignment horizontal="center" vertical="center" wrapText="1"/>
    </xf>
    <xf numFmtId="0" fontId="27" fillId="6" borderId="14" xfId="1" applyFont="1" applyFill="1" applyBorder="1" applyAlignment="1">
      <alignment horizontal="center" vertical="center" wrapText="1"/>
    </xf>
    <xf numFmtId="0" fontId="27" fillId="6" borderId="23" xfId="1" applyFont="1" applyFill="1" applyBorder="1" applyAlignment="1">
      <alignment horizontal="center" vertical="center" wrapText="1"/>
    </xf>
    <xf numFmtId="0" fontId="27" fillId="5" borderId="18" xfId="1" applyFont="1" applyFill="1" applyBorder="1" applyAlignment="1">
      <alignment horizontal="center" vertical="center"/>
    </xf>
    <xf numFmtId="0" fontId="27" fillId="5" borderId="17" xfId="1" applyFont="1" applyFill="1" applyBorder="1" applyAlignment="1">
      <alignment horizontal="center" vertical="center"/>
    </xf>
    <xf numFmtId="49" fontId="34" fillId="15" borderId="14" xfId="1" applyNumberFormat="1" applyFont="1" applyFill="1" applyBorder="1" applyAlignment="1">
      <alignment horizontal="center" vertical="center" wrapText="1"/>
    </xf>
    <xf numFmtId="49" fontId="25" fillId="11" borderId="19" xfId="1" applyNumberFormat="1" applyFont="1" applyFill="1" applyBorder="1" applyAlignment="1">
      <alignment horizontal="center" vertical="center"/>
    </xf>
    <xf numFmtId="49" fontId="25" fillId="11" borderId="34" xfId="1" applyNumberFormat="1" applyFont="1" applyFill="1" applyBorder="1" applyAlignment="1">
      <alignment horizontal="center" vertical="center"/>
    </xf>
    <xf numFmtId="0" fontId="27" fillId="9" borderId="19" xfId="1" applyFont="1" applyFill="1" applyBorder="1" applyAlignment="1">
      <alignment horizontal="center" vertical="center" wrapText="1"/>
    </xf>
    <xf numFmtId="0" fontId="27" fillId="9" borderId="14" xfId="1" applyFont="1" applyFill="1" applyBorder="1" applyAlignment="1">
      <alignment horizontal="center" vertical="center" wrapText="1"/>
    </xf>
    <xf numFmtId="49" fontId="34" fillId="15" borderId="1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 wrapText="1"/>
    </xf>
    <xf numFmtId="49" fontId="27" fillId="15" borderId="14" xfId="1" applyNumberFormat="1" applyFont="1" applyFill="1" applyBorder="1" applyAlignment="1">
      <alignment horizontal="center" vertical="center" wrapText="1"/>
    </xf>
    <xf numFmtId="0" fontId="34" fillId="15" borderId="14" xfId="1" applyFont="1" applyFill="1" applyBorder="1" applyAlignment="1">
      <alignment horizontal="left" vertical="center" wrapText="1"/>
    </xf>
    <xf numFmtId="179" fontId="19" fillId="7" borderId="15" xfId="1" applyNumberFormat="1" applyFont="1" applyFill="1" applyBorder="1" applyAlignment="1">
      <alignment horizontal="center" vertical="center"/>
    </xf>
    <xf numFmtId="179" fontId="19" fillId="7" borderId="16" xfId="1" applyNumberFormat="1" applyFont="1" applyFill="1" applyBorder="1" applyAlignment="1">
      <alignment horizontal="center" vertical="center"/>
    </xf>
    <xf numFmtId="0" fontId="19" fillId="0" borderId="21" xfId="1" applyFont="1" applyBorder="1" applyAlignment="1">
      <alignment horizontal="center" vertical="center" wrapText="1"/>
    </xf>
    <xf numFmtId="49" fontId="34" fillId="15" borderId="15" xfId="1" applyNumberFormat="1" applyFont="1" applyFill="1" applyBorder="1" applyAlignment="1">
      <alignment horizontal="center" vertical="center" wrapText="1"/>
    </xf>
    <xf numFmtId="179" fontId="19" fillId="0" borderId="15" xfId="1" applyNumberFormat="1" applyFont="1" applyBorder="1" applyAlignment="1">
      <alignment horizontal="center" vertical="center"/>
    </xf>
    <xf numFmtId="179" fontId="19" fillId="0" borderId="16" xfId="1" applyNumberFormat="1" applyFont="1" applyBorder="1" applyAlignment="1">
      <alignment horizontal="center" vertical="center"/>
    </xf>
    <xf numFmtId="0" fontId="27" fillId="5" borderId="19" xfId="1" applyFont="1" applyFill="1" applyBorder="1" applyAlignment="1">
      <alignment horizontal="center" vertical="center"/>
    </xf>
    <xf numFmtId="49" fontId="27" fillId="5" borderId="19" xfId="1" applyNumberFormat="1" applyFont="1" applyFill="1" applyBorder="1" applyAlignment="1">
      <alignment horizontal="center" vertical="center" wrapText="1"/>
    </xf>
    <xf numFmtId="49" fontId="27" fillId="5" borderId="15" xfId="1" applyNumberFormat="1" applyFont="1" applyFill="1" applyBorder="1" applyAlignment="1">
      <alignment horizontal="center" vertical="center" wrapText="1"/>
    </xf>
    <xf numFmtId="0" fontId="27" fillId="5" borderId="19" xfId="1" applyFont="1" applyFill="1" applyBorder="1" applyAlignment="1">
      <alignment horizontal="center" vertical="center" wrapText="1"/>
    </xf>
    <xf numFmtId="0" fontId="27" fillId="5" borderId="15" xfId="1" applyFont="1" applyFill="1" applyBorder="1" applyAlignment="1">
      <alignment horizontal="center" vertical="center" wrapText="1"/>
    </xf>
    <xf numFmtId="0" fontId="27" fillId="5" borderId="15" xfId="1" applyFont="1" applyFill="1" applyBorder="1" applyAlignment="1">
      <alignment horizontal="center" vertical="center"/>
    </xf>
    <xf numFmtId="0" fontId="27" fillId="5" borderId="32" xfId="1" applyFont="1" applyFill="1" applyBorder="1" applyAlignment="1">
      <alignment horizontal="center" vertical="center"/>
    </xf>
    <xf numFmtId="0" fontId="27" fillId="5" borderId="21" xfId="1" applyFont="1" applyFill="1" applyBorder="1" applyAlignment="1">
      <alignment horizontal="center" vertical="center"/>
    </xf>
    <xf numFmtId="0" fontId="27" fillId="5" borderId="18" xfId="1" applyFont="1" applyFill="1" applyBorder="1" applyAlignment="1">
      <alignment horizontal="center" vertical="center" wrapText="1"/>
    </xf>
    <xf numFmtId="0" fontId="27" fillId="5" borderId="17" xfId="1" applyFont="1" applyFill="1" applyBorder="1" applyAlignment="1">
      <alignment horizontal="center" vertical="center" wrapText="1"/>
    </xf>
    <xf numFmtId="0" fontId="19" fillId="0" borderId="32" xfId="1" applyFont="1" applyBorder="1" applyAlignment="1">
      <alignment horizontal="center" vertical="center" wrapText="1"/>
    </xf>
    <xf numFmtId="179" fontId="19" fillId="0" borderId="19" xfId="1" applyNumberFormat="1" applyFont="1" applyBorder="1" applyAlignment="1">
      <alignment horizontal="center" vertical="center"/>
    </xf>
    <xf numFmtId="179" fontId="19" fillId="0" borderId="14" xfId="1" applyNumberFormat="1" applyFont="1" applyBorder="1" applyAlignment="1">
      <alignment horizontal="center" vertical="center"/>
    </xf>
    <xf numFmtId="0" fontId="19" fillId="0" borderId="37" xfId="1" applyFont="1" applyBorder="1" applyAlignment="1">
      <alignment horizontal="center" vertical="center" wrapText="1"/>
    </xf>
    <xf numFmtId="179" fontId="19" fillId="0" borderId="23" xfId="1" applyNumberFormat="1" applyFont="1" applyBorder="1" applyAlignment="1">
      <alignment horizontal="center" vertical="center"/>
    </xf>
    <xf numFmtId="0" fontId="19" fillId="0" borderId="20" xfId="1" applyFont="1" applyBorder="1" applyAlignment="1">
      <alignment horizontal="center" vertical="center" wrapText="1"/>
    </xf>
    <xf numFmtId="0" fontId="34" fillId="15" borderId="16" xfId="1" applyFont="1" applyFill="1" applyBorder="1" applyAlignment="1">
      <alignment horizontal="left" vertical="center" wrapText="1"/>
    </xf>
    <xf numFmtId="179" fontId="19" fillId="7" borderId="17" xfId="1" applyNumberFormat="1" applyFont="1" applyFill="1" applyBorder="1" applyAlignment="1">
      <alignment horizontal="center" vertical="center"/>
    </xf>
    <xf numFmtId="0" fontId="27" fillId="15" borderId="16" xfId="1" applyFont="1" applyFill="1" applyBorder="1" applyAlignment="1">
      <alignment horizontal="center" vertical="center" wrapText="1"/>
    </xf>
    <xf numFmtId="0" fontId="27" fillId="15" borderId="14" xfId="1" applyFont="1" applyFill="1" applyBorder="1" applyAlignment="1">
      <alignment horizontal="center" vertical="center" wrapText="1"/>
    </xf>
    <xf numFmtId="0" fontId="27" fillId="15" borderId="15" xfId="1" applyFont="1" applyFill="1" applyBorder="1" applyAlignment="1">
      <alignment horizontal="center" vertical="center" wrapText="1"/>
    </xf>
    <xf numFmtId="49" fontId="27" fillId="15" borderId="16" xfId="1" applyNumberFormat="1" applyFont="1" applyFill="1" applyBorder="1" applyAlignment="1">
      <alignment horizontal="center" vertical="center" wrapText="1"/>
    </xf>
    <xf numFmtId="179" fontId="19" fillId="0" borderId="22" xfId="1" applyNumberFormat="1" applyFont="1" applyBorder="1" applyAlignment="1">
      <alignment horizontal="center" vertical="center"/>
    </xf>
    <xf numFmtId="0" fontId="27" fillId="9" borderId="23" xfId="1" applyFont="1" applyFill="1" applyBorder="1" applyAlignment="1">
      <alignment horizontal="center" vertical="center" wrapText="1"/>
    </xf>
    <xf numFmtId="179" fontId="19" fillId="0" borderId="30" xfId="1" applyNumberFormat="1" applyFont="1" applyBorder="1" applyAlignment="1">
      <alignment horizontal="center" vertical="center"/>
    </xf>
    <xf numFmtId="179" fontId="19" fillId="0" borderId="28" xfId="1" applyNumberFormat="1" applyFont="1" applyBorder="1" applyAlignment="1">
      <alignment horizontal="center" vertical="center"/>
    </xf>
    <xf numFmtId="179" fontId="19" fillId="0" borderId="27" xfId="1" applyNumberFormat="1" applyFont="1" applyBorder="1" applyAlignment="1">
      <alignment horizontal="center" vertical="center"/>
    </xf>
    <xf numFmtId="49" fontId="27" fillId="15" borderId="15" xfId="1" applyNumberFormat="1" applyFont="1" applyFill="1" applyBorder="1" applyAlignment="1">
      <alignment horizontal="center" vertical="center" wrapText="1"/>
    </xf>
    <xf numFmtId="0" fontId="34" fillId="15" borderId="15" xfId="1" applyFont="1" applyFill="1" applyBorder="1" applyAlignment="1">
      <alignment horizontal="left" vertical="center" wrapText="1"/>
    </xf>
    <xf numFmtId="179" fontId="19" fillId="7" borderId="27" xfId="1" applyNumberFormat="1" applyFont="1" applyFill="1" applyBorder="1" applyAlignment="1">
      <alignment horizontal="center" vertical="center"/>
    </xf>
    <xf numFmtId="179" fontId="19" fillId="7" borderId="29" xfId="1" applyNumberFormat="1" applyFont="1" applyFill="1" applyBorder="1" applyAlignment="1">
      <alignment horizontal="center" vertical="center"/>
    </xf>
    <xf numFmtId="0" fontId="27" fillId="9" borderId="18" xfId="1" applyFont="1" applyFill="1" applyBorder="1" applyAlignment="1">
      <alignment horizontal="center" vertical="center" wrapText="1"/>
    </xf>
    <xf numFmtId="0" fontId="27" fillId="9" borderId="16" xfId="1" applyFont="1" applyFill="1" applyBorder="1" applyAlignment="1">
      <alignment horizontal="center" vertical="center" wrapText="1"/>
    </xf>
    <xf numFmtId="0" fontId="27" fillId="9" borderId="15" xfId="1" applyFont="1" applyFill="1" applyBorder="1" applyAlignment="1">
      <alignment horizontal="center" vertical="center" wrapText="1"/>
    </xf>
    <xf numFmtId="0" fontId="28" fillId="13" borderId="24" xfId="2" applyFont="1" applyFill="1" applyBorder="1" applyAlignment="1">
      <alignment horizontal="center" vertical="center"/>
    </xf>
    <xf numFmtId="0" fontId="28" fillId="13" borderId="25" xfId="2" applyFont="1" applyFill="1" applyBorder="1" applyAlignment="1">
      <alignment horizontal="center" vertical="center"/>
    </xf>
    <xf numFmtId="0" fontId="28" fillId="13" borderId="26" xfId="2" applyFont="1" applyFill="1" applyBorder="1" applyAlignment="1">
      <alignment horizontal="center" vertical="center"/>
    </xf>
    <xf numFmtId="0" fontId="31" fillId="12" borderId="15" xfId="2" applyFont="1" applyFill="1" applyBorder="1" applyAlignment="1">
      <alignment horizontal="center" vertical="center" wrapText="1"/>
    </xf>
    <xf numFmtId="0" fontId="31" fillId="12" borderId="17" xfId="2" applyFont="1" applyFill="1" applyBorder="1" applyAlignment="1">
      <alignment horizontal="center" vertical="center" wrapText="1"/>
    </xf>
    <xf numFmtId="0" fontId="31" fillId="12" borderId="16" xfId="2" applyFont="1" applyFill="1" applyBorder="1" applyAlignment="1">
      <alignment horizontal="center" vertical="center" wrapText="1"/>
    </xf>
    <xf numFmtId="0" fontId="31" fillId="12" borderId="14" xfId="2" applyFont="1" applyFill="1" applyBorder="1" applyAlignment="1">
      <alignment horizontal="center" vertical="center" wrapText="1"/>
    </xf>
    <xf numFmtId="0" fontId="22" fillId="12" borderId="14" xfId="2" applyFont="1" applyFill="1" applyBorder="1" applyAlignment="1">
      <alignment horizontal="center" vertical="center" wrapText="1"/>
    </xf>
    <xf numFmtId="0" fontId="19" fillId="13" borderId="15" xfId="2" applyFont="1" applyFill="1" applyBorder="1" applyAlignment="1">
      <alignment horizontal="center" vertical="center"/>
    </xf>
    <xf numFmtId="0" fontId="19" fillId="13" borderId="17" xfId="2" applyFont="1" applyFill="1" applyBorder="1" applyAlignment="1">
      <alignment horizontal="center" vertical="center"/>
    </xf>
    <xf numFmtId="0" fontId="19" fillId="13" borderId="16" xfId="2" applyFont="1" applyFill="1" applyBorder="1" applyAlignment="1">
      <alignment horizontal="center" vertical="center"/>
    </xf>
    <xf numFmtId="0" fontId="3" fillId="0" borderId="12" xfId="0" quotePrefix="1" applyFont="1" applyBorder="1" applyAlignment="1">
      <alignment vertical="center"/>
    </xf>
    <xf numFmtId="0" fontId="3" fillId="0" borderId="13" xfId="0" quotePrefix="1" applyFont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4" fontId="3" fillId="3" borderId="11" xfId="0" applyNumberFormat="1" applyFont="1" applyFill="1" applyBorder="1" applyAlignment="1">
      <alignment horizontal="center" vertical="center"/>
    </xf>
    <xf numFmtId="4" fontId="3" fillId="3" borderId="11" xfId="0" applyNumberFormat="1" applyFont="1" applyFill="1" applyBorder="1" applyAlignment="1">
      <alignment horizontal="center" vertical="center" wrapText="1"/>
    </xf>
    <xf numFmtId="4" fontId="51" fillId="3" borderId="11" xfId="0" applyNumberFormat="1" applyFont="1" applyFill="1" applyBorder="1" applyAlignment="1">
      <alignment horizontal="center" vertical="center" wrapText="1"/>
    </xf>
    <xf numFmtId="0" fontId="3" fillId="0" borderId="2" xfId="0" quotePrefix="1" applyFont="1" applyBorder="1" applyAlignment="1">
      <alignment vertical="center"/>
    </xf>
    <xf numFmtId="0" fontId="3" fillId="0" borderId="3" xfId="0" quotePrefix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4" fontId="5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3">
    <cellStyle name="표준" xfId="0" builtinId="0"/>
    <cellStyle name="표준 10" xfId="2" xr:uid="{DC17DF4B-A97F-4E46-B8F2-8DA03DB4070A}"/>
    <cellStyle name="표준 2" xfId="1" xr:uid="{7C637B8C-2B17-4ADF-ACDD-26C842114030}"/>
  </cellStyles>
  <dxfs count="17">
    <dxf>
      <fill>
        <patternFill patternType="solid">
          <fgColor rgb="FFFF9900"/>
          <bgColor rgb="FFFF99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12700</xdr:colOff>
      <xdr:row>45</xdr:row>
      <xdr:rowOff>8466</xdr:rowOff>
    </xdr:from>
    <xdr:to>
      <xdr:col>16</xdr:col>
      <xdr:colOff>287866</xdr:colOff>
      <xdr:row>46</xdr:row>
      <xdr:rowOff>25400</xdr:rowOff>
    </xdr:to>
    <xdr:sp macro="" textlink="">
      <xdr:nvSpPr>
        <xdr:cNvPr id="4" name="화살표: 오른쪽 5">
          <a:extLst>
            <a:ext uri="{FF2B5EF4-FFF2-40B4-BE49-F238E27FC236}">
              <a16:creationId xmlns:a16="http://schemas.microsoft.com/office/drawing/2014/main" id="{DE11C818-61A9-45B3-A3C9-A0C6AA9BDEA9}"/>
            </a:ext>
            <a:ext uri="{147F2762-F138-4A5C-976F-8EAC2B608ADB}">
              <a16:predDERef xmlns:a16="http://schemas.microsoft.com/office/drawing/2014/main" pred="{FEFA12CF-F4CF-44AB-B8DA-C9364C597528}"/>
            </a:ext>
          </a:extLst>
        </xdr:cNvPr>
        <xdr:cNvSpPr/>
      </xdr:nvSpPr>
      <xdr:spPr>
        <a:xfrm>
          <a:off x="10841567" y="10591799"/>
          <a:ext cx="275166" cy="23706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809625</xdr:colOff>
      <xdr:row>47</xdr:row>
      <xdr:rowOff>0</xdr:rowOff>
    </xdr:from>
    <xdr:to>
      <xdr:col>17</xdr:col>
      <xdr:colOff>933450</xdr:colOff>
      <xdr:row>48</xdr:row>
      <xdr:rowOff>0</xdr:rowOff>
    </xdr:to>
    <xdr:sp macro="" textlink="">
      <xdr:nvSpPr>
        <xdr:cNvPr id="7" name="화살표: 오른쪽 11">
          <a:extLst>
            <a:ext uri="{FF2B5EF4-FFF2-40B4-BE49-F238E27FC236}">
              <a16:creationId xmlns:a16="http://schemas.microsoft.com/office/drawing/2014/main" id="{D3B50140-9D55-4C40-AC07-741FAA8FA967}"/>
            </a:ext>
            <a:ext uri="{147F2762-F138-4A5C-976F-8EAC2B608ADB}">
              <a16:predDERef xmlns:a16="http://schemas.microsoft.com/office/drawing/2014/main" pred="{DE11C818-61A9-45B3-A3C9-A0C6AA9BDEA9}"/>
            </a:ext>
          </a:extLst>
        </xdr:cNvPr>
        <xdr:cNvSpPr/>
      </xdr:nvSpPr>
      <xdr:spPr>
        <a:xfrm>
          <a:off x="12487275" y="6915150"/>
          <a:ext cx="123825" cy="2190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508000</xdr:colOff>
      <xdr:row>85</xdr:row>
      <xdr:rowOff>47625</xdr:rowOff>
    </xdr:from>
    <xdr:to>
      <xdr:col>19</xdr:col>
      <xdr:colOff>770467</xdr:colOff>
      <xdr:row>86</xdr:row>
      <xdr:rowOff>25400</xdr:rowOff>
    </xdr:to>
    <xdr:sp macro="" textlink="">
      <xdr:nvSpPr>
        <xdr:cNvPr id="8" name="화살표: 오른쪽 12">
          <a:extLst>
            <a:ext uri="{FF2B5EF4-FFF2-40B4-BE49-F238E27FC236}">
              <a16:creationId xmlns:a16="http://schemas.microsoft.com/office/drawing/2014/main" id="{FD362B1C-0FF1-4E54-8902-89FBB364D442}"/>
            </a:ext>
            <a:ext uri="{147F2762-F138-4A5C-976F-8EAC2B608ADB}">
              <a16:predDERef xmlns:a16="http://schemas.microsoft.com/office/drawing/2014/main" pred="{D3B50140-9D55-4C40-AC07-741FAA8FA967}"/>
            </a:ext>
          </a:extLst>
        </xdr:cNvPr>
        <xdr:cNvSpPr/>
      </xdr:nvSpPr>
      <xdr:spPr>
        <a:xfrm>
          <a:off x="8619067" y="19868092"/>
          <a:ext cx="5664200" cy="248708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491067</xdr:colOff>
      <xdr:row>13</xdr:row>
      <xdr:rowOff>25823</xdr:rowOff>
    </xdr:from>
    <xdr:to>
      <xdr:col>13</xdr:col>
      <xdr:colOff>5291</xdr:colOff>
      <xdr:row>13</xdr:row>
      <xdr:rowOff>220132</xdr:rowOff>
    </xdr:to>
    <xdr:sp macro="" textlink="">
      <xdr:nvSpPr>
        <xdr:cNvPr id="16" name="화살표: 오른쪽 19">
          <a:extLst>
            <a:ext uri="{FF2B5EF4-FFF2-40B4-BE49-F238E27FC236}">
              <a16:creationId xmlns:a16="http://schemas.microsoft.com/office/drawing/2014/main" id="{ABACF494-97C4-492F-8247-2D027109CFFE}"/>
            </a:ext>
            <a:ext uri="{147F2762-F138-4A5C-976F-8EAC2B608ADB}">
              <a16:predDERef xmlns:a16="http://schemas.microsoft.com/office/drawing/2014/main" pred="{302E11B9-3986-4893-87E3-10C8389D3D75}"/>
            </a:ext>
          </a:extLst>
        </xdr:cNvPr>
        <xdr:cNvSpPr/>
      </xdr:nvSpPr>
      <xdr:spPr>
        <a:xfrm>
          <a:off x="8305800" y="3429423"/>
          <a:ext cx="140758" cy="19430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592666</xdr:colOff>
      <xdr:row>15</xdr:row>
      <xdr:rowOff>29633</xdr:rowOff>
    </xdr:from>
    <xdr:to>
      <xdr:col>13</xdr:col>
      <xdr:colOff>220133</xdr:colOff>
      <xdr:row>16</xdr:row>
      <xdr:rowOff>0</xdr:rowOff>
    </xdr:to>
    <xdr:sp macro="" textlink="">
      <xdr:nvSpPr>
        <xdr:cNvPr id="17" name="화살표: 오른쪽 20">
          <a:extLst>
            <a:ext uri="{FF2B5EF4-FFF2-40B4-BE49-F238E27FC236}">
              <a16:creationId xmlns:a16="http://schemas.microsoft.com/office/drawing/2014/main" id="{2459E2F4-5472-4079-8DCF-5093F196C979}"/>
            </a:ext>
            <a:ext uri="{147F2762-F138-4A5C-976F-8EAC2B608ADB}">
              <a16:predDERef xmlns:a16="http://schemas.microsoft.com/office/drawing/2014/main" pred="{ABACF494-97C4-492F-8247-2D027109CFFE}"/>
            </a:ext>
          </a:extLst>
        </xdr:cNvPr>
        <xdr:cNvSpPr/>
      </xdr:nvSpPr>
      <xdr:spPr>
        <a:xfrm>
          <a:off x="8407399" y="3881966"/>
          <a:ext cx="254001" cy="19050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592667</xdr:colOff>
      <xdr:row>16</xdr:row>
      <xdr:rowOff>225425</xdr:rowOff>
    </xdr:from>
    <xdr:to>
      <xdr:col>13</xdr:col>
      <xdr:colOff>237066</xdr:colOff>
      <xdr:row>18</xdr:row>
      <xdr:rowOff>16933</xdr:rowOff>
    </xdr:to>
    <xdr:sp macro="" textlink="">
      <xdr:nvSpPr>
        <xdr:cNvPr id="18" name="화살표: 오른쪽 21">
          <a:extLst>
            <a:ext uri="{FF2B5EF4-FFF2-40B4-BE49-F238E27FC236}">
              <a16:creationId xmlns:a16="http://schemas.microsoft.com/office/drawing/2014/main" id="{31140A70-E96D-47EC-A359-9E29E2C484CA}"/>
            </a:ext>
            <a:ext uri="{147F2762-F138-4A5C-976F-8EAC2B608ADB}">
              <a16:predDERef xmlns:a16="http://schemas.microsoft.com/office/drawing/2014/main" pred="{2459E2F4-5472-4079-8DCF-5093F196C979}"/>
            </a:ext>
          </a:extLst>
        </xdr:cNvPr>
        <xdr:cNvSpPr/>
      </xdr:nvSpPr>
      <xdr:spPr>
        <a:xfrm>
          <a:off x="8407400" y="4297892"/>
          <a:ext cx="270933" cy="24024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359833</xdr:colOff>
      <xdr:row>19</xdr:row>
      <xdr:rowOff>25399</xdr:rowOff>
    </xdr:from>
    <xdr:to>
      <xdr:col>13</xdr:col>
      <xdr:colOff>609600</xdr:colOff>
      <xdr:row>19</xdr:row>
      <xdr:rowOff>220132</xdr:rowOff>
    </xdr:to>
    <xdr:sp macro="" textlink="">
      <xdr:nvSpPr>
        <xdr:cNvPr id="19" name="화살표: 오른쪽 22">
          <a:extLst>
            <a:ext uri="{FF2B5EF4-FFF2-40B4-BE49-F238E27FC236}">
              <a16:creationId xmlns:a16="http://schemas.microsoft.com/office/drawing/2014/main" id="{AD726793-8ECF-4836-82F3-ED57AD36868C}"/>
            </a:ext>
            <a:ext uri="{147F2762-F138-4A5C-976F-8EAC2B608ADB}">
              <a16:predDERef xmlns:a16="http://schemas.microsoft.com/office/drawing/2014/main" pred="{31140A70-E96D-47EC-A359-9E29E2C484CA}"/>
            </a:ext>
          </a:extLst>
        </xdr:cNvPr>
        <xdr:cNvSpPr/>
      </xdr:nvSpPr>
      <xdr:spPr>
        <a:xfrm>
          <a:off x="8801100" y="4775199"/>
          <a:ext cx="249767" cy="19473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383116</xdr:colOff>
      <xdr:row>21</xdr:row>
      <xdr:rowOff>13759</xdr:rowOff>
    </xdr:from>
    <xdr:to>
      <xdr:col>14</xdr:col>
      <xdr:colOff>8467</xdr:colOff>
      <xdr:row>21</xdr:row>
      <xdr:rowOff>211667</xdr:rowOff>
    </xdr:to>
    <xdr:sp macro="" textlink="">
      <xdr:nvSpPr>
        <xdr:cNvPr id="20" name="화살표: 오른쪽 23">
          <a:extLst>
            <a:ext uri="{FF2B5EF4-FFF2-40B4-BE49-F238E27FC236}">
              <a16:creationId xmlns:a16="http://schemas.microsoft.com/office/drawing/2014/main" id="{93F62FFF-3571-492E-8B25-2FC9AA64BD25}"/>
            </a:ext>
            <a:ext uri="{147F2762-F138-4A5C-976F-8EAC2B608ADB}">
              <a16:predDERef xmlns:a16="http://schemas.microsoft.com/office/drawing/2014/main" pred="{AD726793-8ECF-4836-82F3-ED57AD36868C}"/>
            </a:ext>
          </a:extLst>
        </xdr:cNvPr>
        <xdr:cNvSpPr/>
      </xdr:nvSpPr>
      <xdr:spPr>
        <a:xfrm>
          <a:off x="8824383" y="5212292"/>
          <a:ext cx="421217" cy="19790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745067</xdr:colOff>
      <xdr:row>35</xdr:row>
      <xdr:rowOff>27516</xdr:rowOff>
    </xdr:from>
    <xdr:to>
      <xdr:col>15</xdr:col>
      <xdr:colOff>220133</xdr:colOff>
      <xdr:row>36</xdr:row>
      <xdr:rowOff>25400</xdr:rowOff>
    </xdr:to>
    <xdr:sp macro="" textlink="">
      <xdr:nvSpPr>
        <xdr:cNvPr id="21" name="화살표: 오른쪽 24">
          <a:extLst>
            <a:ext uri="{FF2B5EF4-FFF2-40B4-BE49-F238E27FC236}">
              <a16:creationId xmlns:a16="http://schemas.microsoft.com/office/drawing/2014/main" id="{F46113AB-EE98-4D81-9606-EA693727555F}"/>
            </a:ext>
            <a:ext uri="{147F2762-F138-4A5C-976F-8EAC2B608ADB}">
              <a16:predDERef xmlns:a16="http://schemas.microsoft.com/office/drawing/2014/main" pred="{93F62FFF-3571-492E-8B25-2FC9AA64BD25}"/>
            </a:ext>
          </a:extLst>
        </xdr:cNvPr>
        <xdr:cNvSpPr/>
      </xdr:nvSpPr>
      <xdr:spPr>
        <a:xfrm>
          <a:off x="9982200" y="8367183"/>
          <a:ext cx="270933" cy="21801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609600</xdr:colOff>
      <xdr:row>33</xdr:row>
      <xdr:rowOff>7408</xdr:rowOff>
    </xdr:from>
    <xdr:to>
      <xdr:col>14</xdr:col>
      <xdr:colOff>745067</xdr:colOff>
      <xdr:row>34</xdr:row>
      <xdr:rowOff>8466</xdr:rowOff>
    </xdr:to>
    <xdr:sp macro="" textlink="">
      <xdr:nvSpPr>
        <xdr:cNvPr id="22" name="화살표: 오른쪽 25">
          <a:extLst>
            <a:ext uri="{FF2B5EF4-FFF2-40B4-BE49-F238E27FC236}">
              <a16:creationId xmlns:a16="http://schemas.microsoft.com/office/drawing/2014/main" id="{F3E5B844-08D4-47E4-B15F-41C1F3FD689A}"/>
            </a:ext>
            <a:ext uri="{147F2762-F138-4A5C-976F-8EAC2B608ADB}">
              <a16:predDERef xmlns:a16="http://schemas.microsoft.com/office/drawing/2014/main" pred="{F46113AB-EE98-4D81-9606-EA693727555F}"/>
            </a:ext>
          </a:extLst>
        </xdr:cNvPr>
        <xdr:cNvSpPr/>
      </xdr:nvSpPr>
      <xdr:spPr>
        <a:xfrm>
          <a:off x="9846733" y="7898341"/>
          <a:ext cx="135467" cy="22119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1009650</xdr:colOff>
      <xdr:row>85</xdr:row>
      <xdr:rowOff>19050</xdr:rowOff>
    </xdr:from>
    <xdr:to>
      <xdr:col>20</xdr:col>
      <xdr:colOff>0</xdr:colOff>
      <xdr:row>86</xdr:row>
      <xdr:rowOff>0</xdr:rowOff>
    </xdr:to>
    <xdr:sp macro="" textlink="">
      <xdr:nvSpPr>
        <xdr:cNvPr id="5" name="오른쪽 화살표 4">
          <a:extLst>
            <a:ext uri="{FF2B5EF4-FFF2-40B4-BE49-F238E27FC236}">
              <a16:creationId xmlns:a16="http://schemas.microsoft.com/office/drawing/2014/main" id="{DC8FE9C4-5FCA-4012-A35D-1AB59D432AD5}"/>
            </a:ext>
            <a:ext uri="{147F2762-F138-4A5C-976F-8EAC2B608ADB}">
              <a16:predDERef xmlns:a16="http://schemas.microsoft.com/office/drawing/2014/main" pred="{24C515B2-A360-4E1F-A62E-50B7F61FF471}"/>
            </a:ext>
          </a:extLst>
        </xdr:cNvPr>
        <xdr:cNvSpPr/>
      </xdr:nvSpPr>
      <xdr:spPr>
        <a:xfrm>
          <a:off x="18573750" y="10420350"/>
          <a:ext cx="1143000" cy="257175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262467</xdr:colOff>
      <xdr:row>87</xdr:row>
      <xdr:rowOff>38100</xdr:rowOff>
    </xdr:from>
    <xdr:to>
      <xdr:col>20</xdr:col>
      <xdr:colOff>448733</xdr:colOff>
      <xdr:row>88</xdr:row>
      <xdr:rowOff>42333</xdr:rowOff>
    </xdr:to>
    <xdr:sp macro="" textlink="">
      <xdr:nvSpPr>
        <xdr:cNvPr id="25" name="화살표: 오른쪽 12">
          <a:extLst>
            <a:ext uri="{FF2B5EF4-FFF2-40B4-BE49-F238E27FC236}">
              <a16:creationId xmlns:a16="http://schemas.microsoft.com/office/drawing/2014/main" id="{E8A6D883-6F8F-4B6C-8C27-8F564D30FCD5}"/>
            </a:ext>
            <a:ext uri="{147F2762-F138-4A5C-976F-8EAC2B608ADB}">
              <a16:predDERef xmlns:a16="http://schemas.microsoft.com/office/drawing/2014/main" pred="{DC8FE9C4-5FCA-4012-A35D-1AB59D432AD5}"/>
            </a:ext>
          </a:extLst>
        </xdr:cNvPr>
        <xdr:cNvSpPr/>
      </xdr:nvSpPr>
      <xdr:spPr>
        <a:xfrm>
          <a:off x="7823200" y="20104100"/>
          <a:ext cx="5681133" cy="275166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327025</xdr:colOff>
      <xdr:row>91</xdr:row>
      <xdr:rowOff>10584</xdr:rowOff>
    </xdr:from>
    <xdr:to>
      <xdr:col>21</xdr:col>
      <xdr:colOff>610870</xdr:colOff>
      <xdr:row>91</xdr:row>
      <xdr:rowOff>262467</xdr:rowOff>
    </xdr:to>
    <xdr:sp macro="" textlink="">
      <xdr:nvSpPr>
        <xdr:cNvPr id="28" name="화살표: 오른쪽 12">
          <a:extLst>
            <a:ext uri="{FF2B5EF4-FFF2-40B4-BE49-F238E27FC236}">
              <a16:creationId xmlns:a16="http://schemas.microsoft.com/office/drawing/2014/main" id="{D0D8BB10-3943-4C82-B58B-F76294B0A845}"/>
            </a:ext>
            <a:ext uri="{147F2762-F138-4A5C-976F-8EAC2B608ADB}">
              <a16:predDERef xmlns:a16="http://schemas.microsoft.com/office/drawing/2014/main" pred="{42DD8499-E963-4819-BFCC-DD11B31F9774}"/>
            </a:ext>
          </a:extLst>
        </xdr:cNvPr>
        <xdr:cNvSpPr/>
      </xdr:nvSpPr>
      <xdr:spPr>
        <a:xfrm>
          <a:off x="13992225" y="20965584"/>
          <a:ext cx="283845" cy="251883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885825</xdr:colOff>
      <xdr:row>93</xdr:row>
      <xdr:rowOff>9525</xdr:rowOff>
    </xdr:from>
    <xdr:to>
      <xdr:col>20</xdr:col>
      <xdr:colOff>0</xdr:colOff>
      <xdr:row>93</xdr:row>
      <xdr:rowOff>266700</xdr:rowOff>
    </xdr:to>
    <xdr:sp macro="" textlink="">
      <xdr:nvSpPr>
        <xdr:cNvPr id="29" name="화살표: 오른쪽 12">
          <a:extLst>
            <a:ext uri="{FF2B5EF4-FFF2-40B4-BE49-F238E27FC236}">
              <a16:creationId xmlns:a16="http://schemas.microsoft.com/office/drawing/2014/main" id="{1E3207A1-77B7-478B-97AB-86AFB41CAF0F}"/>
            </a:ext>
            <a:ext uri="{147F2762-F138-4A5C-976F-8EAC2B608ADB}">
              <a16:predDERef xmlns:a16="http://schemas.microsoft.com/office/drawing/2014/main" pred="{D0D8BB10-3943-4C82-B58B-F76294B0A845}"/>
            </a:ext>
          </a:extLst>
        </xdr:cNvPr>
        <xdr:cNvSpPr/>
      </xdr:nvSpPr>
      <xdr:spPr>
        <a:xfrm>
          <a:off x="14620875" y="10439400"/>
          <a:ext cx="142875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275167</xdr:colOff>
      <xdr:row>68</xdr:row>
      <xdr:rowOff>211665</xdr:rowOff>
    </xdr:from>
    <xdr:to>
      <xdr:col>18</xdr:col>
      <xdr:colOff>414867</xdr:colOff>
      <xdr:row>70</xdr:row>
      <xdr:rowOff>16932</xdr:rowOff>
    </xdr:to>
    <xdr:sp macro="" textlink="">
      <xdr:nvSpPr>
        <xdr:cNvPr id="36" name="화살표: 오른쪽 5">
          <a:extLst>
            <a:ext uri="{FF2B5EF4-FFF2-40B4-BE49-F238E27FC236}">
              <a16:creationId xmlns:a16="http://schemas.microsoft.com/office/drawing/2014/main" id="{C2FDD448-CED4-48C2-9C32-D63A95A1A185}"/>
            </a:ext>
            <a:ext uri="{147F2762-F138-4A5C-976F-8EAC2B608ADB}">
              <a16:predDERef xmlns:a16="http://schemas.microsoft.com/office/drawing/2014/main" pred="{FEFA12CF-F4CF-44AB-B8DA-C9364C597528}"/>
            </a:ext>
          </a:extLst>
        </xdr:cNvPr>
        <xdr:cNvSpPr/>
      </xdr:nvSpPr>
      <xdr:spPr>
        <a:xfrm>
          <a:off x="12695767" y="15951198"/>
          <a:ext cx="139700" cy="25400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809625</xdr:colOff>
      <xdr:row>71</xdr:row>
      <xdr:rowOff>0</xdr:rowOff>
    </xdr:from>
    <xdr:to>
      <xdr:col>17</xdr:col>
      <xdr:colOff>933450</xdr:colOff>
      <xdr:row>72</xdr:row>
      <xdr:rowOff>0</xdr:rowOff>
    </xdr:to>
    <xdr:sp macro="" textlink="">
      <xdr:nvSpPr>
        <xdr:cNvPr id="37" name="화살표: 오른쪽 11">
          <a:extLst>
            <a:ext uri="{FF2B5EF4-FFF2-40B4-BE49-F238E27FC236}">
              <a16:creationId xmlns:a16="http://schemas.microsoft.com/office/drawing/2014/main" id="{1C513D69-2240-4F25-BA02-540DA5969D44}"/>
            </a:ext>
            <a:ext uri="{147F2762-F138-4A5C-976F-8EAC2B608ADB}">
              <a16:predDERef xmlns:a16="http://schemas.microsoft.com/office/drawing/2014/main" pred="{DE11C818-61A9-45B3-A3C9-A0C6AA9BDEA9}"/>
            </a:ext>
          </a:extLst>
        </xdr:cNvPr>
        <xdr:cNvSpPr/>
      </xdr:nvSpPr>
      <xdr:spPr>
        <a:xfrm>
          <a:off x="11490113" y="6974417"/>
          <a:ext cx="99060" cy="2222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567265</xdr:colOff>
      <xdr:row>53</xdr:row>
      <xdr:rowOff>12699</xdr:rowOff>
    </xdr:from>
    <xdr:to>
      <xdr:col>17</xdr:col>
      <xdr:colOff>76201</xdr:colOff>
      <xdr:row>54</xdr:row>
      <xdr:rowOff>25400</xdr:rowOff>
    </xdr:to>
    <xdr:sp macro="" textlink="">
      <xdr:nvSpPr>
        <xdr:cNvPr id="40" name="화살표: 오른쪽 20">
          <a:extLst>
            <a:ext uri="{FF2B5EF4-FFF2-40B4-BE49-F238E27FC236}">
              <a16:creationId xmlns:a16="http://schemas.microsoft.com/office/drawing/2014/main" id="{AC780B5F-1CA4-4667-98D5-20C0CFE591BB}"/>
            </a:ext>
            <a:ext uri="{147F2762-F138-4A5C-976F-8EAC2B608ADB}">
              <a16:predDERef xmlns:a16="http://schemas.microsoft.com/office/drawing/2014/main" pred="{ABACF494-97C4-492F-8247-2D027109CFFE}"/>
            </a:ext>
          </a:extLst>
        </xdr:cNvPr>
        <xdr:cNvSpPr/>
      </xdr:nvSpPr>
      <xdr:spPr>
        <a:xfrm>
          <a:off x="11396132" y="12390966"/>
          <a:ext cx="304802" cy="23283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7409</xdr:colOff>
      <xdr:row>67</xdr:row>
      <xdr:rowOff>27516</xdr:rowOff>
    </xdr:from>
    <xdr:to>
      <xdr:col>18</xdr:col>
      <xdr:colOff>101600</xdr:colOff>
      <xdr:row>68</xdr:row>
      <xdr:rowOff>8467</xdr:rowOff>
    </xdr:to>
    <xdr:sp macro="" textlink="">
      <xdr:nvSpPr>
        <xdr:cNvPr id="44" name="화살표: 오른쪽 24">
          <a:extLst>
            <a:ext uri="{FF2B5EF4-FFF2-40B4-BE49-F238E27FC236}">
              <a16:creationId xmlns:a16="http://schemas.microsoft.com/office/drawing/2014/main" id="{76B5DE60-9398-435D-AD32-32CFD13C6FDA}"/>
            </a:ext>
            <a:ext uri="{147F2762-F138-4A5C-976F-8EAC2B608ADB}">
              <a16:predDERef xmlns:a16="http://schemas.microsoft.com/office/drawing/2014/main" pred="{93F62FFF-3571-492E-8B25-2FC9AA64BD25}"/>
            </a:ext>
          </a:extLst>
        </xdr:cNvPr>
        <xdr:cNvSpPr/>
      </xdr:nvSpPr>
      <xdr:spPr>
        <a:xfrm>
          <a:off x="12428009" y="15546916"/>
          <a:ext cx="94191" cy="20108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791634</xdr:colOff>
      <xdr:row>27</xdr:row>
      <xdr:rowOff>16933</xdr:rowOff>
    </xdr:from>
    <xdr:to>
      <xdr:col>14</xdr:col>
      <xdr:colOff>338667</xdr:colOff>
      <xdr:row>28</xdr:row>
      <xdr:rowOff>8466</xdr:rowOff>
    </xdr:to>
    <xdr:sp macro="" textlink="">
      <xdr:nvSpPr>
        <xdr:cNvPr id="46" name="화살표: 오른쪽 5">
          <a:extLst>
            <a:ext uri="{FF2B5EF4-FFF2-40B4-BE49-F238E27FC236}">
              <a16:creationId xmlns:a16="http://schemas.microsoft.com/office/drawing/2014/main" id="{4CC58376-108B-49B7-BCB1-3BA18A8E02A3}"/>
            </a:ext>
            <a:ext uri="{147F2762-F138-4A5C-976F-8EAC2B608ADB}">
              <a16:predDERef xmlns:a16="http://schemas.microsoft.com/office/drawing/2014/main" pred="{FEFA12CF-F4CF-44AB-B8DA-C9364C597528}"/>
            </a:ext>
          </a:extLst>
        </xdr:cNvPr>
        <xdr:cNvSpPr/>
      </xdr:nvSpPr>
      <xdr:spPr>
        <a:xfrm>
          <a:off x="9232901" y="6561666"/>
          <a:ext cx="342899" cy="21166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809625</xdr:colOff>
      <xdr:row>29</xdr:row>
      <xdr:rowOff>0</xdr:rowOff>
    </xdr:from>
    <xdr:to>
      <xdr:col>17</xdr:col>
      <xdr:colOff>933450</xdr:colOff>
      <xdr:row>30</xdr:row>
      <xdr:rowOff>0</xdr:rowOff>
    </xdr:to>
    <xdr:sp macro="" textlink="">
      <xdr:nvSpPr>
        <xdr:cNvPr id="47" name="화살표: 오른쪽 11">
          <a:extLst>
            <a:ext uri="{FF2B5EF4-FFF2-40B4-BE49-F238E27FC236}">
              <a16:creationId xmlns:a16="http://schemas.microsoft.com/office/drawing/2014/main" id="{83E72091-E40A-4FDC-A7E4-1F7340068280}"/>
            </a:ext>
            <a:ext uri="{147F2762-F138-4A5C-976F-8EAC2B608ADB}">
              <a16:predDERef xmlns:a16="http://schemas.microsoft.com/office/drawing/2014/main" pred="{DE11C818-61A9-45B3-A3C9-A0C6AA9BDEA9}"/>
            </a:ext>
          </a:extLst>
        </xdr:cNvPr>
        <xdr:cNvSpPr/>
      </xdr:nvSpPr>
      <xdr:spPr>
        <a:xfrm>
          <a:off x="11490113" y="11419417"/>
          <a:ext cx="99060" cy="2222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406401</xdr:colOff>
      <xdr:row>73</xdr:row>
      <xdr:rowOff>12698</xdr:rowOff>
    </xdr:from>
    <xdr:to>
      <xdr:col>18</xdr:col>
      <xdr:colOff>524934</xdr:colOff>
      <xdr:row>74</xdr:row>
      <xdr:rowOff>16932</xdr:rowOff>
    </xdr:to>
    <xdr:sp macro="" textlink="">
      <xdr:nvSpPr>
        <xdr:cNvPr id="48" name="화살표: 오른쪽 18">
          <a:extLst>
            <a:ext uri="{FF2B5EF4-FFF2-40B4-BE49-F238E27FC236}">
              <a16:creationId xmlns:a16="http://schemas.microsoft.com/office/drawing/2014/main" id="{0CD079BB-CD8E-46B6-9070-3DEB3017BB7B}"/>
            </a:ext>
            <a:ext uri="{147F2762-F138-4A5C-976F-8EAC2B608ADB}">
              <a16:predDERef xmlns:a16="http://schemas.microsoft.com/office/drawing/2014/main" pred="{D805CE0C-D84D-4828-BCA6-A9E3905C4E36}"/>
            </a:ext>
          </a:extLst>
        </xdr:cNvPr>
        <xdr:cNvSpPr/>
      </xdr:nvSpPr>
      <xdr:spPr>
        <a:xfrm>
          <a:off x="12827001" y="16878298"/>
          <a:ext cx="118533" cy="22436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8466</xdr:colOff>
      <xdr:row>79</xdr:row>
      <xdr:rowOff>12699</xdr:rowOff>
    </xdr:from>
    <xdr:to>
      <xdr:col>19</xdr:col>
      <xdr:colOff>262466</xdr:colOff>
      <xdr:row>79</xdr:row>
      <xdr:rowOff>220132</xdr:rowOff>
    </xdr:to>
    <xdr:sp macro="" textlink="">
      <xdr:nvSpPr>
        <xdr:cNvPr id="50" name="화살표: 오른쪽 20">
          <a:extLst>
            <a:ext uri="{FF2B5EF4-FFF2-40B4-BE49-F238E27FC236}">
              <a16:creationId xmlns:a16="http://schemas.microsoft.com/office/drawing/2014/main" id="{6B20E11C-4C8A-402F-8FCB-1C71DC8F4D41}"/>
            </a:ext>
            <a:ext uri="{147F2762-F138-4A5C-976F-8EAC2B608ADB}">
              <a16:predDERef xmlns:a16="http://schemas.microsoft.com/office/drawing/2014/main" pred="{ABACF494-97C4-492F-8247-2D027109CFFE}"/>
            </a:ext>
          </a:extLst>
        </xdr:cNvPr>
        <xdr:cNvSpPr/>
      </xdr:nvSpPr>
      <xdr:spPr>
        <a:xfrm>
          <a:off x="13224933" y="18486966"/>
          <a:ext cx="254000" cy="20743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237066</xdr:colOff>
      <xdr:row>36</xdr:row>
      <xdr:rowOff>208492</xdr:rowOff>
    </xdr:from>
    <xdr:to>
      <xdr:col>15</xdr:col>
      <xdr:colOff>584200</xdr:colOff>
      <xdr:row>38</xdr:row>
      <xdr:rowOff>0</xdr:rowOff>
    </xdr:to>
    <xdr:sp macro="" textlink="">
      <xdr:nvSpPr>
        <xdr:cNvPr id="51" name="화살표: 오른쪽 21">
          <a:extLst>
            <a:ext uri="{FF2B5EF4-FFF2-40B4-BE49-F238E27FC236}">
              <a16:creationId xmlns:a16="http://schemas.microsoft.com/office/drawing/2014/main" id="{235F2E0B-4C19-4420-8B24-0F2A133B6545}"/>
            </a:ext>
            <a:ext uri="{147F2762-F138-4A5C-976F-8EAC2B608ADB}">
              <a16:predDERef xmlns:a16="http://schemas.microsoft.com/office/drawing/2014/main" pred="{2459E2F4-5472-4079-8DCF-5093F196C979}"/>
            </a:ext>
          </a:extLst>
        </xdr:cNvPr>
        <xdr:cNvSpPr/>
      </xdr:nvSpPr>
      <xdr:spPr>
        <a:xfrm>
          <a:off x="10270066" y="8768292"/>
          <a:ext cx="347134" cy="24024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249766</xdr:colOff>
      <xdr:row>38</xdr:row>
      <xdr:rowOff>220133</xdr:rowOff>
    </xdr:from>
    <xdr:to>
      <xdr:col>15</xdr:col>
      <xdr:colOff>499533</xdr:colOff>
      <xdr:row>39</xdr:row>
      <xdr:rowOff>203201</xdr:rowOff>
    </xdr:to>
    <xdr:sp macro="" textlink="">
      <xdr:nvSpPr>
        <xdr:cNvPr id="52" name="화살표: 오른쪽 22">
          <a:extLst>
            <a:ext uri="{FF2B5EF4-FFF2-40B4-BE49-F238E27FC236}">
              <a16:creationId xmlns:a16="http://schemas.microsoft.com/office/drawing/2014/main" id="{447E312A-022A-4AB2-83B3-B284F85E46F8}"/>
            </a:ext>
            <a:ext uri="{147F2762-F138-4A5C-976F-8EAC2B608ADB}">
              <a16:predDERef xmlns:a16="http://schemas.microsoft.com/office/drawing/2014/main" pred="{31140A70-E96D-47EC-A359-9E29E2C484CA}"/>
            </a:ext>
          </a:extLst>
        </xdr:cNvPr>
        <xdr:cNvSpPr/>
      </xdr:nvSpPr>
      <xdr:spPr>
        <a:xfrm>
          <a:off x="10282766" y="9228666"/>
          <a:ext cx="249767" cy="21166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566209</xdr:colOff>
      <xdr:row>23</xdr:row>
      <xdr:rowOff>10584</xdr:rowOff>
    </xdr:from>
    <xdr:to>
      <xdr:col>13</xdr:col>
      <xdr:colOff>787400</xdr:colOff>
      <xdr:row>23</xdr:row>
      <xdr:rowOff>194733</xdr:rowOff>
    </xdr:to>
    <xdr:sp macro="" textlink="">
      <xdr:nvSpPr>
        <xdr:cNvPr id="54" name="화살표: 오른쪽 24">
          <a:extLst>
            <a:ext uri="{FF2B5EF4-FFF2-40B4-BE49-F238E27FC236}">
              <a16:creationId xmlns:a16="http://schemas.microsoft.com/office/drawing/2014/main" id="{0404902A-580E-4531-AD45-3DA2FD521CE3}"/>
            </a:ext>
            <a:ext uri="{147F2762-F138-4A5C-976F-8EAC2B608ADB}">
              <a16:predDERef xmlns:a16="http://schemas.microsoft.com/office/drawing/2014/main" pred="{93F62FFF-3571-492E-8B25-2FC9AA64BD25}"/>
            </a:ext>
          </a:extLst>
        </xdr:cNvPr>
        <xdr:cNvSpPr/>
      </xdr:nvSpPr>
      <xdr:spPr>
        <a:xfrm>
          <a:off x="9007476" y="5657851"/>
          <a:ext cx="221191" cy="18414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584199</xdr:colOff>
      <xdr:row>42</xdr:row>
      <xdr:rowOff>219076</xdr:rowOff>
    </xdr:from>
    <xdr:to>
      <xdr:col>15</xdr:col>
      <xdr:colOff>745066</xdr:colOff>
      <xdr:row>44</xdr:row>
      <xdr:rowOff>8467</xdr:rowOff>
    </xdr:to>
    <xdr:sp macro="" textlink="">
      <xdr:nvSpPr>
        <xdr:cNvPr id="55" name="화살표: 오른쪽 25">
          <a:extLst>
            <a:ext uri="{FF2B5EF4-FFF2-40B4-BE49-F238E27FC236}">
              <a16:creationId xmlns:a16="http://schemas.microsoft.com/office/drawing/2014/main" id="{8C75C43A-42AD-40F5-9152-66C53495B164}"/>
            </a:ext>
            <a:ext uri="{147F2762-F138-4A5C-976F-8EAC2B608ADB}">
              <a16:predDERef xmlns:a16="http://schemas.microsoft.com/office/drawing/2014/main" pred="{F46113AB-EE98-4D81-9606-EA693727555F}"/>
            </a:ext>
          </a:extLst>
        </xdr:cNvPr>
        <xdr:cNvSpPr/>
      </xdr:nvSpPr>
      <xdr:spPr>
        <a:xfrm>
          <a:off x="10617199" y="10125076"/>
          <a:ext cx="160867" cy="23812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491067</xdr:colOff>
      <xdr:row>74</xdr:row>
      <xdr:rowOff>228599</xdr:rowOff>
    </xdr:from>
    <xdr:to>
      <xdr:col>18</xdr:col>
      <xdr:colOff>787401</xdr:colOff>
      <xdr:row>76</xdr:row>
      <xdr:rowOff>25400</xdr:rowOff>
    </xdr:to>
    <xdr:sp macro="" textlink="">
      <xdr:nvSpPr>
        <xdr:cNvPr id="56" name="화살표: 오른쪽 5">
          <a:extLst>
            <a:ext uri="{FF2B5EF4-FFF2-40B4-BE49-F238E27FC236}">
              <a16:creationId xmlns:a16="http://schemas.microsoft.com/office/drawing/2014/main" id="{0C2770C1-F620-4620-BC6B-25CC49F06CB0}"/>
            </a:ext>
            <a:ext uri="{147F2762-F138-4A5C-976F-8EAC2B608ADB}">
              <a16:predDERef xmlns:a16="http://schemas.microsoft.com/office/drawing/2014/main" pred="{FEFA12CF-F4CF-44AB-B8DA-C9364C597528}"/>
            </a:ext>
          </a:extLst>
        </xdr:cNvPr>
        <xdr:cNvSpPr/>
      </xdr:nvSpPr>
      <xdr:spPr>
        <a:xfrm>
          <a:off x="12911667" y="17314332"/>
          <a:ext cx="296334" cy="2455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809625</xdr:colOff>
      <xdr:row>83</xdr:row>
      <xdr:rowOff>0</xdr:rowOff>
    </xdr:from>
    <xdr:to>
      <xdr:col>17</xdr:col>
      <xdr:colOff>933450</xdr:colOff>
      <xdr:row>84</xdr:row>
      <xdr:rowOff>0</xdr:rowOff>
    </xdr:to>
    <xdr:sp macro="" textlink="">
      <xdr:nvSpPr>
        <xdr:cNvPr id="57" name="화살표: 오른쪽 11">
          <a:extLst>
            <a:ext uri="{FF2B5EF4-FFF2-40B4-BE49-F238E27FC236}">
              <a16:creationId xmlns:a16="http://schemas.microsoft.com/office/drawing/2014/main" id="{19DB8893-2A03-422B-BCD1-C91B48288570}"/>
            </a:ext>
            <a:ext uri="{147F2762-F138-4A5C-976F-8EAC2B608ADB}">
              <a16:predDERef xmlns:a16="http://schemas.microsoft.com/office/drawing/2014/main" pred="{DE11C818-61A9-45B3-A3C9-A0C6AA9BDEA9}"/>
            </a:ext>
          </a:extLst>
        </xdr:cNvPr>
        <xdr:cNvSpPr/>
      </xdr:nvSpPr>
      <xdr:spPr>
        <a:xfrm>
          <a:off x="11490113" y="15864417"/>
          <a:ext cx="99060" cy="2222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400050</xdr:colOff>
      <xdr:row>31</xdr:row>
      <xdr:rowOff>5291</xdr:rowOff>
    </xdr:from>
    <xdr:to>
      <xdr:col>14</xdr:col>
      <xdr:colOff>635000</xdr:colOff>
      <xdr:row>32</xdr:row>
      <xdr:rowOff>25400</xdr:rowOff>
    </xdr:to>
    <xdr:sp macro="" textlink="">
      <xdr:nvSpPr>
        <xdr:cNvPr id="58" name="화살표: 오른쪽 23">
          <a:extLst>
            <a:ext uri="{FF2B5EF4-FFF2-40B4-BE49-F238E27FC236}">
              <a16:creationId xmlns:a16="http://schemas.microsoft.com/office/drawing/2014/main" id="{470FEAD2-7669-42E4-A8A3-26C87FE4F2B4}"/>
            </a:ext>
            <a:ext uri="{147F2762-F138-4A5C-976F-8EAC2B608ADB}">
              <a16:predDERef xmlns:a16="http://schemas.microsoft.com/office/drawing/2014/main" pred="{AD726793-8ECF-4836-82F3-ED57AD36868C}"/>
            </a:ext>
          </a:extLst>
        </xdr:cNvPr>
        <xdr:cNvSpPr/>
      </xdr:nvSpPr>
      <xdr:spPr>
        <a:xfrm>
          <a:off x="9637183" y="7447491"/>
          <a:ext cx="234950" cy="24024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693209</xdr:colOff>
      <xdr:row>65</xdr:row>
      <xdr:rowOff>2117</xdr:rowOff>
    </xdr:from>
    <xdr:to>
      <xdr:col>18</xdr:col>
      <xdr:colOff>287867</xdr:colOff>
      <xdr:row>66</xdr:row>
      <xdr:rowOff>0</xdr:rowOff>
    </xdr:to>
    <xdr:sp macro="" textlink="">
      <xdr:nvSpPr>
        <xdr:cNvPr id="59" name="화살표: 오른쪽 24">
          <a:extLst>
            <a:ext uri="{FF2B5EF4-FFF2-40B4-BE49-F238E27FC236}">
              <a16:creationId xmlns:a16="http://schemas.microsoft.com/office/drawing/2014/main" id="{BAEC3C37-6D9B-4B84-A3A2-67F598A1D0ED}"/>
            </a:ext>
            <a:ext uri="{147F2762-F138-4A5C-976F-8EAC2B608ADB}">
              <a16:predDERef xmlns:a16="http://schemas.microsoft.com/office/drawing/2014/main" pred="{93F62FFF-3571-492E-8B25-2FC9AA64BD25}"/>
            </a:ext>
          </a:extLst>
        </xdr:cNvPr>
        <xdr:cNvSpPr/>
      </xdr:nvSpPr>
      <xdr:spPr>
        <a:xfrm>
          <a:off x="12317942" y="15072784"/>
          <a:ext cx="390525" cy="21801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147108</xdr:colOff>
      <xdr:row>63</xdr:row>
      <xdr:rowOff>7409</xdr:rowOff>
    </xdr:from>
    <xdr:to>
      <xdr:col>17</xdr:col>
      <xdr:colOff>795866</xdr:colOff>
      <xdr:row>64</xdr:row>
      <xdr:rowOff>8466</xdr:rowOff>
    </xdr:to>
    <xdr:sp macro="" textlink="">
      <xdr:nvSpPr>
        <xdr:cNvPr id="60" name="화살표: 오른쪽 25">
          <a:extLst>
            <a:ext uri="{FF2B5EF4-FFF2-40B4-BE49-F238E27FC236}">
              <a16:creationId xmlns:a16="http://schemas.microsoft.com/office/drawing/2014/main" id="{8C60B022-5D30-4F2F-A06B-B5C495E29A32}"/>
            </a:ext>
            <a:ext uri="{147F2762-F138-4A5C-976F-8EAC2B608ADB}">
              <a16:predDERef xmlns:a16="http://schemas.microsoft.com/office/drawing/2014/main" pred="{F46113AB-EE98-4D81-9606-EA693727555F}"/>
            </a:ext>
          </a:extLst>
        </xdr:cNvPr>
        <xdr:cNvSpPr/>
      </xdr:nvSpPr>
      <xdr:spPr>
        <a:xfrm>
          <a:off x="11771841" y="14629342"/>
          <a:ext cx="648758" cy="22119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809625</xdr:colOff>
      <xdr:row>27</xdr:row>
      <xdr:rowOff>0</xdr:rowOff>
    </xdr:from>
    <xdr:to>
      <xdr:col>17</xdr:col>
      <xdr:colOff>933450</xdr:colOff>
      <xdr:row>28</xdr:row>
      <xdr:rowOff>0</xdr:rowOff>
    </xdr:to>
    <xdr:sp macro="" textlink="">
      <xdr:nvSpPr>
        <xdr:cNvPr id="61" name="화살표: 오른쪽 11">
          <a:extLst>
            <a:ext uri="{FF2B5EF4-FFF2-40B4-BE49-F238E27FC236}">
              <a16:creationId xmlns:a16="http://schemas.microsoft.com/office/drawing/2014/main" id="{A506AFB0-5D61-4382-BF42-D8ED37E70B8C}"/>
            </a:ext>
            <a:ext uri="{147F2762-F138-4A5C-976F-8EAC2B608ADB}">
              <a16:predDERef xmlns:a16="http://schemas.microsoft.com/office/drawing/2014/main" pred="{DE11C818-61A9-45B3-A3C9-A0C6AA9BDEA9}"/>
            </a:ext>
          </a:extLst>
        </xdr:cNvPr>
        <xdr:cNvSpPr/>
      </xdr:nvSpPr>
      <xdr:spPr>
        <a:xfrm>
          <a:off x="16718492" y="19371733"/>
          <a:ext cx="100965" cy="22013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59265</xdr:colOff>
      <xdr:row>5</xdr:row>
      <xdr:rowOff>14437</xdr:rowOff>
    </xdr:from>
    <xdr:to>
      <xdr:col>12</xdr:col>
      <xdr:colOff>5927</xdr:colOff>
      <xdr:row>6</xdr:row>
      <xdr:rowOff>16934</xdr:rowOff>
    </xdr:to>
    <xdr:sp macro="" textlink="">
      <xdr:nvSpPr>
        <xdr:cNvPr id="62" name="화살표: 오른쪽 2">
          <a:extLst>
            <a:ext uri="{FF2B5EF4-FFF2-40B4-BE49-F238E27FC236}">
              <a16:creationId xmlns:a16="http://schemas.microsoft.com/office/drawing/2014/main" id="{1DCFA8D5-8600-48F0-B46B-16D5DFA68144}"/>
            </a:ext>
          </a:extLst>
        </xdr:cNvPr>
        <xdr:cNvSpPr/>
      </xdr:nvSpPr>
      <xdr:spPr>
        <a:xfrm>
          <a:off x="6079065" y="1436837"/>
          <a:ext cx="607062" cy="22263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841374</xdr:colOff>
      <xdr:row>9</xdr:row>
      <xdr:rowOff>30692</xdr:rowOff>
    </xdr:from>
    <xdr:to>
      <xdr:col>12</xdr:col>
      <xdr:colOff>584199</xdr:colOff>
      <xdr:row>10</xdr:row>
      <xdr:rowOff>16933</xdr:rowOff>
    </xdr:to>
    <xdr:sp macro="" textlink="">
      <xdr:nvSpPr>
        <xdr:cNvPr id="64" name="화살표: 오른쪽 8">
          <a:extLst>
            <a:ext uri="{FF2B5EF4-FFF2-40B4-BE49-F238E27FC236}">
              <a16:creationId xmlns:a16="http://schemas.microsoft.com/office/drawing/2014/main" id="{DE9DE573-DD9E-4BAA-AC1B-253FB619AF8F}"/>
            </a:ext>
            <a:ext uri="{147F2762-F138-4A5C-976F-8EAC2B608ADB}">
              <a16:predDERef xmlns:a16="http://schemas.microsoft.com/office/drawing/2014/main" pred="{FD362B1C-0FF1-4E54-8902-89FBB364D442}"/>
            </a:ext>
          </a:extLst>
        </xdr:cNvPr>
        <xdr:cNvSpPr/>
      </xdr:nvSpPr>
      <xdr:spPr>
        <a:xfrm>
          <a:off x="7741707" y="2536825"/>
          <a:ext cx="657225" cy="2063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16933</xdr:colOff>
      <xdr:row>11</xdr:row>
      <xdr:rowOff>29634</xdr:rowOff>
    </xdr:from>
    <xdr:to>
      <xdr:col>12</xdr:col>
      <xdr:colOff>171238</xdr:colOff>
      <xdr:row>11</xdr:row>
      <xdr:rowOff>211667</xdr:rowOff>
    </xdr:to>
    <xdr:sp macro="" textlink="">
      <xdr:nvSpPr>
        <xdr:cNvPr id="65" name="화살표: 오른쪽 18">
          <a:extLst>
            <a:ext uri="{FF2B5EF4-FFF2-40B4-BE49-F238E27FC236}">
              <a16:creationId xmlns:a16="http://schemas.microsoft.com/office/drawing/2014/main" id="{F6809E92-A9D3-4970-A74E-D1BF1D453F1E}"/>
            </a:ext>
            <a:ext uri="{147F2762-F138-4A5C-976F-8EAC2B608ADB}">
              <a16:predDERef xmlns:a16="http://schemas.microsoft.com/office/drawing/2014/main" pred="{D805CE0C-D84D-4828-BCA6-A9E3905C4E36}"/>
            </a:ext>
          </a:extLst>
        </xdr:cNvPr>
        <xdr:cNvSpPr/>
      </xdr:nvSpPr>
      <xdr:spPr>
        <a:xfrm>
          <a:off x="7831666" y="2984501"/>
          <a:ext cx="154305" cy="18203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381000</xdr:colOff>
      <xdr:row>71</xdr:row>
      <xdr:rowOff>29633</xdr:rowOff>
    </xdr:from>
    <xdr:to>
      <xdr:col>18</xdr:col>
      <xdr:colOff>575733</xdr:colOff>
      <xdr:row>72</xdr:row>
      <xdr:rowOff>8467</xdr:rowOff>
    </xdr:to>
    <xdr:sp macro="" textlink="">
      <xdr:nvSpPr>
        <xdr:cNvPr id="67" name="화살표: 오른쪽 18">
          <a:extLst>
            <a:ext uri="{FF2B5EF4-FFF2-40B4-BE49-F238E27FC236}">
              <a16:creationId xmlns:a16="http://schemas.microsoft.com/office/drawing/2014/main" id="{C6F1503F-ABA7-4B0F-BD8E-FAA577F02D4C}"/>
            </a:ext>
            <a:ext uri="{147F2762-F138-4A5C-976F-8EAC2B608ADB}">
              <a16:predDERef xmlns:a16="http://schemas.microsoft.com/office/drawing/2014/main" pred="{D805CE0C-D84D-4828-BCA6-A9E3905C4E36}"/>
            </a:ext>
          </a:extLst>
        </xdr:cNvPr>
        <xdr:cNvSpPr/>
      </xdr:nvSpPr>
      <xdr:spPr>
        <a:xfrm>
          <a:off x="12801600" y="16446500"/>
          <a:ext cx="194733" cy="19896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1009650</xdr:colOff>
      <xdr:row>85</xdr:row>
      <xdr:rowOff>19050</xdr:rowOff>
    </xdr:from>
    <xdr:to>
      <xdr:col>22</xdr:col>
      <xdr:colOff>0</xdr:colOff>
      <xdr:row>86</xdr:row>
      <xdr:rowOff>0</xdr:rowOff>
    </xdr:to>
    <xdr:sp macro="" textlink="">
      <xdr:nvSpPr>
        <xdr:cNvPr id="68" name="오른쪽 화살표 4">
          <a:extLst>
            <a:ext uri="{FF2B5EF4-FFF2-40B4-BE49-F238E27FC236}">
              <a16:creationId xmlns:a16="http://schemas.microsoft.com/office/drawing/2014/main" id="{5F7DA5A4-62A8-4D1C-B03D-4881BFCEBE22}"/>
            </a:ext>
            <a:ext uri="{147F2762-F138-4A5C-976F-8EAC2B608ADB}">
              <a16:predDERef xmlns:a16="http://schemas.microsoft.com/office/drawing/2014/main" pred="{24C515B2-A360-4E1F-A62E-50B7F61FF471}"/>
            </a:ext>
          </a:extLst>
        </xdr:cNvPr>
        <xdr:cNvSpPr/>
      </xdr:nvSpPr>
      <xdr:spPr>
        <a:xfrm>
          <a:off x="16836390" y="19263783"/>
          <a:ext cx="3810" cy="251884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728134</xdr:colOff>
      <xdr:row>88</xdr:row>
      <xdr:rowOff>249765</xdr:rowOff>
    </xdr:from>
    <xdr:to>
      <xdr:col>21</xdr:col>
      <xdr:colOff>270935</xdr:colOff>
      <xdr:row>90</xdr:row>
      <xdr:rowOff>8466</xdr:rowOff>
    </xdr:to>
    <xdr:sp macro="" textlink="">
      <xdr:nvSpPr>
        <xdr:cNvPr id="69" name="화살표: 오른쪽 12">
          <a:extLst>
            <a:ext uri="{FF2B5EF4-FFF2-40B4-BE49-F238E27FC236}">
              <a16:creationId xmlns:a16="http://schemas.microsoft.com/office/drawing/2014/main" id="{F7421D05-425B-48C9-85C6-16C070962D64}"/>
            </a:ext>
            <a:ext uri="{147F2762-F138-4A5C-976F-8EAC2B608ADB}">
              <a16:predDERef xmlns:a16="http://schemas.microsoft.com/office/drawing/2014/main" pred="{E8A6D883-6F8F-4B6C-8C27-8F564D30FCD5}"/>
            </a:ext>
          </a:extLst>
        </xdr:cNvPr>
        <xdr:cNvSpPr/>
      </xdr:nvSpPr>
      <xdr:spPr>
        <a:xfrm>
          <a:off x="9465734" y="20883032"/>
          <a:ext cx="5909734" cy="300567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618067</xdr:colOff>
      <xdr:row>93</xdr:row>
      <xdr:rowOff>19050</xdr:rowOff>
    </xdr:from>
    <xdr:to>
      <xdr:col>22</xdr:col>
      <xdr:colOff>26669</xdr:colOff>
      <xdr:row>94</xdr:row>
      <xdr:rowOff>42333</xdr:rowOff>
    </xdr:to>
    <xdr:sp macro="" textlink="">
      <xdr:nvSpPr>
        <xdr:cNvPr id="70" name="화살표: 오른쪽 12">
          <a:extLst>
            <a:ext uri="{FF2B5EF4-FFF2-40B4-BE49-F238E27FC236}">
              <a16:creationId xmlns:a16="http://schemas.microsoft.com/office/drawing/2014/main" id="{8B1E6ED4-4ED9-49EA-9DF2-748EE98FCFED}"/>
            </a:ext>
            <a:ext uri="{147F2762-F138-4A5C-976F-8EAC2B608ADB}">
              <a16:predDERef xmlns:a16="http://schemas.microsoft.com/office/drawing/2014/main" pred="{42DD8499-E963-4819-BFCC-DD11B31F9774}"/>
            </a:ext>
          </a:extLst>
        </xdr:cNvPr>
        <xdr:cNvSpPr/>
      </xdr:nvSpPr>
      <xdr:spPr>
        <a:xfrm>
          <a:off x="14283267" y="21515917"/>
          <a:ext cx="204469" cy="294216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627803</xdr:colOff>
      <xdr:row>83</xdr:row>
      <xdr:rowOff>1058</xdr:rowOff>
    </xdr:from>
    <xdr:to>
      <xdr:col>19</xdr:col>
      <xdr:colOff>778933</xdr:colOff>
      <xdr:row>84</xdr:row>
      <xdr:rowOff>25399</xdr:rowOff>
    </xdr:to>
    <xdr:sp macro="" textlink="">
      <xdr:nvSpPr>
        <xdr:cNvPr id="72" name="오른쪽 화살표 5">
          <a:extLst>
            <a:ext uri="{FF2B5EF4-FFF2-40B4-BE49-F238E27FC236}">
              <a16:creationId xmlns:a16="http://schemas.microsoft.com/office/drawing/2014/main" id="{9E655358-471E-470B-80AB-3C6AF913F008}"/>
            </a:ext>
            <a:ext uri="{147F2762-F138-4A5C-976F-8EAC2B608ADB}">
              <a16:predDERef xmlns:a16="http://schemas.microsoft.com/office/drawing/2014/main" pred="{1E3207A1-77B7-478B-97AB-86AFB41CAF0F}"/>
            </a:ext>
          </a:extLst>
        </xdr:cNvPr>
        <xdr:cNvSpPr/>
      </xdr:nvSpPr>
      <xdr:spPr>
        <a:xfrm>
          <a:off x="13844270" y="19372791"/>
          <a:ext cx="151130" cy="2444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267757</xdr:colOff>
      <xdr:row>81</xdr:row>
      <xdr:rowOff>9526</xdr:rowOff>
    </xdr:from>
    <xdr:to>
      <xdr:col>19</xdr:col>
      <xdr:colOff>626533</xdr:colOff>
      <xdr:row>82</xdr:row>
      <xdr:rowOff>1</xdr:rowOff>
    </xdr:to>
    <xdr:sp macro="" textlink="">
      <xdr:nvSpPr>
        <xdr:cNvPr id="73" name="오른쪽 화살표 10">
          <a:extLst>
            <a:ext uri="{FF2B5EF4-FFF2-40B4-BE49-F238E27FC236}">
              <a16:creationId xmlns:a16="http://schemas.microsoft.com/office/drawing/2014/main" id="{509E15B7-2017-499E-850A-D85DA31555A0}"/>
            </a:ext>
            <a:ext uri="{147F2762-F138-4A5C-976F-8EAC2B608ADB}">
              <a16:predDERef xmlns:a16="http://schemas.microsoft.com/office/drawing/2014/main" pred="{00F0ABDB-B406-42E9-9B4C-B44403583E90}"/>
            </a:ext>
          </a:extLst>
        </xdr:cNvPr>
        <xdr:cNvSpPr/>
      </xdr:nvSpPr>
      <xdr:spPr>
        <a:xfrm>
          <a:off x="13484224" y="18932526"/>
          <a:ext cx="358776" cy="21060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787398</xdr:colOff>
      <xdr:row>7</xdr:row>
      <xdr:rowOff>5970</xdr:rowOff>
    </xdr:from>
    <xdr:to>
      <xdr:col>12</xdr:col>
      <xdr:colOff>609600</xdr:colOff>
      <xdr:row>7</xdr:row>
      <xdr:rowOff>262466</xdr:rowOff>
    </xdr:to>
    <xdr:sp macro="" textlink="">
      <xdr:nvSpPr>
        <xdr:cNvPr id="74" name="화살표: 오른쪽 2">
          <a:extLst>
            <a:ext uri="{FF2B5EF4-FFF2-40B4-BE49-F238E27FC236}">
              <a16:creationId xmlns:a16="http://schemas.microsoft.com/office/drawing/2014/main" id="{32508CBD-32CD-423C-9AEB-5B614B90AF57}"/>
            </a:ext>
          </a:extLst>
        </xdr:cNvPr>
        <xdr:cNvSpPr/>
      </xdr:nvSpPr>
      <xdr:spPr>
        <a:xfrm>
          <a:off x="8881531" y="1970237"/>
          <a:ext cx="736602" cy="256496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786342</xdr:colOff>
      <xdr:row>25</xdr:row>
      <xdr:rowOff>44451</xdr:rowOff>
    </xdr:from>
    <xdr:to>
      <xdr:col>14</xdr:col>
      <xdr:colOff>279400</xdr:colOff>
      <xdr:row>26</xdr:row>
      <xdr:rowOff>25400</xdr:rowOff>
    </xdr:to>
    <xdr:sp macro="" textlink="">
      <xdr:nvSpPr>
        <xdr:cNvPr id="75" name="화살표: 오른쪽 24">
          <a:extLst>
            <a:ext uri="{FF2B5EF4-FFF2-40B4-BE49-F238E27FC236}">
              <a16:creationId xmlns:a16="http://schemas.microsoft.com/office/drawing/2014/main" id="{53B3C1B1-352C-415E-901D-46E06685E8A0}"/>
            </a:ext>
            <a:ext uri="{147F2762-F138-4A5C-976F-8EAC2B608ADB}">
              <a16:predDERef xmlns:a16="http://schemas.microsoft.com/office/drawing/2014/main" pred="{93F62FFF-3571-492E-8B25-2FC9AA64BD25}"/>
            </a:ext>
          </a:extLst>
        </xdr:cNvPr>
        <xdr:cNvSpPr/>
      </xdr:nvSpPr>
      <xdr:spPr>
        <a:xfrm>
          <a:off x="9227609" y="6140451"/>
          <a:ext cx="288924" cy="2010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393701</xdr:colOff>
      <xdr:row>29</xdr:row>
      <xdr:rowOff>8466</xdr:rowOff>
    </xdr:from>
    <xdr:to>
      <xdr:col>15</xdr:col>
      <xdr:colOff>203199</xdr:colOff>
      <xdr:row>30</xdr:row>
      <xdr:rowOff>8466</xdr:rowOff>
    </xdr:to>
    <xdr:sp macro="" textlink="">
      <xdr:nvSpPr>
        <xdr:cNvPr id="76" name="화살표: 오른쪽 5">
          <a:extLst>
            <a:ext uri="{FF2B5EF4-FFF2-40B4-BE49-F238E27FC236}">
              <a16:creationId xmlns:a16="http://schemas.microsoft.com/office/drawing/2014/main" id="{B043BCD8-74E7-499F-9952-48E1C2B95C16}"/>
            </a:ext>
            <a:ext uri="{147F2762-F138-4A5C-976F-8EAC2B608ADB}">
              <a16:predDERef xmlns:a16="http://schemas.microsoft.com/office/drawing/2014/main" pred="{FEFA12CF-F4CF-44AB-B8DA-C9364C597528}"/>
            </a:ext>
          </a:extLst>
        </xdr:cNvPr>
        <xdr:cNvSpPr/>
      </xdr:nvSpPr>
      <xdr:spPr>
        <a:xfrm>
          <a:off x="9630834" y="7001933"/>
          <a:ext cx="605365" cy="22013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495299</xdr:colOff>
      <xdr:row>41</xdr:row>
      <xdr:rowOff>16932</xdr:rowOff>
    </xdr:from>
    <xdr:to>
      <xdr:col>15</xdr:col>
      <xdr:colOff>745066</xdr:colOff>
      <xdr:row>42</xdr:row>
      <xdr:rowOff>8467</xdr:rowOff>
    </xdr:to>
    <xdr:sp macro="" textlink="">
      <xdr:nvSpPr>
        <xdr:cNvPr id="78" name="화살표: 오른쪽 22">
          <a:extLst>
            <a:ext uri="{FF2B5EF4-FFF2-40B4-BE49-F238E27FC236}">
              <a16:creationId xmlns:a16="http://schemas.microsoft.com/office/drawing/2014/main" id="{A430E2F0-251F-4624-AA34-E02525954E0F}"/>
            </a:ext>
            <a:ext uri="{147F2762-F138-4A5C-976F-8EAC2B608ADB}">
              <a16:predDERef xmlns:a16="http://schemas.microsoft.com/office/drawing/2014/main" pred="{31140A70-E96D-47EC-A359-9E29E2C484CA}"/>
            </a:ext>
          </a:extLst>
        </xdr:cNvPr>
        <xdr:cNvSpPr/>
      </xdr:nvSpPr>
      <xdr:spPr>
        <a:xfrm>
          <a:off x="10528299" y="9702799"/>
          <a:ext cx="249767" cy="21166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283633</xdr:colOff>
      <xdr:row>46</xdr:row>
      <xdr:rowOff>228599</xdr:rowOff>
    </xdr:from>
    <xdr:to>
      <xdr:col>16</xdr:col>
      <xdr:colOff>558799</xdr:colOff>
      <xdr:row>48</xdr:row>
      <xdr:rowOff>16934</xdr:rowOff>
    </xdr:to>
    <xdr:sp macro="" textlink="">
      <xdr:nvSpPr>
        <xdr:cNvPr id="79" name="화살표: 오른쪽 5">
          <a:extLst>
            <a:ext uri="{FF2B5EF4-FFF2-40B4-BE49-F238E27FC236}">
              <a16:creationId xmlns:a16="http://schemas.microsoft.com/office/drawing/2014/main" id="{F29F2B3C-8967-4E10-B075-3229405EFBB8}"/>
            </a:ext>
            <a:ext uri="{147F2762-F138-4A5C-976F-8EAC2B608ADB}">
              <a16:predDERef xmlns:a16="http://schemas.microsoft.com/office/drawing/2014/main" pred="{FEFA12CF-F4CF-44AB-B8DA-C9364C597528}"/>
            </a:ext>
          </a:extLst>
        </xdr:cNvPr>
        <xdr:cNvSpPr/>
      </xdr:nvSpPr>
      <xdr:spPr>
        <a:xfrm>
          <a:off x="11112500" y="11032066"/>
          <a:ext cx="275166" cy="23706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4233</xdr:colOff>
      <xdr:row>49</xdr:row>
      <xdr:rowOff>8465</xdr:rowOff>
    </xdr:from>
    <xdr:to>
      <xdr:col>16</xdr:col>
      <xdr:colOff>279399</xdr:colOff>
      <xdr:row>50</xdr:row>
      <xdr:rowOff>25400</xdr:rowOff>
    </xdr:to>
    <xdr:sp macro="" textlink="">
      <xdr:nvSpPr>
        <xdr:cNvPr id="80" name="화살표: 오른쪽 5">
          <a:extLst>
            <a:ext uri="{FF2B5EF4-FFF2-40B4-BE49-F238E27FC236}">
              <a16:creationId xmlns:a16="http://schemas.microsoft.com/office/drawing/2014/main" id="{9AE7B0AC-1CC4-41E7-A785-99F5CBB00D38}"/>
            </a:ext>
            <a:ext uri="{147F2762-F138-4A5C-976F-8EAC2B608ADB}">
              <a16:predDERef xmlns:a16="http://schemas.microsoft.com/office/drawing/2014/main" pred="{FEFA12CF-F4CF-44AB-B8DA-C9364C597528}"/>
            </a:ext>
          </a:extLst>
        </xdr:cNvPr>
        <xdr:cNvSpPr/>
      </xdr:nvSpPr>
      <xdr:spPr>
        <a:xfrm>
          <a:off x="10833100" y="11489265"/>
          <a:ext cx="275166" cy="23706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355599</xdr:colOff>
      <xdr:row>51</xdr:row>
      <xdr:rowOff>29633</xdr:rowOff>
    </xdr:from>
    <xdr:to>
      <xdr:col>16</xdr:col>
      <xdr:colOff>516466</xdr:colOff>
      <xdr:row>52</xdr:row>
      <xdr:rowOff>25401</xdr:rowOff>
    </xdr:to>
    <xdr:sp macro="" textlink="">
      <xdr:nvSpPr>
        <xdr:cNvPr id="81" name="화살표: 오른쪽 20">
          <a:extLst>
            <a:ext uri="{FF2B5EF4-FFF2-40B4-BE49-F238E27FC236}">
              <a16:creationId xmlns:a16="http://schemas.microsoft.com/office/drawing/2014/main" id="{A6AC6775-DFC2-4C88-8628-0183AF9FF185}"/>
            </a:ext>
            <a:ext uri="{147F2762-F138-4A5C-976F-8EAC2B608ADB}">
              <a16:predDERef xmlns:a16="http://schemas.microsoft.com/office/drawing/2014/main" pred="{ABACF494-97C4-492F-8247-2D027109CFFE}"/>
            </a:ext>
          </a:extLst>
        </xdr:cNvPr>
        <xdr:cNvSpPr/>
      </xdr:nvSpPr>
      <xdr:spPr>
        <a:xfrm>
          <a:off x="11184466" y="11959166"/>
          <a:ext cx="160867" cy="21590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0</xdr:colOff>
      <xdr:row>55</xdr:row>
      <xdr:rowOff>21166</xdr:rowOff>
    </xdr:from>
    <xdr:to>
      <xdr:col>17</xdr:col>
      <xdr:colOff>160867</xdr:colOff>
      <xdr:row>56</xdr:row>
      <xdr:rowOff>16935</xdr:rowOff>
    </xdr:to>
    <xdr:sp macro="" textlink="">
      <xdr:nvSpPr>
        <xdr:cNvPr id="82" name="화살표: 오른쪽 20">
          <a:extLst>
            <a:ext uri="{FF2B5EF4-FFF2-40B4-BE49-F238E27FC236}">
              <a16:creationId xmlns:a16="http://schemas.microsoft.com/office/drawing/2014/main" id="{CAC6E8D3-5662-47A5-9CBC-33C5AB7BDCE2}"/>
            </a:ext>
            <a:ext uri="{147F2762-F138-4A5C-976F-8EAC2B608ADB}">
              <a16:predDERef xmlns:a16="http://schemas.microsoft.com/office/drawing/2014/main" pred="{ABACF494-97C4-492F-8247-2D027109CFFE}"/>
            </a:ext>
          </a:extLst>
        </xdr:cNvPr>
        <xdr:cNvSpPr/>
      </xdr:nvSpPr>
      <xdr:spPr>
        <a:xfrm>
          <a:off x="11624733" y="12848166"/>
          <a:ext cx="160867" cy="21590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93134</xdr:colOff>
      <xdr:row>57</xdr:row>
      <xdr:rowOff>12699</xdr:rowOff>
    </xdr:from>
    <xdr:to>
      <xdr:col>17</xdr:col>
      <xdr:colOff>254001</xdr:colOff>
      <xdr:row>58</xdr:row>
      <xdr:rowOff>8467</xdr:rowOff>
    </xdr:to>
    <xdr:sp macro="" textlink="">
      <xdr:nvSpPr>
        <xdr:cNvPr id="83" name="화살표: 오른쪽 20">
          <a:extLst>
            <a:ext uri="{FF2B5EF4-FFF2-40B4-BE49-F238E27FC236}">
              <a16:creationId xmlns:a16="http://schemas.microsoft.com/office/drawing/2014/main" id="{E30BF345-4A69-4981-8AF4-FE85E7BD0E51}"/>
            </a:ext>
            <a:ext uri="{147F2762-F138-4A5C-976F-8EAC2B608ADB}">
              <a16:predDERef xmlns:a16="http://schemas.microsoft.com/office/drawing/2014/main" pred="{ABACF494-97C4-492F-8247-2D027109CFFE}"/>
            </a:ext>
          </a:extLst>
        </xdr:cNvPr>
        <xdr:cNvSpPr/>
      </xdr:nvSpPr>
      <xdr:spPr>
        <a:xfrm>
          <a:off x="11717867" y="13288432"/>
          <a:ext cx="160867" cy="21590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330201</xdr:colOff>
      <xdr:row>59</xdr:row>
      <xdr:rowOff>29632</xdr:rowOff>
    </xdr:from>
    <xdr:to>
      <xdr:col>17</xdr:col>
      <xdr:colOff>491068</xdr:colOff>
      <xdr:row>60</xdr:row>
      <xdr:rowOff>25401</xdr:rowOff>
    </xdr:to>
    <xdr:sp macro="" textlink="">
      <xdr:nvSpPr>
        <xdr:cNvPr id="84" name="화살표: 오른쪽 20">
          <a:extLst>
            <a:ext uri="{FF2B5EF4-FFF2-40B4-BE49-F238E27FC236}">
              <a16:creationId xmlns:a16="http://schemas.microsoft.com/office/drawing/2014/main" id="{ABCD88D9-4E6D-4139-9A5E-FCA4310F32BF}"/>
            </a:ext>
            <a:ext uri="{147F2762-F138-4A5C-976F-8EAC2B608ADB}">
              <a16:predDERef xmlns:a16="http://schemas.microsoft.com/office/drawing/2014/main" pred="{ABACF494-97C4-492F-8247-2D027109CFFE}"/>
            </a:ext>
          </a:extLst>
        </xdr:cNvPr>
        <xdr:cNvSpPr/>
      </xdr:nvSpPr>
      <xdr:spPr>
        <a:xfrm>
          <a:off x="11954934" y="13754099"/>
          <a:ext cx="160867" cy="21590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499535</xdr:colOff>
      <xdr:row>60</xdr:row>
      <xdr:rowOff>224366</xdr:rowOff>
    </xdr:from>
    <xdr:to>
      <xdr:col>17</xdr:col>
      <xdr:colOff>702734</xdr:colOff>
      <xdr:row>61</xdr:row>
      <xdr:rowOff>211667</xdr:rowOff>
    </xdr:to>
    <xdr:sp macro="" textlink="">
      <xdr:nvSpPr>
        <xdr:cNvPr id="85" name="화살표: 오른쪽 20">
          <a:extLst>
            <a:ext uri="{FF2B5EF4-FFF2-40B4-BE49-F238E27FC236}">
              <a16:creationId xmlns:a16="http://schemas.microsoft.com/office/drawing/2014/main" id="{FE732F4A-E5AE-4BDB-BE18-C7DAC8E4A80F}"/>
            </a:ext>
            <a:ext uri="{147F2762-F138-4A5C-976F-8EAC2B608ADB}">
              <a16:predDERef xmlns:a16="http://schemas.microsoft.com/office/drawing/2014/main" pred="{ABACF494-97C4-492F-8247-2D027109CFFE}"/>
            </a:ext>
          </a:extLst>
        </xdr:cNvPr>
        <xdr:cNvSpPr/>
      </xdr:nvSpPr>
      <xdr:spPr>
        <a:xfrm>
          <a:off x="12124268" y="14168966"/>
          <a:ext cx="203199" cy="21590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745067</xdr:colOff>
      <xdr:row>77</xdr:row>
      <xdr:rowOff>84665</xdr:rowOff>
    </xdr:from>
    <xdr:to>
      <xdr:col>19</xdr:col>
      <xdr:colOff>279400</xdr:colOff>
      <xdr:row>78</xdr:row>
      <xdr:rowOff>8467</xdr:rowOff>
    </xdr:to>
    <xdr:sp macro="" textlink="">
      <xdr:nvSpPr>
        <xdr:cNvPr id="86" name="화살표: 오른쪽 5">
          <a:extLst>
            <a:ext uri="{FF2B5EF4-FFF2-40B4-BE49-F238E27FC236}">
              <a16:creationId xmlns:a16="http://schemas.microsoft.com/office/drawing/2014/main" id="{253BC1FD-2AF6-4F44-BEC3-401B5E797163}"/>
            </a:ext>
            <a:ext uri="{147F2762-F138-4A5C-976F-8EAC2B608ADB}">
              <a16:predDERef xmlns:a16="http://schemas.microsoft.com/office/drawing/2014/main" pred="{FEFA12CF-F4CF-44AB-B8DA-C9364C597528}"/>
            </a:ext>
          </a:extLst>
        </xdr:cNvPr>
        <xdr:cNvSpPr/>
      </xdr:nvSpPr>
      <xdr:spPr>
        <a:xfrm>
          <a:off x="13165667" y="17847732"/>
          <a:ext cx="330200" cy="23706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14"/>
  <sheetViews>
    <sheetView showGridLines="0" zoomScale="120" zoomScaleNormal="120" workbookViewId="0">
      <selection activeCell="H3" sqref="H3:I3"/>
    </sheetView>
  </sheetViews>
  <sheetFormatPr defaultColWidth="12.69921875" defaultRowHeight="15" customHeight="1"/>
  <cols>
    <col min="1" max="1" width="4" customWidth="1"/>
    <col min="2" max="2" width="12" customWidth="1"/>
    <col min="3" max="3" width="18.09765625" bestFit="1" customWidth="1"/>
    <col min="4" max="4" width="4.796875" bestFit="1" customWidth="1"/>
    <col min="5" max="5" width="8.796875" customWidth="1"/>
    <col min="6" max="6" width="5.3984375" customWidth="1"/>
    <col min="7" max="7" width="6.3984375" customWidth="1"/>
    <col min="8" max="8" width="10.69921875" customWidth="1"/>
    <col min="9" max="9" width="10.796875" customWidth="1"/>
    <col min="10" max="10" width="1.3984375" customWidth="1"/>
  </cols>
  <sheetData>
    <row r="1" spans="1:9" ht="15.6">
      <c r="A1" s="1"/>
      <c r="B1" s="2"/>
      <c r="C1" s="2"/>
      <c r="D1" s="2"/>
      <c r="E1" s="3"/>
      <c r="F1" s="2"/>
      <c r="G1" s="2"/>
      <c r="H1" s="2"/>
      <c r="I1" s="2"/>
    </row>
    <row r="2" spans="1:9" ht="35.25" customHeight="1" thickBot="1">
      <c r="A2" s="1"/>
      <c r="B2" s="4" t="s">
        <v>0</v>
      </c>
      <c r="C2" s="5"/>
      <c r="D2" s="4"/>
      <c r="E2" s="5"/>
      <c r="F2" s="5"/>
      <c r="G2" s="5"/>
    </row>
    <row r="3" spans="1:9" ht="18" customHeight="1">
      <c r="A3" s="1"/>
      <c r="B3" s="6" t="str">
        <f>"Project : "&amp;"(주)펨트론_고도화 추가개발프로젝트"</f>
        <v>Project : (주)펨트론_고도화 추가개발프로젝트</v>
      </c>
      <c r="C3" s="5"/>
      <c r="D3" s="6"/>
      <c r="E3" s="5"/>
      <c r="F3" s="5"/>
      <c r="G3" s="5"/>
      <c r="H3" s="91" t="s">
        <v>1</v>
      </c>
      <c r="I3" s="92"/>
    </row>
    <row r="4" spans="1:9" ht="18" customHeight="1">
      <c r="A4" s="1"/>
      <c r="B4" s="5"/>
      <c r="C4" s="5"/>
      <c r="D4" s="5"/>
      <c r="E4" s="5"/>
      <c r="F4" s="5"/>
      <c r="G4" s="5"/>
      <c r="H4" s="7" t="s">
        <v>2</v>
      </c>
      <c r="I4" s="8" t="s">
        <v>3</v>
      </c>
    </row>
    <row r="5" spans="1:9" ht="18" customHeight="1">
      <c r="A5" s="9" t="s">
        <v>66</v>
      </c>
      <c r="B5" s="5"/>
      <c r="C5" s="5"/>
      <c r="D5" s="5"/>
      <c r="E5" s="5"/>
      <c r="F5" s="5"/>
      <c r="G5" s="5"/>
      <c r="H5" s="10">
        <v>45915</v>
      </c>
      <c r="I5" s="11">
        <v>46080</v>
      </c>
    </row>
    <row r="6" spans="1:9" ht="30" customHeight="1">
      <c r="A6" s="93" t="s">
        <v>4</v>
      </c>
      <c r="B6" s="94"/>
      <c r="C6" s="12" t="s">
        <v>5</v>
      </c>
      <c r="D6" s="12" t="s">
        <v>6</v>
      </c>
      <c r="E6" s="12" t="s">
        <v>7</v>
      </c>
      <c r="F6" s="12" t="s">
        <v>8</v>
      </c>
      <c r="G6" s="12" t="s">
        <v>9</v>
      </c>
      <c r="H6" s="20" t="s">
        <v>2</v>
      </c>
      <c r="I6" s="20" t="s">
        <v>3</v>
      </c>
    </row>
    <row r="7" spans="1:9" ht="17.25" customHeight="1">
      <c r="A7" s="160" t="s">
        <v>10</v>
      </c>
      <c r="B7" s="161"/>
      <c r="C7" s="162"/>
      <c r="D7" s="163"/>
      <c r="E7" s="164"/>
      <c r="F7" s="165"/>
      <c r="G7" s="165"/>
      <c r="H7" s="31">
        <f>MIN(H8:H10)</f>
        <v>45915</v>
      </c>
      <c r="I7" s="31">
        <f>MAX(I8:I10)</f>
        <v>46080</v>
      </c>
    </row>
    <row r="8" spans="1:9" ht="17.25" customHeight="1">
      <c r="A8" s="166" t="s">
        <v>11</v>
      </c>
      <c r="B8" s="167"/>
      <c r="C8" s="168" t="s">
        <v>12</v>
      </c>
      <c r="D8" s="169" t="s">
        <v>13</v>
      </c>
      <c r="E8" s="170" t="s">
        <v>65</v>
      </c>
      <c r="F8" s="171">
        <v>1</v>
      </c>
      <c r="G8" s="171">
        <v>1</v>
      </c>
      <c r="H8" s="13">
        <f>H5</f>
        <v>45915</v>
      </c>
      <c r="I8" s="13">
        <v>45945</v>
      </c>
    </row>
    <row r="9" spans="1:9" ht="17.25" customHeight="1">
      <c r="A9" s="166" t="s">
        <v>15</v>
      </c>
      <c r="B9" s="167"/>
      <c r="C9" s="172" t="s">
        <v>16</v>
      </c>
      <c r="D9" s="169" t="s">
        <v>17</v>
      </c>
      <c r="E9" s="170" t="s">
        <v>14</v>
      </c>
      <c r="F9" s="171">
        <v>2</v>
      </c>
      <c r="G9" s="171">
        <v>3.2</v>
      </c>
      <c r="H9" s="13">
        <v>45929</v>
      </c>
      <c r="I9" s="13">
        <v>45687</v>
      </c>
    </row>
    <row r="10" spans="1:9" ht="17.25" customHeight="1">
      <c r="A10" s="166" t="s">
        <v>18</v>
      </c>
      <c r="B10" s="167"/>
      <c r="C10" s="172" t="s">
        <v>19</v>
      </c>
      <c r="D10" s="169" t="s">
        <v>17</v>
      </c>
      <c r="E10" s="170" t="s">
        <v>14</v>
      </c>
      <c r="F10" s="171">
        <v>2</v>
      </c>
      <c r="G10" s="171">
        <v>0.8</v>
      </c>
      <c r="H10" s="13">
        <v>45943</v>
      </c>
      <c r="I10" s="13">
        <f>I5</f>
        <v>46080</v>
      </c>
    </row>
    <row r="11" spans="1:9" ht="15.75" customHeight="1">
      <c r="A11" s="14"/>
      <c r="B11" s="14"/>
      <c r="C11" s="15"/>
      <c r="D11" s="16"/>
      <c r="E11" s="17"/>
      <c r="F11" s="18"/>
      <c r="G11" s="18"/>
      <c r="H11" s="19"/>
      <c r="I11" s="19"/>
    </row>
    <row r="12" spans="1:9" ht="15.6">
      <c r="A12" s="2"/>
      <c r="B12" s="2"/>
      <c r="C12" s="2"/>
      <c r="D12" s="2"/>
      <c r="E12" s="3"/>
      <c r="F12" s="2"/>
      <c r="G12" s="2"/>
      <c r="H12" s="2"/>
      <c r="I12" s="2"/>
    </row>
    <row r="13" spans="1:9" ht="15.6">
      <c r="A13" s="2"/>
      <c r="B13" s="2"/>
      <c r="C13" s="2"/>
      <c r="D13" s="2"/>
      <c r="E13" s="3"/>
      <c r="F13" s="2"/>
      <c r="G13" s="2"/>
      <c r="H13" s="2"/>
      <c r="I13" s="2"/>
    </row>
    <row r="14" spans="1:9" ht="15.6">
      <c r="A14" s="2"/>
      <c r="G14" s="2"/>
      <c r="H14" s="2"/>
      <c r="I14" s="2"/>
    </row>
    <row r="15" spans="1:9" ht="15.6">
      <c r="A15" s="2"/>
      <c r="G15" s="2"/>
      <c r="H15" s="2"/>
      <c r="I15" s="2"/>
    </row>
    <row r="16" spans="1:9" ht="15.6">
      <c r="A16" s="2"/>
      <c r="G16" s="2"/>
      <c r="H16" s="2"/>
      <c r="I16" s="2"/>
    </row>
    <row r="17" spans="1:9" ht="15.6">
      <c r="A17" s="2"/>
      <c r="G17" s="2"/>
      <c r="H17" s="2"/>
      <c r="I17" s="2"/>
    </row>
    <row r="18" spans="1:9" ht="15.6">
      <c r="A18" s="2"/>
      <c r="B18" s="2"/>
      <c r="C18" s="2"/>
      <c r="D18" s="2"/>
      <c r="E18" s="3"/>
      <c r="F18" s="2"/>
      <c r="G18" s="2"/>
      <c r="H18" s="2"/>
      <c r="I18" s="2"/>
    </row>
    <row r="19" spans="1:9" ht="15.6">
      <c r="A19" s="2"/>
      <c r="B19" s="2"/>
      <c r="C19" s="2"/>
      <c r="D19" s="2"/>
      <c r="E19" s="3"/>
      <c r="F19" s="2"/>
      <c r="G19" s="2"/>
      <c r="H19" s="2"/>
      <c r="I19" s="2"/>
    </row>
    <row r="20" spans="1:9" ht="15.6">
      <c r="A20" s="2"/>
      <c r="C20" s="2"/>
      <c r="D20" s="2"/>
      <c r="E20" s="3"/>
      <c r="F20" s="2"/>
      <c r="G20" s="2"/>
      <c r="H20" s="2"/>
      <c r="I20" s="2"/>
    </row>
    <row r="21" spans="1:9" ht="15.6">
      <c r="A21" s="2"/>
      <c r="B21" s="2"/>
      <c r="C21" s="2"/>
      <c r="D21" s="2"/>
      <c r="E21" s="3"/>
      <c r="F21" s="2"/>
      <c r="G21" s="2"/>
      <c r="H21" s="2"/>
      <c r="I21" s="2"/>
    </row>
    <row r="22" spans="1:9" ht="15.6">
      <c r="A22" s="2"/>
      <c r="B22" s="2"/>
      <c r="C22" s="2"/>
      <c r="D22" s="2"/>
      <c r="E22" s="3"/>
      <c r="F22" s="2"/>
      <c r="G22" s="2"/>
      <c r="H22" s="2"/>
      <c r="I22" s="2"/>
    </row>
    <row r="23" spans="1:9" ht="15.6">
      <c r="A23" s="2"/>
      <c r="B23" s="2"/>
      <c r="C23" s="2"/>
      <c r="D23" s="2"/>
      <c r="E23" s="3"/>
      <c r="F23" s="2"/>
      <c r="G23" s="2"/>
      <c r="H23" s="2"/>
      <c r="I23" s="2"/>
    </row>
    <row r="24" spans="1:9" ht="15.6">
      <c r="A24" s="2"/>
      <c r="B24" s="2"/>
      <c r="C24" s="2"/>
      <c r="D24" s="2"/>
      <c r="E24" s="3"/>
      <c r="F24" s="2"/>
      <c r="G24" s="2"/>
      <c r="H24" s="2"/>
      <c r="I24" s="2"/>
    </row>
    <row r="25" spans="1:9" ht="15.6">
      <c r="A25" s="2"/>
      <c r="B25" s="2"/>
      <c r="C25" s="2"/>
      <c r="D25" s="2"/>
      <c r="E25" s="3"/>
      <c r="F25" s="2"/>
      <c r="G25" s="2"/>
      <c r="H25" s="2"/>
      <c r="I25" s="2"/>
    </row>
    <row r="26" spans="1:9" ht="15.6">
      <c r="A26" s="2"/>
      <c r="B26" s="2"/>
      <c r="C26" s="2"/>
      <c r="D26" s="2"/>
      <c r="E26" s="3"/>
      <c r="F26" s="2"/>
      <c r="G26" s="2"/>
      <c r="H26" s="2"/>
      <c r="I26" s="2"/>
    </row>
    <row r="27" spans="1:9" ht="15.6">
      <c r="A27" s="2"/>
      <c r="B27" s="2"/>
      <c r="C27" s="2"/>
      <c r="D27" s="2"/>
      <c r="E27" s="3"/>
      <c r="F27" s="2"/>
      <c r="G27" s="2"/>
      <c r="H27" s="2"/>
      <c r="I27" s="2"/>
    </row>
    <row r="28" spans="1:9" ht="15.6">
      <c r="A28" s="2"/>
      <c r="B28" s="2"/>
      <c r="C28" s="2"/>
      <c r="D28" s="2"/>
      <c r="E28" s="3"/>
      <c r="F28" s="2"/>
      <c r="G28" s="2"/>
      <c r="H28" s="2"/>
      <c r="I28" s="2"/>
    </row>
    <row r="29" spans="1:9" ht="15.6">
      <c r="A29" s="2"/>
      <c r="B29" s="2"/>
      <c r="C29" s="2"/>
      <c r="D29" s="2"/>
      <c r="E29" s="3"/>
      <c r="F29" s="2"/>
      <c r="G29" s="2"/>
      <c r="H29" s="2"/>
      <c r="I29" s="2"/>
    </row>
    <row r="30" spans="1:9" ht="15.6">
      <c r="A30" s="2"/>
      <c r="B30" s="2"/>
      <c r="C30" s="2"/>
      <c r="D30" s="2"/>
      <c r="E30" s="3"/>
      <c r="F30" s="2"/>
      <c r="G30" s="2"/>
      <c r="H30" s="2"/>
      <c r="I30" s="2"/>
    </row>
    <row r="31" spans="1:9" ht="15.6">
      <c r="A31" s="2"/>
      <c r="B31" s="2"/>
      <c r="C31" s="2"/>
      <c r="D31" s="2"/>
      <c r="E31" s="3"/>
      <c r="F31" s="2"/>
      <c r="G31" s="2"/>
      <c r="H31" s="2"/>
      <c r="I31" s="2"/>
    </row>
    <row r="32" spans="1:9" ht="15.6">
      <c r="A32" s="2"/>
      <c r="B32" s="2"/>
      <c r="C32" s="2"/>
      <c r="D32" s="2"/>
      <c r="E32" s="3"/>
      <c r="F32" s="2"/>
      <c r="G32" s="2"/>
      <c r="H32" s="2"/>
      <c r="I32" s="2"/>
    </row>
    <row r="33" spans="1:9" ht="15.6">
      <c r="A33" s="2"/>
      <c r="B33" s="2"/>
      <c r="C33" s="2"/>
      <c r="D33" s="2"/>
      <c r="E33" s="3"/>
      <c r="F33" s="2"/>
      <c r="G33" s="2"/>
      <c r="H33" s="2"/>
      <c r="I33" s="2"/>
    </row>
    <row r="34" spans="1:9" ht="15.6">
      <c r="A34" s="2"/>
      <c r="B34" s="2"/>
      <c r="C34" s="2"/>
      <c r="D34" s="2"/>
      <c r="E34" s="3"/>
      <c r="F34" s="2"/>
      <c r="G34" s="2"/>
      <c r="H34" s="2"/>
      <c r="I34" s="2"/>
    </row>
    <row r="35" spans="1:9" ht="15.6">
      <c r="A35" s="2"/>
      <c r="B35" s="2"/>
      <c r="C35" s="2"/>
      <c r="D35" s="2"/>
      <c r="E35" s="3"/>
      <c r="F35" s="2"/>
      <c r="G35" s="2"/>
      <c r="H35" s="2"/>
      <c r="I35" s="2"/>
    </row>
    <row r="36" spans="1:9" ht="15.6">
      <c r="A36" s="2"/>
      <c r="B36" s="2"/>
      <c r="C36" s="2"/>
      <c r="D36" s="2"/>
      <c r="E36" s="3"/>
      <c r="F36" s="2"/>
      <c r="G36" s="2"/>
      <c r="H36" s="2"/>
      <c r="I36" s="2"/>
    </row>
    <row r="37" spans="1:9" ht="15.6">
      <c r="A37" s="2"/>
      <c r="B37" s="2"/>
      <c r="C37" s="2"/>
      <c r="D37" s="2"/>
      <c r="E37" s="3"/>
      <c r="F37" s="2"/>
      <c r="G37" s="2"/>
      <c r="H37" s="2"/>
      <c r="I37" s="2"/>
    </row>
    <row r="38" spans="1:9" ht="15.6">
      <c r="A38" s="2"/>
      <c r="B38" s="2"/>
      <c r="C38" s="2"/>
      <c r="D38" s="2"/>
      <c r="E38" s="3"/>
      <c r="F38" s="2"/>
      <c r="G38" s="2"/>
      <c r="H38" s="2"/>
      <c r="I38" s="2"/>
    </row>
    <row r="39" spans="1:9" ht="15.6">
      <c r="A39" s="2"/>
      <c r="B39" s="2"/>
      <c r="C39" s="2"/>
      <c r="D39" s="2"/>
      <c r="E39" s="3"/>
      <c r="F39" s="2"/>
      <c r="G39" s="2"/>
      <c r="H39" s="2"/>
      <c r="I39" s="2"/>
    </row>
    <row r="40" spans="1:9" ht="15.6">
      <c r="A40" s="2"/>
      <c r="B40" s="2"/>
      <c r="C40" s="2"/>
      <c r="D40" s="2"/>
      <c r="E40" s="3"/>
      <c r="F40" s="2"/>
      <c r="G40" s="2"/>
      <c r="H40" s="2"/>
      <c r="I40" s="2"/>
    </row>
    <row r="41" spans="1:9" ht="15.6">
      <c r="A41" s="2"/>
      <c r="B41" s="2"/>
      <c r="C41" s="2"/>
      <c r="D41" s="2"/>
      <c r="E41" s="3"/>
      <c r="F41" s="2"/>
      <c r="G41" s="2"/>
      <c r="H41" s="2"/>
      <c r="I41" s="2"/>
    </row>
    <row r="42" spans="1:9" ht="15.6">
      <c r="A42" s="2"/>
      <c r="B42" s="2"/>
      <c r="C42" s="2"/>
      <c r="D42" s="2"/>
      <c r="E42" s="3"/>
      <c r="F42" s="2"/>
      <c r="G42" s="2"/>
      <c r="H42" s="2"/>
      <c r="I42" s="2"/>
    </row>
    <row r="43" spans="1:9" ht="15.6">
      <c r="A43" s="2"/>
      <c r="B43" s="2"/>
      <c r="C43" s="2"/>
      <c r="D43" s="2"/>
      <c r="E43" s="3"/>
      <c r="F43" s="2"/>
      <c r="G43" s="2"/>
      <c r="H43" s="2"/>
      <c r="I43" s="2"/>
    </row>
    <row r="44" spans="1:9" ht="15.6">
      <c r="A44" s="2"/>
      <c r="B44" s="2"/>
      <c r="C44" s="2"/>
      <c r="D44" s="2"/>
      <c r="E44" s="3"/>
      <c r="F44" s="2"/>
      <c r="G44" s="2"/>
      <c r="H44" s="2"/>
      <c r="I44" s="2"/>
    </row>
    <row r="45" spans="1:9" ht="15.6">
      <c r="A45" s="2"/>
      <c r="B45" s="2"/>
      <c r="C45" s="2"/>
      <c r="D45" s="2"/>
      <c r="E45" s="3"/>
      <c r="F45" s="2"/>
      <c r="G45" s="2"/>
      <c r="H45" s="2"/>
      <c r="I45" s="2"/>
    </row>
    <row r="46" spans="1:9" ht="15.6">
      <c r="A46" s="2"/>
      <c r="B46" s="2"/>
      <c r="C46" s="2"/>
      <c r="D46" s="2"/>
      <c r="E46" s="3"/>
      <c r="F46" s="2"/>
      <c r="G46" s="2"/>
      <c r="H46" s="2"/>
      <c r="I46" s="2"/>
    </row>
    <row r="47" spans="1:9" ht="15.6">
      <c r="A47" s="2"/>
      <c r="B47" s="2"/>
      <c r="C47" s="2"/>
      <c r="D47" s="2"/>
      <c r="E47" s="3"/>
      <c r="F47" s="2"/>
      <c r="G47" s="2"/>
      <c r="H47" s="2"/>
      <c r="I47" s="2"/>
    </row>
    <row r="48" spans="1:9" ht="15.6">
      <c r="A48" s="2"/>
      <c r="B48" s="2"/>
      <c r="C48" s="2"/>
      <c r="D48" s="2"/>
      <c r="E48" s="3"/>
      <c r="F48" s="2"/>
      <c r="G48" s="2"/>
      <c r="H48" s="2"/>
      <c r="I48" s="2"/>
    </row>
    <row r="49" spans="1:9" ht="15.6">
      <c r="A49" s="2"/>
      <c r="B49" s="2"/>
      <c r="C49" s="2"/>
      <c r="D49" s="2"/>
      <c r="E49" s="3"/>
      <c r="F49" s="2"/>
      <c r="G49" s="2"/>
      <c r="H49" s="2"/>
      <c r="I49" s="2"/>
    </row>
    <row r="50" spans="1:9" ht="15.6">
      <c r="A50" s="2"/>
      <c r="B50" s="2"/>
      <c r="C50" s="2"/>
      <c r="D50" s="2"/>
      <c r="E50" s="3"/>
      <c r="F50" s="2"/>
      <c r="G50" s="2"/>
      <c r="H50" s="2"/>
      <c r="I50" s="2"/>
    </row>
    <row r="51" spans="1:9" ht="15.6">
      <c r="A51" s="2"/>
      <c r="B51" s="2"/>
      <c r="C51" s="2"/>
      <c r="D51" s="2"/>
      <c r="E51" s="3"/>
      <c r="F51" s="2"/>
      <c r="G51" s="2"/>
      <c r="H51" s="2"/>
      <c r="I51" s="2"/>
    </row>
    <row r="52" spans="1:9" ht="15.6">
      <c r="A52" s="2"/>
      <c r="B52" s="2"/>
      <c r="C52" s="2"/>
      <c r="D52" s="2"/>
      <c r="E52" s="3"/>
      <c r="F52" s="2"/>
      <c r="G52" s="2"/>
      <c r="H52" s="2"/>
      <c r="I52" s="2"/>
    </row>
    <row r="53" spans="1:9" ht="15.6">
      <c r="A53" s="2"/>
      <c r="B53" s="2"/>
      <c r="C53" s="2"/>
      <c r="D53" s="2"/>
      <c r="E53" s="3"/>
      <c r="F53" s="2"/>
      <c r="G53" s="2"/>
      <c r="H53" s="2"/>
      <c r="I53" s="2"/>
    </row>
    <row r="54" spans="1:9" ht="15.6">
      <c r="A54" s="2"/>
      <c r="B54" s="2"/>
      <c r="C54" s="2"/>
      <c r="D54" s="2"/>
      <c r="E54" s="3"/>
      <c r="F54" s="2"/>
      <c r="G54" s="2"/>
      <c r="H54" s="2"/>
      <c r="I54" s="2"/>
    </row>
    <row r="55" spans="1:9" ht="15.6">
      <c r="A55" s="2"/>
      <c r="B55" s="2"/>
      <c r="C55" s="2"/>
      <c r="D55" s="2"/>
      <c r="E55" s="3"/>
      <c r="F55" s="2"/>
      <c r="G55" s="2"/>
      <c r="H55" s="2"/>
      <c r="I55" s="2"/>
    </row>
    <row r="56" spans="1:9" ht="15.6">
      <c r="A56" s="2"/>
      <c r="B56" s="2"/>
      <c r="C56" s="2"/>
      <c r="D56" s="2"/>
      <c r="E56" s="3"/>
      <c r="F56" s="2"/>
      <c r="G56" s="2"/>
      <c r="H56" s="2"/>
      <c r="I56" s="2"/>
    </row>
    <row r="57" spans="1:9" ht="15.6">
      <c r="A57" s="2"/>
      <c r="B57" s="2"/>
      <c r="C57" s="2"/>
      <c r="D57" s="2"/>
      <c r="E57" s="3"/>
      <c r="F57" s="2"/>
      <c r="G57" s="2"/>
      <c r="H57" s="2"/>
      <c r="I57" s="2"/>
    </row>
    <row r="58" spans="1:9" ht="15.6">
      <c r="A58" s="2"/>
      <c r="B58" s="2"/>
      <c r="C58" s="2"/>
      <c r="D58" s="2"/>
      <c r="E58" s="3"/>
      <c r="F58" s="2"/>
      <c r="G58" s="2"/>
      <c r="H58" s="2"/>
      <c r="I58" s="2"/>
    </row>
    <row r="59" spans="1:9" ht="15.6">
      <c r="A59" s="2"/>
      <c r="B59" s="2"/>
      <c r="C59" s="2"/>
      <c r="D59" s="2"/>
      <c r="E59" s="3"/>
      <c r="F59" s="2"/>
      <c r="G59" s="2"/>
      <c r="H59" s="2"/>
      <c r="I59" s="2"/>
    </row>
    <row r="60" spans="1:9" ht="15.6">
      <c r="A60" s="2"/>
      <c r="B60" s="2"/>
      <c r="C60" s="2"/>
      <c r="D60" s="2"/>
      <c r="E60" s="3"/>
      <c r="F60" s="2"/>
      <c r="G60" s="2"/>
      <c r="H60" s="2"/>
      <c r="I60" s="2"/>
    </row>
    <row r="61" spans="1:9" ht="15.6">
      <c r="A61" s="2"/>
      <c r="B61" s="2"/>
      <c r="C61" s="2"/>
      <c r="D61" s="2"/>
      <c r="E61" s="3"/>
      <c r="F61" s="2"/>
      <c r="G61" s="2"/>
      <c r="H61" s="2"/>
      <c r="I61" s="2"/>
    </row>
    <row r="62" spans="1:9" ht="15.6">
      <c r="A62" s="2"/>
      <c r="B62" s="2"/>
      <c r="C62" s="2"/>
      <c r="D62" s="2"/>
      <c r="E62" s="3"/>
      <c r="F62" s="2"/>
      <c r="G62" s="2"/>
      <c r="H62" s="2"/>
      <c r="I62" s="2"/>
    </row>
    <row r="63" spans="1:9" ht="15.6">
      <c r="A63" s="2"/>
      <c r="B63" s="2"/>
      <c r="C63" s="2"/>
      <c r="D63" s="2"/>
      <c r="E63" s="3"/>
      <c r="F63" s="2"/>
      <c r="G63" s="2"/>
      <c r="H63" s="2"/>
      <c r="I63" s="2"/>
    </row>
    <row r="64" spans="1:9" ht="15.6">
      <c r="A64" s="2"/>
      <c r="B64" s="2"/>
      <c r="C64" s="2"/>
      <c r="D64" s="2"/>
      <c r="E64" s="3"/>
      <c r="F64" s="2"/>
      <c r="G64" s="2"/>
      <c r="H64" s="2"/>
      <c r="I64" s="2"/>
    </row>
    <row r="65" spans="1:9" ht="15.6">
      <c r="A65" s="2"/>
      <c r="B65" s="2"/>
      <c r="C65" s="2"/>
      <c r="D65" s="2"/>
      <c r="E65" s="3"/>
      <c r="F65" s="2"/>
      <c r="G65" s="2"/>
      <c r="H65" s="2"/>
      <c r="I65" s="2"/>
    </row>
    <row r="66" spans="1:9" ht="15.6">
      <c r="A66" s="2"/>
      <c r="B66" s="2"/>
      <c r="C66" s="2"/>
      <c r="D66" s="2"/>
      <c r="E66" s="3"/>
      <c r="F66" s="2"/>
      <c r="G66" s="2"/>
      <c r="H66" s="2"/>
      <c r="I66" s="2"/>
    </row>
    <row r="67" spans="1:9" ht="15.6">
      <c r="A67" s="2"/>
      <c r="B67" s="2"/>
      <c r="C67" s="2"/>
      <c r="D67" s="2"/>
      <c r="E67" s="3"/>
      <c r="F67" s="2"/>
      <c r="G67" s="2"/>
      <c r="H67" s="2"/>
      <c r="I67" s="2"/>
    </row>
    <row r="68" spans="1:9" ht="15.6">
      <c r="A68" s="2"/>
      <c r="B68" s="2"/>
      <c r="C68" s="2"/>
      <c r="D68" s="2"/>
      <c r="E68" s="3"/>
      <c r="F68" s="2"/>
      <c r="G68" s="2"/>
      <c r="H68" s="2"/>
      <c r="I68" s="2"/>
    </row>
    <row r="69" spans="1:9" ht="15.6">
      <c r="A69" s="2"/>
      <c r="B69" s="2"/>
      <c r="C69" s="2"/>
      <c r="D69" s="2"/>
      <c r="E69" s="3"/>
      <c r="F69" s="2"/>
      <c r="G69" s="2"/>
      <c r="H69" s="2"/>
      <c r="I69" s="2"/>
    </row>
    <row r="70" spans="1:9" ht="15.6">
      <c r="A70" s="2"/>
      <c r="B70" s="2"/>
      <c r="C70" s="2"/>
      <c r="D70" s="2"/>
      <c r="E70" s="3"/>
      <c r="F70" s="2"/>
      <c r="G70" s="2"/>
      <c r="H70" s="2"/>
      <c r="I70" s="2"/>
    </row>
    <row r="71" spans="1:9" ht="15.6">
      <c r="A71" s="2"/>
      <c r="B71" s="2"/>
      <c r="C71" s="2"/>
      <c r="D71" s="2"/>
      <c r="E71" s="3"/>
      <c r="F71" s="2"/>
      <c r="G71" s="2"/>
      <c r="H71" s="2"/>
      <c r="I71" s="2"/>
    </row>
    <row r="72" spans="1:9" ht="15.6">
      <c r="A72" s="2"/>
      <c r="B72" s="2"/>
      <c r="C72" s="2"/>
      <c r="D72" s="2"/>
      <c r="E72" s="3"/>
      <c r="F72" s="2"/>
      <c r="G72" s="2"/>
      <c r="H72" s="2"/>
      <c r="I72" s="2"/>
    </row>
    <row r="73" spans="1:9" ht="15.6">
      <c r="A73" s="2"/>
      <c r="B73" s="2"/>
      <c r="C73" s="2"/>
      <c r="D73" s="2"/>
      <c r="E73" s="3"/>
      <c r="F73" s="2"/>
      <c r="G73" s="2"/>
      <c r="H73" s="2"/>
      <c r="I73" s="2"/>
    </row>
    <row r="74" spans="1:9" ht="15.6">
      <c r="A74" s="2"/>
      <c r="B74" s="2"/>
      <c r="C74" s="2"/>
      <c r="D74" s="2"/>
      <c r="E74" s="3"/>
      <c r="F74" s="2"/>
      <c r="G74" s="2"/>
      <c r="H74" s="2"/>
      <c r="I74" s="2"/>
    </row>
    <row r="75" spans="1:9" ht="15.6">
      <c r="A75" s="2"/>
      <c r="B75" s="2"/>
      <c r="C75" s="2"/>
      <c r="D75" s="2"/>
      <c r="E75" s="3"/>
      <c r="F75" s="2"/>
      <c r="G75" s="2"/>
      <c r="H75" s="2"/>
      <c r="I75" s="2"/>
    </row>
    <row r="76" spans="1:9" ht="15.6">
      <c r="A76" s="2"/>
      <c r="B76" s="2"/>
      <c r="C76" s="2"/>
      <c r="D76" s="2"/>
      <c r="E76" s="3"/>
      <c r="F76" s="2"/>
      <c r="G76" s="2"/>
      <c r="H76" s="2"/>
      <c r="I76" s="2"/>
    </row>
    <row r="77" spans="1:9" ht="15.6">
      <c r="A77" s="2"/>
      <c r="B77" s="2"/>
      <c r="C77" s="2"/>
      <c r="D77" s="2"/>
      <c r="E77" s="3"/>
      <c r="F77" s="2"/>
      <c r="G77" s="2"/>
      <c r="H77" s="2"/>
      <c r="I77" s="2"/>
    </row>
    <row r="78" spans="1:9" ht="15.6">
      <c r="A78" s="2"/>
      <c r="B78" s="2"/>
      <c r="C78" s="2"/>
      <c r="D78" s="2"/>
      <c r="E78" s="3"/>
      <c r="F78" s="2"/>
      <c r="G78" s="2"/>
      <c r="H78" s="2"/>
      <c r="I78" s="2"/>
    </row>
    <row r="79" spans="1:9" ht="15.6">
      <c r="A79" s="2"/>
      <c r="B79" s="2"/>
      <c r="C79" s="2"/>
      <c r="D79" s="2"/>
      <c r="E79" s="3"/>
      <c r="F79" s="2"/>
      <c r="G79" s="2"/>
      <c r="H79" s="2"/>
      <c r="I79" s="2"/>
    </row>
    <row r="80" spans="1:9" ht="15.6">
      <c r="A80" s="2"/>
      <c r="B80" s="2"/>
      <c r="C80" s="2"/>
      <c r="D80" s="2"/>
      <c r="E80" s="3"/>
      <c r="F80" s="2"/>
      <c r="G80" s="2"/>
      <c r="H80" s="2"/>
      <c r="I80" s="2"/>
    </row>
    <row r="81" spans="1:9" ht="15.6">
      <c r="A81" s="2"/>
      <c r="B81" s="2"/>
      <c r="C81" s="2"/>
      <c r="D81" s="2"/>
      <c r="E81" s="3"/>
      <c r="F81" s="2"/>
      <c r="G81" s="2"/>
      <c r="H81" s="2"/>
      <c r="I81" s="2"/>
    </row>
    <row r="82" spans="1:9" ht="15.6">
      <c r="A82" s="2"/>
      <c r="B82" s="2"/>
      <c r="C82" s="2"/>
      <c r="D82" s="2"/>
      <c r="E82" s="3"/>
      <c r="F82" s="2"/>
      <c r="G82" s="2"/>
      <c r="H82" s="2"/>
      <c r="I82" s="2"/>
    </row>
    <row r="83" spans="1:9" ht="15.6">
      <c r="A83" s="2"/>
      <c r="B83" s="2"/>
      <c r="C83" s="2"/>
      <c r="D83" s="2"/>
      <c r="E83" s="3"/>
      <c r="F83" s="2"/>
      <c r="G83" s="2"/>
      <c r="H83" s="2"/>
      <c r="I83" s="2"/>
    </row>
    <row r="84" spans="1:9" ht="15.6">
      <c r="A84" s="2"/>
      <c r="B84" s="2"/>
      <c r="C84" s="2"/>
      <c r="D84" s="2"/>
      <c r="E84" s="3"/>
      <c r="F84" s="2"/>
      <c r="G84" s="2"/>
      <c r="H84" s="2"/>
      <c r="I84" s="2"/>
    </row>
    <row r="85" spans="1:9" ht="15.6">
      <c r="A85" s="2"/>
      <c r="B85" s="2"/>
      <c r="C85" s="2"/>
      <c r="D85" s="2"/>
      <c r="E85" s="3"/>
      <c r="F85" s="2"/>
      <c r="G85" s="2"/>
      <c r="H85" s="2"/>
      <c r="I85" s="2"/>
    </row>
    <row r="86" spans="1:9" ht="15.6">
      <c r="A86" s="2"/>
      <c r="B86" s="2"/>
      <c r="C86" s="2"/>
      <c r="D86" s="2"/>
      <c r="E86" s="3"/>
      <c r="F86" s="2"/>
      <c r="G86" s="2"/>
      <c r="H86" s="2"/>
      <c r="I86" s="2"/>
    </row>
    <row r="87" spans="1:9" ht="15.6">
      <c r="A87" s="2"/>
      <c r="B87" s="2"/>
      <c r="C87" s="2"/>
      <c r="D87" s="2"/>
      <c r="E87" s="3"/>
      <c r="F87" s="2"/>
      <c r="G87" s="2"/>
      <c r="H87" s="2"/>
      <c r="I87" s="2"/>
    </row>
    <row r="88" spans="1:9" ht="15.6">
      <c r="A88" s="2"/>
      <c r="B88" s="2"/>
      <c r="C88" s="2"/>
      <c r="D88" s="2"/>
      <c r="E88" s="3"/>
      <c r="F88" s="2"/>
      <c r="G88" s="2"/>
      <c r="H88" s="2"/>
      <c r="I88" s="2"/>
    </row>
    <row r="89" spans="1:9" ht="15.6">
      <c r="A89" s="2"/>
      <c r="B89" s="2"/>
      <c r="C89" s="2"/>
      <c r="D89" s="2"/>
      <c r="E89" s="3"/>
      <c r="F89" s="2"/>
      <c r="G89" s="2"/>
      <c r="H89" s="2"/>
      <c r="I89" s="2"/>
    </row>
    <row r="90" spans="1:9" ht="15.6">
      <c r="A90" s="2"/>
      <c r="B90" s="2"/>
      <c r="C90" s="2"/>
      <c r="D90" s="2"/>
      <c r="E90" s="3"/>
      <c r="F90" s="2"/>
      <c r="G90" s="2"/>
      <c r="H90" s="2"/>
      <c r="I90" s="2"/>
    </row>
    <row r="91" spans="1:9" ht="15.6">
      <c r="A91" s="2"/>
      <c r="B91" s="2"/>
      <c r="C91" s="2"/>
      <c r="D91" s="2"/>
      <c r="E91" s="3"/>
      <c r="F91" s="2"/>
      <c r="G91" s="2"/>
      <c r="H91" s="2"/>
      <c r="I91" s="2"/>
    </row>
    <row r="92" spans="1:9" ht="15.6">
      <c r="A92" s="2"/>
      <c r="B92" s="2"/>
      <c r="C92" s="2"/>
      <c r="D92" s="2"/>
      <c r="E92" s="3"/>
      <c r="F92" s="2"/>
      <c r="G92" s="2"/>
      <c r="H92" s="2"/>
      <c r="I92" s="2"/>
    </row>
    <row r="93" spans="1:9" ht="15.6">
      <c r="A93" s="2"/>
      <c r="B93" s="2"/>
      <c r="C93" s="2"/>
      <c r="D93" s="2"/>
      <c r="E93" s="3"/>
      <c r="F93" s="2"/>
      <c r="G93" s="2"/>
      <c r="H93" s="2"/>
      <c r="I93" s="2"/>
    </row>
    <row r="94" spans="1:9" ht="15.6">
      <c r="A94" s="2"/>
      <c r="B94" s="2"/>
      <c r="C94" s="2"/>
      <c r="D94" s="2"/>
      <c r="E94" s="3"/>
      <c r="F94" s="2"/>
      <c r="G94" s="2"/>
      <c r="H94" s="2"/>
      <c r="I94" s="2"/>
    </row>
    <row r="95" spans="1:9" ht="15.6">
      <c r="A95" s="2"/>
      <c r="B95" s="2"/>
      <c r="C95" s="2"/>
      <c r="D95" s="2"/>
      <c r="E95" s="3"/>
      <c r="F95" s="2"/>
      <c r="G95" s="2"/>
      <c r="H95" s="2"/>
      <c r="I95" s="2"/>
    </row>
    <row r="96" spans="1:9" ht="15.6">
      <c r="A96" s="2"/>
      <c r="B96" s="2"/>
      <c r="C96" s="2"/>
      <c r="D96" s="2"/>
      <c r="E96" s="3"/>
      <c r="F96" s="2"/>
      <c r="G96" s="2"/>
      <c r="H96" s="2"/>
      <c r="I96" s="2"/>
    </row>
    <row r="97" spans="1:9" ht="15.6">
      <c r="A97" s="2"/>
      <c r="B97" s="2"/>
      <c r="C97" s="2"/>
      <c r="D97" s="2"/>
      <c r="E97" s="3"/>
      <c r="F97" s="2"/>
      <c r="G97" s="2"/>
      <c r="H97" s="2"/>
      <c r="I97" s="2"/>
    </row>
    <row r="98" spans="1:9" ht="15.6">
      <c r="A98" s="2"/>
      <c r="B98" s="2"/>
      <c r="C98" s="2"/>
      <c r="D98" s="2"/>
      <c r="E98" s="3"/>
      <c r="F98" s="2"/>
      <c r="G98" s="2"/>
      <c r="H98" s="2"/>
      <c r="I98" s="2"/>
    </row>
    <row r="99" spans="1:9" ht="15.6">
      <c r="A99" s="2"/>
      <c r="B99" s="2"/>
      <c r="C99" s="2"/>
      <c r="D99" s="2"/>
      <c r="E99" s="3"/>
      <c r="F99" s="2"/>
      <c r="G99" s="2"/>
      <c r="H99" s="2"/>
      <c r="I99" s="2"/>
    </row>
    <row r="100" spans="1:9" ht="15.6">
      <c r="A100" s="2"/>
      <c r="B100" s="2"/>
      <c r="C100" s="2"/>
      <c r="D100" s="2"/>
      <c r="E100" s="3"/>
      <c r="F100" s="2"/>
      <c r="G100" s="2"/>
      <c r="H100" s="2"/>
      <c r="I100" s="2"/>
    </row>
    <row r="101" spans="1:9" ht="15.6">
      <c r="A101" s="2"/>
      <c r="B101" s="2"/>
      <c r="C101" s="2"/>
      <c r="D101" s="2"/>
      <c r="E101" s="3"/>
      <c r="F101" s="2"/>
      <c r="G101" s="2"/>
      <c r="H101" s="2"/>
      <c r="I101" s="2"/>
    </row>
    <row r="102" spans="1:9" ht="15.6">
      <c r="A102" s="2"/>
      <c r="B102" s="2"/>
      <c r="C102" s="2"/>
      <c r="D102" s="2"/>
      <c r="E102" s="3"/>
      <c r="F102" s="2"/>
      <c r="G102" s="2"/>
      <c r="H102" s="2"/>
      <c r="I102" s="2"/>
    </row>
    <row r="103" spans="1:9" ht="15.6">
      <c r="A103" s="2"/>
      <c r="B103" s="2"/>
      <c r="C103" s="2"/>
      <c r="D103" s="2"/>
      <c r="E103" s="3"/>
      <c r="F103" s="2"/>
      <c r="G103" s="2"/>
      <c r="H103" s="2"/>
      <c r="I103" s="2"/>
    </row>
    <row r="104" spans="1:9" ht="15.6">
      <c r="A104" s="2"/>
      <c r="B104" s="2"/>
      <c r="C104" s="2"/>
      <c r="D104" s="2"/>
      <c r="E104" s="3"/>
      <c r="F104" s="2"/>
      <c r="G104" s="2"/>
      <c r="H104" s="2"/>
      <c r="I104" s="2"/>
    </row>
    <row r="105" spans="1:9" ht="15.6">
      <c r="A105" s="2"/>
      <c r="B105" s="2"/>
      <c r="C105" s="2"/>
      <c r="D105" s="2"/>
      <c r="E105" s="3"/>
      <c r="F105" s="2"/>
      <c r="G105" s="2"/>
      <c r="H105" s="2"/>
      <c r="I105" s="2"/>
    </row>
    <row r="106" spans="1:9" ht="15.6">
      <c r="A106" s="2"/>
      <c r="B106" s="2"/>
      <c r="C106" s="2"/>
      <c r="D106" s="2"/>
      <c r="E106" s="3"/>
      <c r="F106" s="2"/>
      <c r="G106" s="2"/>
      <c r="H106" s="2"/>
      <c r="I106" s="2"/>
    </row>
    <row r="107" spans="1:9" ht="15.6">
      <c r="A107" s="2"/>
      <c r="B107" s="2"/>
      <c r="C107" s="2"/>
      <c r="D107" s="2"/>
      <c r="E107" s="3"/>
      <c r="F107" s="2"/>
      <c r="G107" s="2"/>
      <c r="H107" s="2"/>
      <c r="I107" s="2"/>
    </row>
    <row r="108" spans="1:9" ht="15.6">
      <c r="A108" s="2"/>
      <c r="B108" s="2"/>
      <c r="C108" s="2"/>
      <c r="D108" s="2"/>
      <c r="E108" s="3"/>
      <c r="F108" s="2"/>
      <c r="G108" s="2"/>
      <c r="H108" s="2"/>
      <c r="I108" s="2"/>
    </row>
    <row r="109" spans="1:9" ht="15.6">
      <c r="A109" s="2"/>
      <c r="B109" s="2"/>
      <c r="C109" s="2"/>
      <c r="D109" s="2"/>
      <c r="E109" s="3"/>
      <c r="F109" s="2"/>
      <c r="G109" s="2"/>
      <c r="H109" s="2"/>
      <c r="I109" s="2"/>
    </row>
    <row r="110" spans="1:9" ht="15.6">
      <c r="A110" s="2"/>
      <c r="B110" s="2"/>
      <c r="C110" s="2"/>
      <c r="D110" s="2"/>
      <c r="E110" s="3"/>
      <c r="F110" s="2"/>
      <c r="G110" s="2"/>
      <c r="H110" s="2"/>
      <c r="I110" s="2"/>
    </row>
    <row r="111" spans="1:9" ht="15.6">
      <c r="A111" s="2"/>
      <c r="B111" s="2"/>
      <c r="C111" s="2"/>
      <c r="D111" s="2"/>
      <c r="E111" s="3"/>
      <c r="F111" s="2"/>
      <c r="G111" s="2"/>
      <c r="H111" s="2"/>
      <c r="I111" s="2"/>
    </row>
    <row r="112" spans="1:9" ht="15.6">
      <c r="A112" s="2"/>
      <c r="B112" s="2"/>
      <c r="C112" s="2"/>
      <c r="D112" s="2"/>
      <c r="E112" s="3"/>
      <c r="F112" s="2"/>
      <c r="G112" s="2"/>
      <c r="H112" s="2"/>
      <c r="I112" s="2"/>
    </row>
    <row r="113" spans="1:9" ht="15.6">
      <c r="A113" s="2"/>
      <c r="B113" s="2"/>
      <c r="C113" s="2"/>
      <c r="D113" s="2"/>
      <c r="E113" s="3"/>
      <c r="F113" s="2"/>
      <c r="G113" s="2"/>
      <c r="H113" s="2"/>
      <c r="I113" s="2"/>
    </row>
    <row r="114" spans="1:9" ht="15.6">
      <c r="A114" s="2"/>
      <c r="B114" s="2"/>
      <c r="C114" s="2"/>
      <c r="D114" s="2"/>
      <c r="E114" s="3"/>
      <c r="F114" s="2"/>
      <c r="G114" s="2"/>
      <c r="H114" s="2"/>
      <c r="I114" s="2"/>
    </row>
    <row r="115" spans="1:9" ht="15.6">
      <c r="A115" s="2"/>
      <c r="B115" s="2"/>
      <c r="C115" s="2"/>
      <c r="D115" s="2"/>
      <c r="E115" s="3"/>
      <c r="F115" s="2"/>
      <c r="G115" s="2"/>
      <c r="H115" s="2"/>
      <c r="I115" s="2"/>
    </row>
    <row r="116" spans="1:9" ht="15.6">
      <c r="A116" s="2"/>
      <c r="B116" s="2"/>
      <c r="C116" s="2"/>
      <c r="D116" s="2"/>
      <c r="E116" s="3"/>
      <c r="F116" s="2"/>
      <c r="G116" s="2"/>
      <c r="H116" s="2"/>
      <c r="I116" s="2"/>
    </row>
    <row r="117" spans="1:9" ht="15.6">
      <c r="A117" s="2"/>
      <c r="B117" s="2"/>
      <c r="C117" s="2"/>
      <c r="D117" s="2"/>
      <c r="E117" s="3"/>
      <c r="F117" s="2"/>
      <c r="G117" s="2"/>
      <c r="H117" s="2"/>
      <c r="I117" s="2"/>
    </row>
    <row r="118" spans="1:9" ht="15.6">
      <c r="A118" s="2"/>
      <c r="B118" s="2"/>
      <c r="C118" s="2"/>
      <c r="D118" s="2"/>
      <c r="E118" s="3"/>
      <c r="F118" s="2"/>
      <c r="G118" s="2"/>
      <c r="H118" s="2"/>
      <c r="I118" s="2"/>
    </row>
    <row r="119" spans="1:9" ht="15.6">
      <c r="A119" s="2"/>
      <c r="B119" s="2"/>
      <c r="C119" s="2"/>
      <c r="D119" s="2"/>
      <c r="E119" s="3"/>
      <c r="F119" s="2"/>
      <c r="G119" s="2"/>
      <c r="H119" s="2"/>
      <c r="I119" s="2"/>
    </row>
    <row r="120" spans="1:9" ht="15.6">
      <c r="A120" s="2"/>
      <c r="B120" s="2"/>
      <c r="C120" s="2"/>
      <c r="D120" s="2"/>
      <c r="E120" s="3"/>
      <c r="F120" s="2"/>
      <c r="G120" s="2"/>
      <c r="H120" s="2"/>
      <c r="I120" s="2"/>
    </row>
    <row r="121" spans="1:9" ht="15.6">
      <c r="A121" s="2"/>
      <c r="B121" s="2"/>
      <c r="C121" s="2"/>
      <c r="D121" s="2"/>
      <c r="E121" s="3"/>
      <c r="F121" s="2"/>
      <c r="G121" s="2"/>
      <c r="H121" s="2"/>
      <c r="I121" s="2"/>
    </row>
    <row r="122" spans="1:9" ht="15.6">
      <c r="A122" s="2"/>
      <c r="B122" s="2"/>
      <c r="C122" s="2"/>
      <c r="D122" s="2"/>
      <c r="E122" s="3"/>
      <c r="F122" s="2"/>
      <c r="G122" s="2"/>
      <c r="H122" s="2"/>
      <c r="I122" s="2"/>
    </row>
    <row r="123" spans="1:9" ht="15.6">
      <c r="A123" s="2"/>
      <c r="B123" s="2"/>
      <c r="C123" s="2"/>
      <c r="D123" s="2"/>
      <c r="E123" s="3"/>
      <c r="F123" s="2"/>
      <c r="G123" s="2"/>
      <c r="H123" s="2"/>
      <c r="I123" s="2"/>
    </row>
    <row r="124" spans="1:9" ht="15.6">
      <c r="A124" s="2"/>
      <c r="B124" s="2"/>
      <c r="C124" s="2"/>
      <c r="D124" s="2"/>
      <c r="E124" s="3"/>
      <c r="F124" s="2"/>
      <c r="G124" s="2"/>
      <c r="H124" s="2"/>
      <c r="I124" s="2"/>
    </row>
    <row r="125" spans="1:9" ht="15.6">
      <c r="A125" s="2"/>
      <c r="B125" s="2"/>
      <c r="C125" s="2"/>
      <c r="D125" s="2"/>
      <c r="E125" s="3"/>
      <c r="F125" s="2"/>
      <c r="G125" s="2"/>
      <c r="H125" s="2"/>
      <c r="I125" s="2"/>
    </row>
    <row r="126" spans="1:9" ht="15.6">
      <c r="A126" s="2"/>
      <c r="B126" s="2"/>
      <c r="C126" s="2"/>
      <c r="D126" s="2"/>
      <c r="E126" s="3"/>
      <c r="F126" s="2"/>
      <c r="G126" s="2"/>
      <c r="H126" s="2"/>
      <c r="I126" s="2"/>
    </row>
    <row r="127" spans="1:9" ht="15.6">
      <c r="A127" s="2"/>
      <c r="B127" s="2"/>
      <c r="C127" s="2"/>
      <c r="D127" s="2"/>
      <c r="E127" s="3"/>
      <c r="F127" s="2"/>
      <c r="G127" s="2"/>
      <c r="H127" s="2"/>
      <c r="I127" s="2"/>
    </row>
    <row r="128" spans="1:9" ht="15.6">
      <c r="A128" s="2"/>
      <c r="B128" s="2"/>
      <c r="C128" s="2"/>
      <c r="D128" s="2"/>
      <c r="E128" s="3"/>
      <c r="F128" s="2"/>
      <c r="G128" s="2"/>
      <c r="H128" s="2"/>
      <c r="I128" s="2"/>
    </row>
    <row r="129" spans="1:9" ht="15.6">
      <c r="A129" s="2"/>
      <c r="B129" s="2"/>
      <c r="C129" s="2"/>
      <c r="D129" s="2"/>
      <c r="E129" s="3"/>
      <c r="F129" s="2"/>
      <c r="G129" s="2"/>
      <c r="H129" s="2"/>
      <c r="I129" s="2"/>
    </row>
    <row r="130" spans="1:9" ht="15.6">
      <c r="A130" s="2"/>
      <c r="B130" s="2"/>
      <c r="C130" s="2"/>
      <c r="D130" s="2"/>
      <c r="E130" s="3"/>
      <c r="F130" s="2"/>
      <c r="G130" s="2"/>
      <c r="H130" s="2"/>
      <c r="I130" s="2"/>
    </row>
    <row r="131" spans="1:9" ht="15.6">
      <c r="A131" s="2"/>
      <c r="B131" s="2"/>
      <c r="C131" s="2"/>
      <c r="D131" s="2"/>
      <c r="E131" s="3"/>
      <c r="F131" s="2"/>
      <c r="G131" s="2"/>
      <c r="H131" s="2"/>
      <c r="I131" s="2"/>
    </row>
    <row r="132" spans="1:9" ht="15.6">
      <c r="A132" s="2"/>
      <c r="B132" s="2"/>
      <c r="C132" s="2"/>
      <c r="D132" s="2"/>
      <c r="E132" s="3"/>
      <c r="F132" s="2"/>
      <c r="G132" s="2"/>
      <c r="H132" s="2"/>
      <c r="I132" s="2"/>
    </row>
    <row r="133" spans="1:9" ht="15.6">
      <c r="A133" s="2"/>
      <c r="B133" s="2"/>
      <c r="C133" s="2"/>
      <c r="D133" s="2"/>
      <c r="E133" s="3"/>
      <c r="F133" s="2"/>
      <c r="G133" s="2"/>
      <c r="H133" s="2"/>
      <c r="I133" s="2"/>
    </row>
    <row r="134" spans="1:9" ht="15.6">
      <c r="A134" s="2"/>
      <c r="B134" s="2"/>
      <c r="C134" s="2"/>
      <c r="D134" s="2"/>
      <c r="E134" s="3"/>
      <c r="F134" s="2"/>
      <c r="G134" s="2"/>
      <c r="H134" s="2"/>
      <c r="I134" s="2"/>
    </row>
    <row r="135" spans="1:9" ht="15.6">
      <c r="A135" s="2"/>
      <c r="B135" s="2"/>
      <c r="C135" s="2"/>
      <c r="D135" s="2"/>
      <c r="E135" s="3"/>
      <c r="F135" s="2"/>
      <c r="G135" s="2"/>
      <c r="H135" s="2"/>
      <c r="I135" s="2"/>
    </row>
    <row r="136" spans="1:9" ht="15.6">
      <c r="A136" s="2"/>
      <c r="B136" s="2"/>
      <c r="C136" s="2"/>
      <c r="D136" s="2"/>
      <c r="E136" s="3"/>
      <c r="F136" s="2"/>
      <c r="G136" s="2"/>
      <c r="H136" s="2"/>
      <c r="I136" s="2"/>
    </row>
    <row r="137" spans="1:9" ht="15.6">
      <c r="A137" s="2"/>
      <c r="B137" s="2"/>
      <c r="C137" s="2"/>
      <c r="D137" s="2"/>
      <c r="E137" s="3"/>
      <c r="F137" s="2"/>
      <c r="G137" s="2"/>
      <c r="H137" s="2"/>
      <c r="I137" s="2"/>
    </row>
    <row r="138" spans="1:9" ht="15.6">
      <c r="A138" s="2"/>
      <c r="B138" s="2"/>
      <c r="C138" s="2"/>
      <c r="D138" s="2"/>
      <c r="E138" s="3"/>
      <c r="F138" s="2"/>
      <c r="G138" s="2"/>
      <c r="H138" s="2"/>
      <c r="I138" s="2"/>
    </row>
    <row r="139" spans="1:9" ht="15.6">
      <c r="A139" s="2"/>
      <c r="B139" s="2"/>
      <c r="C139" s="2"/>
      <c r="D139" s="2"/>
      <c r="E139" s="3"/>
      <c r="F139" s="2"/>
      <c r="G139" s="2"/>
      <c r="H139" s="2"/>
      <c r="I139" s="2"/>
    </row>
    <row r="140" spans="1:9" ht="15.6">
      <c r="A140" s="2"/>
      <c r="B140" s="2"/>
      <c r="C140" s="2"/>
      <c r="D140" s="2"/>
      <c r="E140" s="3"/>
      <c r="F140" s="2"/>
      <c r="G140" s="2"/>
      <c r="H140" s="2"/>
      <c r="I140" s="2"/>
    </row>
    <row r="141" spans="1:9" ht="15.6">
      <c r="A141" s="2"/>
      <c r="B141" s="2"/>
      <c r="C141" s="2"/>
      <c r="D141" s="2"/>
      <c r="E141" s="3"/>
      <c r="F141" s="2"/>
      <c r="G141" s="2"/>
      <c r="H141" s="2"/>
      <c r="I141" s="2"/>
    </row>
    <row r="142" spans="1:9" ht="15.6">
      <c r="A142" s="2"/>
      <c r="B142" s="2"/>
      <c r="C142" s="2"/>
      <c r="D142" s="2"/>
      <c r="E142" s="3"/>
      <c r="F142" s="2"/>
      <c r="G142" s="2"/>
      <c r="H142" s="2"/>
      <c r="I142" s="2"/>
    </row>
    <row r="143" spans="1:9" ht="15.6">
      <c r="A143" s="2"/>
      <c r="B143" s="2"/>
      <c r="C143" s="2"/>
      <c r="D143" s="2"/>
      <c r="E143" s="3"/>
      <c r="F143" s="2"/>
      <c r="G143" s="2"/>
      <c r="H143" s="2"/>
      <c r="I143" s="2"/>
    </row>
    <row r="144" spans="1:9" ht="15.6">
      <c r="A144" s="2"/>
      <c r="B144" s="2"/>
      <c r="C144" s="2"/>
      <c r="D144" s="2"/>
      <c r="E144" s="3"/>
      <c r="F144" s="2"/>
      <c r="G144" s="2"/>
      <c r="H144" s="2"/>
      <c r="I144" s="2"/>
    </row>
    <row r="145" spans="1:9" ht="15.6">
      <c r="A145" s="2"/>
      <c r="B145" s="2"/>
      <c r="C145" s="2"/>
      <c r="D145" s="2"/>
      <c r="E145" s="3"/>
      <c r="F145" s="2"/>
      <c r="G145" s="2"/>
      <c r="H145" s="2"/>
      <c r="I145" s="2"/>
    </row>
    <row r="146" spans="1:9" ht="15.6">
      <c r="A146" s="2"/>
      <c r="B146" s="2"/>
      <c r="C146" s="2"/>
      <c r="D146" s="2"/>
      <c r="E146" s="3"/>
      <c r="F146" s="2"/>
      <c r="G146" s="2"/>
      <c r="H146" s="2"/>
      <c r="I146" s="2"/>
    </row>
    <row r="147" spans="1:9" ht="15.6">
      <c r="A147" s="2"/>
      <c r="B147" s="2"/>
      <c r="C147" s="2"/>
      <c r="D147" s="2"/>
      <c r="E147" s="3"/>
      <c r="F147" s="2"/>
      <c r="G147" s="2"/>
      <c r="H147" s="2"/>
      <c r="I147" s="2"/>
    </row>
    <row r="148" spans="1:9" ht="15.6">
      <c r="A148" s="2"/>
      <c r="B148" s="2"/>
      <c r="C148" s="2"/>
      <c r="D148" s="2"/>
      <c r="E148" s="3"/>
      <c r="F148" s="2"/>
      <c r="G148" s="2"/>
      <c r="H148" s="2"/>
      <c r="I148" s="2"/>
    </row>
    <row r="149" spans="1:9" ht="15.6">
      <c r="A149" s="2"/>
      <c r="B149" s="2"/>
      <c r="C149" s="2"/>
      <c r="D149" s="2"/>
      <c r="E149" s="3"/>
      <c r="F149" s="2"/>
      <c r="G149" s="2"/>
      <c r="H149" s="2"/>
      <c r="I149" s="2"/>
    </row>
    <row r="150" spans="1:9" ht="15.6">
      <c r="A150" s="2"/>
      <c r="B150" s="2"/>
      <c r="C150" s="2"/>
      <c r="D150" s="2"/>
      <c r="E150" s="3"/>
      <c r="F150" s="2"/>
      <c r="G150" s="2"/>
      <c r="H150" s="2"/>
      <c r="I150" s="2"/>
    </row>
    <row r="151" spans="1:9" ht="15.6">
      <c r="A151" s="2"/>
      <c r="B151" s="2"/>
      <c r="C151" s="2"/>
      <c r="D151" s="2"/>
      <c r="E151" s="3"/>
      <c r="F151" s="2"/>
      <c r="G151" s="2"/>
      <c r="H151" s="2"/>
      <c r="I151" s="2"/>
    </row>
    <row r="152" spans="1:9" ht="15.6">
      <c r="A152" s="2"/>
      <c r="B152" s="2"/>
      <c r="C152" s="2"/>
      <c r="D152" s="2"/>
      <c r="E152" s="3"/>
      <c r="F152" s="2"/>
      <c r="G152" s="2"/>
      <c r="H152" s="2"/>
      <c r="I152" s="2"/>
    </row>
    <row r="153" spans="1:9" ht="15.6">
      <c r="A153" s="2"/>
      <c r="B153" s="2"/>
      <c r="C153" s="2"/>
      <c r="D153" s="2"/>
      <c r="E153" s="3"/>
      <c r="F153" s="2"/>
      <c r="G153" s="2"/>
      <c r="H153" s="2"/>
      <c r="I153" s="2"/>
    </row>
    <row r="154" spans="1:9" ht="15.6">
      <c r="A154" s="2"/>
      <c r="B154" s="2"/>
      <c r="C154" s="2"/>
      <c r="D154" s="2"/>
      <c r="E154" s="3"/>
      <c r="F154" s="2"/>
      <c r="G154" s="2"/>
      <c r="H154" s="2"/>
      <c r="I154" s="2"/>
    </row>
    <row r="155" spans="1:9" ht="15.6">
      <c r="A155" s="2"/>
      <c r="B155" s="2"/>
      <c r="C155" s="2"/>
      <c r="D155" s="2"/>
      <c r="E155" s="3"/>
      <c r="F155" s="2"/>
      <c r="G155" s="2"/>
      <c r="H155" s="2"/>
      <c r="I155" s="2"/>
    </row>
    <row r="156" spans="1:9" ht="15.6">
      <c r="A156" s="2"/>
      <c r="B156" s="2"/>
      <c r="C156" s="2"/>
      <c r="D156" s="2"/>
      <c r="E156" s="3"/>
      <c r="F156" s="2"/>
      <c r="G156" s="2"/>
      <c r="H156" s="2"/>
      <c r="I156" s="2"/>
    </row>
    <row r="157" spans="1:9" ht="15.6">
      <c r="A157" s="2"/>
      <c r="B157" s="2"/>
      <c r="C157" s="2"/>
      <c r="D157" s="2"/>
      <c r="E157" s="3"/>
      <c r="F157" s="2"/>
      <c r="G157" s="2"/>
      <c r="H157" s="2"/>
      <c r="I157" s="2"/>
    </row>
    <row r="158" spans="1:9" ht="15.6">
      <c r="A158" s="2"/>
      <c r="B158" s="2"/>
      <c r="C158" s="2"/>
      <c r="D158" s="2"/>
      <c r="E158" s="3"/>
      <c r="F158" s="2"/>
      <c r="G158" s="2"/>
      <c r="H158" s="2"/>
      <c r="I158" s="2"/>
    </row>
    <row r="159" spans="1:9" ht="15.6">
      <c r="A159" s="2"/>
      <c r="B159" s="2"/>
      <c r="C159" s="2"/>
      <c r="D159" s="2"/>
      <c r="E159" s="3"/>
      <c r="F159" s="2"/>
      <c r="G159" s="2"/>
      <c r="H159" s="2"/>
      <c r="I159" s="2"/>
    </row>
    <row r="160" spans="1:9" ht="15.6">
      <c r="A160" s="2"/>
      <c r="B160" s="2"/>
      <c r="C160" s="2"/>
      <c r="D160" s="2"/>
      <c r="E160" s="3"/>
      <c r="F160" s="2"/>
      <c r="G160" s="2"/>
      <c r="H160" s="2"/>
      <c r="I160" s="2"/>
    </row>
    <row r="161" spans="1:9" ht="15.6">
      <c r="A161" s="2"/>
      <c r="B161" s="2"/>
      <c r="C161" s="2"/>
      <c r="D161" s="2"/>
      <c r="E161" s="3"/>
      <c r="F161" s="2"/>
      <c r="G161" s="2"/>
      <c r="H161" s="2"/>
      <c r="I161" s="2"/>
    </row>
    <row r="162" spans="1:9" ht="15.6">
      <c r="A162" s="2"/>
      <c r="B162" s="2"/>
      <c r="C162" s="2"/>
      <c r="D162" s="2"/>
      <c r="E162" s="3"/>
      <c r="F162" s="2"/>
      <c r="G162" s="2"/>
      <c r="H162" s="2"/>
      <c r="I162" s="2"/>
    </row>
    <row r="163" spans="1:9" ht="15.6">
      <c r="A163" s="2"/>
      <c r="B163" s="2"/>
      <c r="C163" s="2"/>
      <c r="D163" s="2"/>
      <c r="E163" s="3"/>
      <c r="F163" s="2"/>
      <c r="G163" s="2"/>
      <c r="H163" s="2"/>
      <c r="I163" s="2"/>
    </row>
    <row r="164" spans="1:9" ht="15.6">
      <c r="A164" s="2"/>
      <c r="B164" s="2"/>
      <c r="C164" s="2"/>
      <c r="D164" s="2"/>
      <c r="E164" s="3"/>
      <c r="F164" s="2"/>
      <c r="G164" s="2"/>
      <c r="H164" s="2"/>
      <c r="I164" s="2"/>
    </row>
    <row r="165" spans="1:9" ht="15.6">
      <c r="A165" s="2"/>
      <c r="B165" s="2"/>
      <c r="C165" s="2"/>
      <c r="D165" s="2"/>
      <c r="E165" s="3"/>
      <c r="F165" s="2"/>
      <c r="G165" s="2"/>
      <c r="H165" s="2"/>
      <c r="I165" s="2"/>
    </row>
    <row r="166" spans="1:9" ht="15.6">
      <c r="A166" s="2"/>
      <c r="B166" s="2"/>
      <c r="C166" s="2"/>
      <c r="D166" s="2"/>
      <c r="E166" s="3"/>
      <c r="F166" s="2"/>
      <c r="G166" s="2"/>
      <c r="H166" s="2"/>
      <c r="I166" s="2"/>
    </row>
    <row r="167" spans="1:9" ht="15.6">
      <c r="A167" s="2"/>
      <c r="B167" s="2"/>
      <c r="C167" s="2"/>
      <c r="D167" s="2"/>
      <c r="E167" s="3"/>
      <c r="F167" s="2"/>
      <c r="G167" s="2"/>
      <c r="H167" s="2"/>
      <c r="I167" s="2"/>
    </row>
    <row r="168" spans="1:9" ht="15.6">
      <c r="A168" s="2"/>
      <c r="B168" s="2"/>
      <c r="C168" s="2"/>
      <c r="D168" s="2"/>
      <c r="E168" s="3"/>
      <c r="F168" s="2"/>
      <c r="G168" s="2"/>
      <c r="H168" s="2"/>
      <c r="I168" s="2"/>
    </row>
    <row r="169" spans="1:9" ht="15.6">
      <c r="A169" s="2"/>
      <c r="B169" s="2"/>
      <c r="C169" s="2"/>
      <c r="D169" s="2"/>
      <c r="E169" s="3"/>
      <c r="F169" s="2"/>
      <c r="G169" s="2"/>
      <c r="H169" s="2"/>
      <c r="I169" s="2"/>
    </row>
    <row r="170" spans="1:9" ht="15.6">
      <c r="A170" s="2"/>
      <c r="B170" s="2"/>
      <c r="C170" s="2"/>
      <c r="D170" s="2"/>
      <c r="E170" s="3"/>
      <c r="F170" s="2"/>
      <c r="G170" s="2"/>
      <c r="H170" s="2"/>
      <c r="I170" s="2"/>
    </row>
    <row r="171" spans="1:9" ht="15.6">
      <c r="A171" s="2"/>
      <c r="B171" s="2"/>
      <c r="C171" s="2"/>
      <c r="D171" s="2"/>
      <c r="E171" s="3"/>
      <c r="F171" s="2"/>
      <c r="G171" s="2"/>
      <c r="H171" s="2"/>
      <c r="I171" s="2"/>
    </row>
    <row r="172" spans="1:9" ht="15.6">
      <c r="A172" s="2"/>
      <c r="B172" s="2"/>
      <c r="C172" s="2"/>
      <c r="D172" s="2"/>
      <c r="E172" s="3"/>
      <c r="F172" s="2"/>
      <c r="G172" s="2"/>
      <c r="H172" s="2"/>
      <c r="I172" s="2"/>
    </row>
    <row r="173" spans="1:9" ht="15.6">
      <c r="A173" s="2"/>
      <c r="B173" s="2"/>
      <c r="C173" s="2"/>
      <c r="D173" s="2"/>
      <c r="E173" s="3"/>
      <c r="F173" s="2"/>
      <c r="G173" s="2"/>
      <c r="H173" s="2"/>
      <c r="I173" s="2"/>
    </row>
    <row r="174" spans="1:9" ht="15.6">
      <c r="A174" s="2"/>
      <c r="B174" s="2"/>
      <c r="C174" s="2"/>
      <c r="D174" s="2"/>
      <c r="E174" s="3"/>
      <c r="F174" s="2"/>
      <c r="G174" s="2"/>
      <c r="H174" s="2"/>
      <c r="I174" s="2"/>
    </row>
    <row r="175" spans="1:9" ht="15.6">
      <c r="A175" s="2"/>
      <c r="B175" s="2"/>
      <c r="C175" s="2"/>
      <c r="D175" s="2"/>
      <c r="E175" s="3"/>
      <c r="F175" s="2"/>
      <c r="G175" s="2"/>
      <c r="H175" s="2"/>
      <c r="I175" s="2"/>
    </row>
    <row r="176" spans="1:9" ht="15.6">
      <c r="A176" s="2"/>
      <c r="B176" s="2"/>
      <c r="C176" s="2"/>
      <c r="D176" s="2"/>
      <c r="E176" s="3"/>
      <c r="F176" s="2"/>
      <c r="G176" s="2"/>
      <c r="H176" s="2"/>
      <c r="I176" s="2"/>
    </row>
    <row r="177" spans="1:9" ht="15.6">
      <c r="A177" s="2"/>
      <c r="B177" s="2"/>
      <c r="C177" s="2"/>
      <c r="D177" s="2"/>
      <c r="E177" s="3"/>
      <c r="F177" s="2"/>
      <c r="G177" s="2"/>
      <c r="H177" s="2"/>
      <c r="I177" s="2"/>
    </row>
    <row r="178" spans="1:9" ht="15.6">
      <c r="A178" s="2"/>
      <c r="B178" s="2"/>
      <c r="C178" s="2"/>
      <c r="D178" s="2"/>
      <c r="E178" s="3"/>
      <c r="F178" s="2"/>
      <c r="G178" s="2"/>
      <c r="H178" s="2"/>
      <c r="I178" s="2"/>
    </row>
    <row r="179" spans="1:9" ht="15.6">
      <c r="A179" s="2"/>
      <c r="B179" s="2"/>
      <c r="C179" s="2"/>
      <c r="D179" s="2"/>
      <c r="E179" s="3"/>
      <c r="F179" s="2"/>
      <c r="G179" s="2"/>
      <c r="H179" s="2"/>
      <c r="I179" s="2"/>
    </row>
    <row r="180" spans="1:9" ht="15.6">
      <c r="A180" s="2"/>
      <c r="B180" s="2"/>
      <c r="C180" s="2"/>
      <c r="D180" s="2"/>
      <c r="E180" s="3"/>
      <c r="F180" s="2"/>
      <c r="G180" s="2"/>
      <c r="H180" s="2"/>
      <c r="I180" s="2"/>
    </row>
    <row r="181" spans="1:9" ht="15.6">
      <c r="A181" s="2"/>
      <c r="B181" s="2"/>
      <c r="C181" s="2"/>
      <c r="D181" s="2"/>
      <c r="E181" s="3"/>
      <c r="F181" s="2"/>
      <c r="G181" s="2"/>
      <c r="H181" s="2"/>
      <c r="I181" s="2"/>
    </row>
    <row r="182" spans="1:9" ht="15.6">
      <c r="A182" s="2"/>
      <c r="B182" s="2"/>
      <c r="C182" s="2"/>
      <c r="D182" s="2"/>
      <c r="E182" s="3"/>
      <c r="F182" s="2"/>
      <c r="G182" s="2"/>
      <c r="H182" s="2"/>
      <c r="I182" s="2"/>
    </row>
    <row r="183" spans="1:9" ht="15.6">
      <c r="A183" s="2"/>
      <c r="B183" s="2"/>
      <c r="C183" s="2"/>
      <c r="D183" s="2"/>
      <c r="E183" s="3"/>
      <c r="F183" s="2"/>
      <c r="G183" s="2"/>
      <c r="H183" s="2"/>
      <c r="I183" s="2"/>
    </row>
    <row r="184" spans="1:9" ht="15.6">
      <c r="A184" s="2"/>
      <c r="B184" s="2"/>
      <c r="C184" s="2"/>
      <c r="D184" s="2"/>
      <c r="E184" s="3"/>
      <c r="F184" s="2"/>
      <c r="G184" s="2"/>
      <c r="H184" s="2"/>
      <c r="I184" s="2"/>
    </row>
    <row r="185" spans="1:9" ht="15.6">
      <c r="A185" s="2"/>
      <c r="B185" s="2"/>
      <c r="C185" s="2"/>
      <c r="D185" s="2"/>
      <c r="E185" s="3"/>
      <c r="F185" s="2"/>
      <c r="G185" s="2"/>
      <c r="H185" s="2"/>
      <c r="I185" s="2"/>
    </row>
    <row r="186" spans="1:9" ht="15.6">
      <c r="A186" s="2"/>
      <c r="B186" s="2"/>
      <c r="C186" s="2"/>
      <c r="D186" s="2"/>
      <c r="E186" s="3"/>
      <c r="F186" s="2"/>
      <c r="G186" s="2"/>
      <c r="H186" s="2"/>
      <c r="I186" s="2"/>
    </row>
    <row r="187" spans="1:9" ht="15.6">
      <c r="A187" s="2"/>
      <c r="B187" s="2"/>
      <c r="C187" s="2"/>
      <c r="D187" s="2"/>
      <c r="E187" s="3"/>
      <c r="F187" s="2"/>
      <c r="G187" s="2"/>
      <c r="H187" s="2"/>
      <c r="I187" s="2"/>
    </row>
    <row r="188" spans="1:9" ht="15.6">
      <c r="A188" s="2"/>
      <c r="B188" s="2"/>
      <c r="C188" s="2"/>
      <c r="D188" s="2"/>
      <c r="E188" s="3"/>
      <c r="F188" s="2"/>
      <c r="G188" s="2"/>
      <c r="H188" s="2"/>
      <c r="I188" s="2"/>
    </row>
    <row r="189" spans="1:9" ht="15.6">
      <c r="A189" s="2"/>
      <c r="B189" s="2"/>
      <c r="C189" s="2"/>
      <c r="D189" s="2"/>
      <c r="E189" s="3"/>
      <c r="F189" s="2"/>
      <c r="G189" s="2"/>
      <c r="H189" s="2"/>
      <c r="I189" s="2"/>
    </row>
    <row r="190" spans="1:9" ht="15.6">
      <c r="A190" s="2"/>
      <c r="B190" s="2"/>
      <c r="C190" s="2"/>
      <c r="D190" s="2"/>
      <c r="E190" s="3"/>
      <c r="F190" s="2"/>
      <c r="G190" s="2"/>
      <c r="H190" s="2"/>
      <c r="I190" s="2"/>
    </row>
    <row r="191" spans="1:9" ht="15.6">
      <c r="A191" s="2"/>
      <c r="B191" s="2"/>
      <c r="C191" s="2"/>
      <c r="D191" s="2"/>
      <c r="E191" s="3"/>
      <c r="F191" s="2"/>
      <c r="G191" s="2"/>
      <c r="H191" s="2"/>
      <c r="I191" s="2"/>
    </row>
    <row r="192" spans="1:9" ht="15.6">
      <c r="A192" s="2"/>
      <c r="B192" s="2"/>
      <c r="C192" s="2"/>
      <c r="D192" s="2"/>
      <c r="E192" s="3"/>
      <c r="F192" s="2"/>
      <c r="G192" s="2"/>
      <c r="H192" s="2"/>
      <c r="I192" s="2"/>
    </row>
    <row r="193" spans="1:9" ht="15.6">
      <c r="A193" s="2"/>
      <c r="B193" s="2"/>
      <c r="C193" s="2"/>
      <c r="D193" s="2"/>
      <c r="E193" s="3"/>
      <c r="F193" s="2"/>
      <c r="G193" s="2"/>
      <c r="H193" s="2"/>
      <c r="I193" s="2"/>
    </row>
    <row r="194" spans="1:9" ht="15.6">
      <c r="A194" s="2"/>
      <c r="B194" s="2"/>
      <c r="C194" s="2"/>
      <c r="D194" s="2"/>
      <c r="E194" s="3"/>
      <c r="F194" s="2"/>
      <c r="G194" s="2"/>
      <c r="H194" s="2"/>
      <c r="I194" s="2"/>
    </row>
    <row r="195" spans="1:9" ht="15.6">
      <c r="A195" s="2"/>
      <c r="B195" s="2"/>
      <c r="C195" s="2"/>
      <c r="D195" s="2"/>
      <c r="E195" s="3"/>
      <c r="F195" s="2"/>
      <c r="G195" s="2"/>
      <c r="H195" s="2"/>
      <c r="I195" s="2"/>
    </row>
    <row r="196" spans="1:9" ht="15.6">
      <c r="A196" s="2"/>
      <c r="B196" s="2"/>
      <c r="C196" s="2"/>
      <c r="D196" s="2"/>
      <c r="E196" s="3"/>
      <c r="F196" s="2"/>
      <c r="G196" s="2"/>
      <c r="H196" s="2"/>
      <c r="I196" s="2"/>
    </row>
    <row r="197" spans="1:9" ht="15.6">
      <c r="A197" s="2"/>
      <c r="B197" s="2"/>
      <c r="C197" s="2"/>
      <c r="D197" s="2"/>
      <c r="E197" s="3"/>
      <c r="F197" s="2"/>
      <c r="G197" s="2"/>
      <c r="H197" s="2"/>
      <c r="I197" s="2"/>
    </row>
    <row r="198" spans="1:9" ht="15.6">
      <c r="A198" s="2"/>
      <c r="B198" s="2"/>
      <c r="C198" s="2"/>
      <c r="D198" s="2"/>
      <c r="E198" s="3"/>
      <c r="F198" s="2"/>
      <c r="G198" s="2"/>
      <c r="H198" s="2"/>
      <c r="I198" s="2"/>
    </row>
    <row r="199" spans="1:9" ht="15.6">
      <c r="A199" s="2"/>
      <c r="B199" s="2"/>
      <c r="C199" s="2"/>
      <c r="D199" s="2"/>
      <c r="E199" s="3"/>
      <c r="F199" s="2"/>
      <c r="G199" s="2"/>
      <c r="H199" s="2"/>
      <c r="I199" s="2"/>
    </row>
    <row r="200" spans="1:9" ht="15.6">
      <c r="A200" s="2"/>
      <c r="B200" s="2"/>
      <c r="C200" s="2"/>
      <c r="D200" s="2"/>
      <c r="E200" s="3"/>
      <c r="F200" s="2"/>
      <c r="G200" s="2"/>
      <c r="H200" s="2"/>
      <c r="I200" s="2"/>
    </row>
    <row r="201" spans="1:9" ht="15.6">
      <c r="A201" s="2"/>
      <c r="B201" s="2"/>
      <c r="C201" s="2"/>
      <c r="D201" s="2"/>
      <c r="E201" s="3"/>
      <c r="F201" s="2"/>
      <c r="G201" s="2"/>
      <c r="H201" s="2"/>
      <c r="I201" s="2"/>
    </row>
    <row r="202" spans="1:9" ht="15.6">
      <c r="A202" s="2"/>
      <c r="B202" s="2"/>
      <c r="C202" s="2"/>
      <c r="D202" s="2"/>
      <c r="E202" s="3"/>
      <c r="F202" s="2"/>
      <c r="G202" s="2"/>
      <c r="H202" s="2"/>
      <c r="I202" s="2"/>
    </row>
    <row r="203" spans="1:9" ht="15.6">
      <c r="A203" s="2"/>
      <c r="B203" s="2"/>
      <c r="C203" s="2"/>
      <c r="D203" s="2"/>
      <c r="E203" s="3"/>
      <c r="F203" s="2"/>
      <c r="G203" s="2"/>
      <c r="H203" s="2"/>
      <c r="I203" s="2"/>
    </row>
    <row r="204" spans="1:9" ht="15.6">
      <c r="A204" s="2"/>
      <c r="B204" s="2"/>
      <c r="C204" s="2"/>
      <c r="D204" s="2"/>
      <c r="E204" s="3"/>
      <c r="F204" s="2"/>
      <c r="G204" s="2"/>
      <c r="H204" s="2"/>
      <c r="I204" s="2"/>
    </row>
    <row r="205" spans="1:9" ht="15.6">
      <c r="A205" s="2"/>
      <c r="B205" s="2"/>
      <c r="C205" s="2"/>
      <c r="D205" s="2"/>
      <c r="E205" s="3"/>
      <c r="F205" s="2"/>
      <c r="G205" s="2"/>
      <c r="H205" s="2"/>
      <c r="I205" s="2"/>
    </row>
    <row r="206" spans="1:9" ht="15.6">
      <c r="A206" s="2"/>
      <c r="B206" s="2"/>
      <c r="C206" s="2"/>
      <c r="D206" s="2"/>
      <c r="E206" s="3"/>
      <c r="F206" s="2"/>
      <c r="G206" s="2"/>
      <c r="H206" s="2"/>
      <c r="I206" s="2"/>
    </row>
    <row r="207" spans="1:9" ht="15.6">
      <c r="A207" s="2"/>
      <c r="B207" s="2"/>
      <c r="C207" s="2"/>
      <c r="D207" s="2"/>
      <c r="E207" s="3"/>
      <c r="F207" s="2"/>
      <c r="G207" s="2"/>
      <c r="H207" s="2"/>
      <c r="I207" s="2"/>
    </row>
    <row r="208" spans="1:9" ht="15.6">
      <c r="A208" s="2"/>
      <c r="B208" s="2"/>
      <c r="C208" s="2"/>
      <c r="D208" s="2"/>
      <c r="E208" s="3"/>
      <c r="F208" s="2"/>
      <c r="G208" s="2"/>
      <c r="H208" s="2"/>
      <c r="I208" s="2"/>
    </row>
    <row r="209" spans="1:9" ht="15.6">
      <c r="A209" s="2"/>
      <c r="B209" s="2"/>
      <c r="C209" s="2"/>
      <c r="D209" s="2"/>
      <c r="E209" s="3"/>
      <c r="F209" s="2"/>
      <c r="G209" s="2"/>
      <c r="H209" s="2"/>
      <c r="I209" s="2"/>
    </row>
    <row r="210" spans="1:9" ht="15.6">
      <c r="A210" s="2"/>
      <c r="B210" s="2"/>
      <c r="C210" s="2"/>
      <c r="D210" s="2"/>
      <c r="E210" s="3"/>
      <c r="F210" s="2"/>
      <c r="G210" s="2"/>
      <c r="H210" s="2"/>
      <c r="I210" s="2"/>
    </row>
    <row r="211" spans="1:9" ht="15.6">
      <c r="A211" s="2"/>
      <c r="B211" s="2"/>
      <c r="C211" s="2"/>
      <c r="D211" s="2"/>
      <c r="E211" s="3"/>
      <c r="F211" s="2"/>
      <c r="G211" s="2"/>
      <c r="H211" s="2"/>
      <c r="I211" s="2"/>
    </row>
    <row r="212" spans="1:9" ht="15.6">
      <c r="A212" s="2"/>
      <c r="B212" s="2"/>
      <c r="C212" s="2"/>
      <c r="D212" s="2"/>
      <c r="E212" s="3"/>
      <c r="F212" s="2"/>
      <c r="G212" s="2"/>
      <c r="H212" s="2"/>
      <c r="I212" s="2"/>
    </row>
    <row r="213" spans="1:9" ht="15.6">
      <c r="A213" s="2"/>
      <c r="B213" s="2"/>
      <c r="C213" s="2"/>
      <c r="D213" s="2"/>
      <c r="E213" s="3"/>
      <c r="F213" s="2"/>
      <c r="G213" s="2"/>
      <c r="H213" s="2"/>
      <c r="I213" s="2"/>
    </row>
    <row r="214" spans="1:9" ht="15.6">
      <c r="A214" s="2"/>
      <c r="B214" s="2"/>
      <c r="C214" s="2"/>
      <c r="D214" s="2"/>
      <c r="E214" s="3"/>
      <c r="F214" s="2"/>
      <c r="G214" s="2"/>
      <c r="H214" s="2"/>
      <c r="I214" s="2"/>
    </row>
    <row r="215" spans="1:9" ht="15.6">
      <c r="A215" s="2"/>
      <c r="B215" s="2"/>
      <c r="C215" s="2"/>
      <c r="D215" s="2"/>
      <c r="E215" s="3"/>
      <c r="F215" s="2"/>
      <c r="G215" s="2"/>
      <c r="H215" s="2"/>
      <c r="I215" s="2"/>
    </row>
    <row r="216" spans="1:9" ht="15.6">
      <c r="A216" s="2"/>
      <c r="B216" s="2"/>
      <c r="C216" s="2"/>
      <c r="D216" s="2"/>
      <c r="E216" s="3"/>
      <c r="F216" s="2"/>
      <c r="G216" s="2"/>
      <c r="H216" s="2"/>
      <c r="I216" s="2"/>
    </row>
    <row r="217" spans="1:9" ht="15.6">
      <c r="A217" s="2"/>
      <c r="B217" s="2"/>
      <c r="C217" s="2"/>
      <c r="D217" s="2"/>
      <c r="E217" s="3"/>
      <c r="F217" s="2"/>
      <c r="G217" s="2"/>
      <c r="H217" s="2"/>
      <c r="I217" s="2"/>
    </row>
    <row r="218" spans="1:9" ht="15.6">
      <c r="A218" s="2"/>
      <c r="B218" s="2"/>
      <c r="C218" s="2"/>
      <c r="D218" s="2"/>
      <c r="E218" s="3"/>
      <c r="F218" s="2"/>
      <c r="G218" s="2"/>
      <c r="H218" s="2"/>
      <c r="I218" s="2"/>
    </row>
    <row r="219" spans="1:9" ht="15.6">
      <c r="A219" s="2"/>
      <c r="B219" s="2"/>
      <c r="C219" s="2"/>
      <c r="D219" s="2"/>
      <c r="E219" s="3"/>
      <c r="F219" s="2"/>
      <c r="G219" s="2"/>
      <c r="H219" s="2"/>
      <c r="I219" s="2"/>
    </row>
    <row r="220" spans="1:9" ht="15.6">
      <c r="A220" s="2"/>
      <c r="B220" s="2"/>
      <c r="C220" s="2"/>
      <c r="D220" s="2"/>
      <c r="E220" s="3"/>
      <c r="F220" s="2"/>
      <c r="G220" s="2"/>
      <c r="H220" s="2"/>
      <c r="I220" s="2"/>
    </row>
    <row r="221" spans="1:9" ht="15.6">
      <c r="A221" s="2"/>
      <c r="B221" s="2"/>
      <c r="C221" s="2"/>
      <c r="D221" s="2"/>
      <c r="E221" s="3"/>
      <c r="F221" s="2"/>
      <c r="G221" s="2"/>
      <c r="H221" s="2"/>
      <c r="I221" s="2"/>
    </row>
    <row r="222" spans="1:9" ht="15.6">
      <c r="A222" s="2"/>
      <c r="B222" s="2"/>
      <c r="C222" s="2"/>
      <c r="D222" s="2"/>
      <c r="E222" s="3"/>
      <c r="F222" s="2"/>
      <c r="G222" s="2"/>
      <c r="H222" s="2"/>
      <c r="I222" s="2"/>
    </row>
    <row r="223" spans="1:9" ht="15.6">
      <c r="A223" s="2"/>
      <c r="B223" s="2"/>
      <c r="C223" s="2"/>
      <c r="D223" s="2"/>
      <c r="E223" s="3"/>
      <c r="F223" s="2"/>
      <c r="G223" s="2"/>
      <c r="H223" s="2"/>
      <c r="I223" s="2"/>
    </row>
    <row r="224" spans="1:9" ht="15.6">
      <c r="A224" s="2"/>
      <c r="B224" s="2"/>
      <c r="C224" s="2"/>
      <c r="D224" s="2"/>
      <c r="E224" s="3"/>
      <c r="F224" s="2"/>
      <c r="G224" s="2"/>
      <c r="H224" s="2"/>
      <c r="I224" s="2"/>
    </row>
    <row r="225" spans="1:9" ht="15.6">
      <c r="A225" s="2"/>
      <c r="B225" s="2"/>
      <c r="C225" s="2"/>
      <c r="D225" s="2"/>
      <c r="E225" s="3"/>
      <c r="F225" s="2"/>
      <c r="G225" s="2"/>
      <c r="H225" s="2"/>
      <c r="I225" s="2"/>
    </row>
    <row r="226" spans="1:9" ht="15.6">
      <c r="A226" s="2"/>
      <c r="B226" s="2"/>
      <c r="C226" s="2"/>
      <c r="D226" s="2"/>
      <c r="E226" s="3"/>
      <c r="F226" s="2"/>
      <c r="G226" s="2"/>
      <c r="H226" s="2"/>
      <c r="I226" s="2"/>
    </row>
    <row r="227" spans="1:9" ht="15.6">
      <c r="A227" s="2"/>
      <c r="B227" s="2"/>
      <c r="C227" s="2"/>
      <c r="D227" s="2"/>
      <c r="E227" s="3"/>
      <c r="F227" s="2"/>
      <c r="G227" s="2"/>
      <c r="H227" s="2"/>
      <c r="I227" s="2"/>
    </row>
    <row r="228" spans="1:9" ht="15.6">
      <c r="A228" s="2"/>
      <c r="B228" s="2"/>
      <c r="C228" s="2"/>
      <c r="D228" s="2"/>
      <c r="E228" s="3"/>
      <c r="F228" s="2"/>
      <c r="G228" s="2"/>
      <c r="H228" s="2"/>
      <c r="I228" s="2"/>
    </row>
    <row r="229" spans="1:9" ht="15.6">
      <c r="A229" s="2"/>
      <c r="B229" s="2"/>
      <c r="C229" s="2"/>
      <c r="D229" s="2"/>
      <c r="E229" s="3"/>
      <c r="F229" s="2"/>
      <c r="G229" s="2"/>
      <c r="H229" s="2"/>
      <c r="I229" s="2"/>
    </row>
    <row r="230" spans="1:9" ht="15.6">
      <c r="A230" s="2"/>
      <c r="B230" s="2"/>
      <c r="C230" s="2"/>
      <c r="D230" s="2"/>
      <c r="E230" s="3"/>
      <c r="F230" s="2"/>
      <c r="G230" s="2"/>
      <c r="H230" s="2"/>
      <c r="I230" s="2"/>
    </row>
    <row r="231" spans="1:9" ht="15.6">
      <c r="A231" s="2"/>
      <c r="B231" s="2"/>
      <c r="C231" s="2"/>
      <c r="D231" s="2"/>
      <c r="E231" s="3"/>
      <c r="F231" s="2"/>
      <c r="G231" s="2"/>
      <c r="H231" s="2"/>
      <c r="I231" s="2"/>
    </row>
    <row r="232" spans="1:9" ht="15.6">
      <c r="A232" s="2"/>
      <c r="B232" s="2"/>
      <c r="C232" s="2"/>
      <c r="D232" s="2"/>
      <c r="E232" s="3"/>
      <c r="F232" s="2"/>
      <c r="G232" s="2"/>
      <c r="H232" s="2"/>
      <c r="I232" s="2"/>
    </row>
    <row r="233" spans="1:9" ht="15.6">
      <c r="A233" s="2"/>
      <c r="B233" s="2"/>
      <c r="C233" s="2"/>
      <c r="D233" s="2"/>
      <c r="E233" s="3"/>
      <c r="F233" s="2"/>
      <c r="G233" s="2"/>
      <c r="H233" s="2"/>
      <c r="I233" s="2"/>
    </row>
    <row r="234" spans="1:9" ht="15.6">
      <c r="A234" s="2"/>
      <c r="B234" s="2"/>
      <c r="C234" s="2"/>
      <c r="D234" s="2"/>
      <c r="E234" s="3"/>
      <c r="F234" s="2"/>
      <c r="G234" s="2"/>
      <c r="H234" s="2"/>
      <c r="I234" s="2"/>
    </row>
    <row r="235" spans="1:9" ht="15.6">
      <c r="A235" s="2"/>
      <c r="B235" s="2"/>
      <c r="C235" s="2"/>
      <c r="D235" s="2"/>
      <c r="E235" s="3"/>
      <c r="F235" s="2"/>
      <c r="G235" s="2"/>
      <c r="H235" s="2"/>
      <c r="I235" s="2"/>
    </row>
    <row r="236" spans="1:9" ht="15.6">
      <c r="A236" s="2"/>
      <c r="B236" s="2"/>
      <c r="C236" s="2"/>
      <c r="D236" s="2"/>
      <c r="E236" s="3"/>
      <c r="F236" s="2"/>
      <c r="G236" s="2"/>
      <c r="H236" s="2"/>
      <c r="I236" s="2"/>
    </row>
    <row r="237" spans="1:9" ht="15.6">
      <c r="A237" s="2"/>
      <c r="B237" s="2"/>
      <c r="C237" s="2"/>
      <c r="D237" s="2"/>
      <c r="E237" s="3"/>
      <c r="F237" s="2"/>
      <c r="G237" s="2"/>
      <c r="H237" s="2"/>
      <c r="I237" s="2"/>
    </row>
    <row r="238" spans="1:9" ht="15.6">
      <c r="A238" s="2"/>
      <c r="B238" s="2"/>
      <c r="C238" s="2"/>
      <c r="D238" s="2"/>
      <c r="E238" s="3"/>
      <c r="F238" s="2"/>
      <c r="G238" s="2"/>
      <c r="H238" s="2"/>
      <c r="I238" s="2"/>
    </row>
    <row r="239" spans="1:9" ht="15.6">
      <c r="A239" s="2"/>
      <c r="B239" s="2"/>
      <c r="C239" s="2"/>
      <c r="D239" s="2"/>
      <c r="E239" s="3"/>
      <c r="F239" s="2"/>
      <c r="G239" s="2"/>
      <c r="H239" s="2"/>
      <c r="I239" s="2"/>
    </row>
    <row r="240" spans="1:9" ht="15.6">
      <c r="A240" s="2"/>
      <c r="B240" s="2"/>
      <c r="C240" s="2"/>
      <c r="D240" s="2"/>
      <c r="E240" s="3"/>
      <c r="F240" s="2"/>
      <c r="G240" s="2"/>
      <c r="H240" s="2"/>
      <c r="I240" s="2"/>
    </row>
    <row r="241" spans="1:9" ht="15.6">
      <c r="A241" s="2"/>
      <c r="B241" s="2"/>
      <c r="C241" s="2"/>
      <c r="D241" s="2"/>
      <c r="E241" s="3"/>
      <c r="F241" s="2"/>
      <c r="G241" s="2"/>
      <c r="H241" s="2"/>
      <c r="I241" s="2"/>
    </row>
    <row r="242" spans="1:9" ht="15.6">
      <c r="A242" s="2"/>
      <c r="B242" s="2"/>
      <c r="C242" s="2"/>
      <c r="D242" s="2"/>
      <c r="E242" s="3"/>
      <c r="F242" s="2"/>
      <c r="G242" s="2"/>
      <c r="H242" s="2"/>
      <c r="I242" s="2"/>
    </row>
    <row r="243" spans="1:9" ht="15.6">
      <c r="A243" s="2"/>
      <c r="B243" s="2"/>
      <c r="C243" s="2"/>
      <c r="D243" s="2"/>
      <c r="E243" s="3"/>
      <c r="F243" s="2"/>
      <c r="G243" s="2"/>
      <c r="H243" s="2"/>
      <c r="I243" s="2"/>
    </row>
    <row r="244" spans="1:9" ht="15.6">
      <c r="A244" s="2"/>
      <c r="B244" s="2"/>
      <c r="C244" s="2"/>
      <c r="D244" s="2"/>
      <c r="E244" s="3"/>
      <c r="F244" s="2"/>
      <c r="G244" s="2"/>
      <c r="H244" s="2"/>
      <c r="I244" s="2"/>
    </row>
    <row r="245" spans="1:9" ht="15.6">
      <c r="A245" s="2"/>
      <c r="B245" s="2"/>
      <c r="C245" s="2"/>
      <c r="D245" s="2"/>
      <c r="E245" s="3"/>
      <c r="F245" s="2"/>
      <c r="G245" s="2"/>
      <c r="H245" s="2"/>
      <c r="I245" s="2"/>
    </row>
    <row r="246" spans="1:9" ht="15.6">
      <c r="A246" s="2"/>
      <c r="B246" s="2"/>
      <c r="C246" s="2"/>
      <c r="D246" s="2"/>
      <c r="E246" s="3"/>
      <c r="F246" s="2"/>
      <c r="G246" s="2"/>
      <c r="H246" s="2"/>
      <c r="I246" s="2"/>
    </row>
    <row r="247" spans="1:9" ht="15.6">
      <c r="A247" s="2"/>
      <c r="B247" s="2"/>
      <c r="C247" s="2"/>
      <c r="D247" s="2"/>
      <c r="E247" s="3"/>
      <c r="F247" s="2"/>
      <c r="G247" s="2"/>
      <c r="H247" s="2"/>
      <c r="I247" s="2"/>
    </row>
    <row r="248" spans="1:9" ht="15.6">
      <c r="A248" s="2"/>
      <c r="B248" s="2"/>
      <c r="C248" s="2"/>
      <c r="D248" s="2"/>
      <c r="E248" s="3"/>
      <c r="F248" s="2"/>
      <c r="G248" s="2"/>
      <c r="H248" s="2"/>
      <c r="I248" s="2"/>
    </row>
    <row r="249" spans="1:9" ht="15.6">
      <c r="A249" s="2"/>
      <c r="B249" s="2"/>
      <c r="C249" s="2"/>
      <c r="D249" s="2"/>
      <c r="E249" s="3"/>
      <c r="F249" s="2"/>
      <c r="G249" s="2"/>
      <c r="H249" s="2"/>
      <c r="I249" s="2"/>
    </row>
    <row r="250" spans="1:9" ht="15.6">
      <c r="A250" s="2"/>
      <c r="B250" s="2"/>
      <c r="C250" s="2"/>
      <c r="D250" s="2"/>
      <c r="E250" s="3"/>
      <c r="F250" s="2"/>
      <c r="G250" s="2"/>
      <c r="H250" s="2"/>
      <c r="I250" s="2"/>
    </row>
    <row r="251" spans="1:9" ht="15.6">
      <c r="A251" s="2"/>
      <c r="B251" s="2"/>
      <c r="C251" s="2"/>
      <c r="D251" s="2"/>
      <c r="E251" s="3"/>
      <c r="F251" s="2"/>
      <c r="G251" s="2"/>
      <c r="H251" s="2"/>
      <c r="I251" s="2"/>
    </row>
    <row r="252" spans="1:9" ht="15.6">
      <c r="A252" s="2"/>
      <c r="B252" s="2"/>
      <c r="C252" s="2"/>
      <c r="D252" s="2"/>
      <c r="E252" s="3"/>
      <c r="F252" s="2"/>
      <c r="G252" s="2"/>
      <c r="H252" s="2"/>
      <c r="I252" s="2"/>
    </row>
    <row r="253" spans="1:9" ht="15.6">
      <c r="A253" s="2"/>
      <c r="B253" s="2"/>
      <c r="C253" s="2"/>
      <c r="D253" s="2"/>
      <c r="E253" s="3"/>
      <c r="F253" s="2"/>
      <c r="G253" s="2"/>
      <c r="H253" s="2"/>
      <c r="I253" s="2"/>
    </row>
    <row r="254" spans="1:9" ht="15.6">
      <c r="A254" s="2"/>
      <c r="B254" s="2"/>
      <c r="C254" s="2"/>
      <c r="D254" s="2"/>
      <c r="E254" s="3"/>
      <c r="F254" s="2"/>
      <c r="G254" s="2"/>
      <c r="H254" s="2"/>
      <c r="I254" s="2"/>
    </row>
    <row r="255" spans="1:9" ht="15.6">
      <c r="A255" s="2"/>
      <c r="B255" s="2"/>
      <c r="C255" s="2"/>
      <c r="D255" s="2"/>
      <c r="E255" s="3"/>
      <c r="F255" s="2"/>
      <c r="G255" s="2"/>
      <c r="H255" s="2"/>
      <c r="I255" s="2"/>
    </row>
    <row r="256" spans="1:9" ht="15.6">
      <c r="A256" s="2"/>
      <c r="B256" s="2"/>
      <c r="C256" s="2"/>
      <c r="D256" s="2"/>
      <c r="E256" s="3"/>
      <c r="F256" s="2"/>
      <c r="G256" s="2"/>
      <c r="H256" s="2"/>
      <c r="I256" s="2"/>
    </row>
    <row r="257" spans="1:9" ht="15.6">
      <c r="A257" s="2"/>
      <c r="B257" s="2"/>
      <c r="C257" s="2"/>
      <c r="D257" s="2"/>
      <c r="E257" s="3"/>
      <c r="F257" s="2"/>
      <c r="G257" s="2"/>
      <c r="H257" s="2"/>
      <c r="I257" s="2"/>
    </row>
    <row r="258" spans="1:9" ht="15.6">
      <c r="A258" s="2"/>
      <c r="B258" s="2"/>
      <c r="C258" s="2"/>
      <c r="D258" s="2"/>
      <c r="E258" s="3"/>
      <c r="F258" s="2"/>
      <c r="G258" s="2"/>
      <c r="H258" s="2"/>
      <c r="I258" s="2"/>
    </row>
    <row r="259" spans="1:9" ht="15.6">
      <c r="A259" s="2"/>
      <c r="B259" s="2"/>
      <c r="C259" s="2"/>
      <c r="D259" s="2"/>
      <c r="E259" s="3"/>
      <c r="F259" s="2"/>
      <c r="G259" s="2"/>
      <c r="H259" s="2"/>
      <c r="I259" s="2"/>
    </row>
    <row r="260" spans="1:9" ht="15.6">
      <c r="A260" s="2"/>
      <c r="B260" s="2"/>
      <c r="C260" s="2"/>
      <c r="D260" s="2"/>
      <c r="E260" s="3"/>
      <c r="F260" s="2"/>
      <c r="G260" s="2"/>
      <c r="H260" s="2"/>
      <c r="I260" s="2"/>
    </row>
    <row r="261" spans="1:9" ht="15.6">
      <c r="A261" s="2"/>
      <c r="B261" s="2"/>
      <c r="C261" s="2"/>
      <c r="D261" s="2"/>
      <c r="E261" s="3"/>
      <c r="F261" s="2"/>
      <c r="G261" s="2"/>
      <c r="H261" s="2"/>
      <c r="I261" s="2"/>
    </row>
    <row r="262" spans="1:9" ht="15.6">
      <c r="A262" s="2"/>
      <c r="B262" s="2"/>
      <c r="C262" s="2"/>
      <c r="D262" s="2"/>
      <c r="E262" s="3"/>
      <c r="F262" s="2"/>
      <c r="G262" s="2"/>
      <c r="H262" s="2"/>
      <c r="I262" s="2"/>
    </row>
    <row r="263" spans="1:9" ht="15.6">
      <c r="A263" s="2"/>
      <c r="B263" s="2"/>
      <c r="C263" s="2"/>
      <c r="D263" s="2"/>
      <c r="E263" s="3"/>
      <c r="F263" s="2"/>
      <c r="G263" s="2"/>
      <c r="H263" s="2"/>
      <c r="I263" s="2"/>
    </row>
    <row r="264" spans="1:9" ht="15.6">
      <c r="A264" s="2"/>
      <c r="B264" s="2"/>
      <c r="C264" s="2"/>
      <c r="D264" s="2"/>
      <c r="E264" s="3"/>
      <c r="F264" s="2"/>
      <c r="G264" s="2"/>
      <c r="H264" s="2"/>
      <c r="I264" s="2"/>
    </row>
    <row r="265" spans="1:9" ht="15.6">
      <c r="A265" s="2"/>
      <c r="B265" s="2"/>
      <c r="C265" s="2"/>
      <c r="D265" s="2"/>
      <c r="E265" s="3"/>
      <c r="F265" s="2"/>
      <c r="G265" s="2"/>
      <c r="H265" s="2"/>
      <c r="I265" s="2"/>
    </row>
    <row r="266" spans="1:9" ht="15.6">
      <c r="A266" s="2"/>
      <c r="B266" s="2"/>
      <c r="C266" s="2"/>
      <c r="D266" s="2"/>
      <c r="E266" s="3"/>
      <c r="F266" s="2"/>
      <c r="G266" s="2"/>
      <c r="H266" s="2"/>
      <c r="I266" s="2"/>
    </row>
    <row r="267" spans="1:9" ht="15.6">
      <c r="A267" s="2"/>
      <c r="B267" s="2"/>
      <c r="C267" s="2"/>
      <c r="D267" s="2"/>
      <c r="E267" s="3"/>
      <c r="F267" s="2"/>
      <c r="G267" s="2"/>
      <c r="H267" s="2"/>
      <c r="I267" s="2"/>
    </row>
    <row r="268" spans="1:9" ht="15.6">
      <c r="A268" s="2"/>
      <c r="B268" s="2"/>
      <c r="C268" s="2"/>
      <c r="D268" s="2"/>
      <c r="E268" s="3"/>
      <c r="F268" s="2"/>
      <c r="G268" s="2"/>
      <c r="H268" s="2"/>
      <c r="I268" s="2"/>
    </row>
    <row r="269" spans="1:9" ht="15.6">
      <c r="A269" s="2"/>
      <c r="B269" s="2"/>
      <c r="C269" s="2"/>
      <c r="D269" s="2"/>
      <c r="E269" s="3"/>
      <c r="F269" s="2"/>
      <c r="G269" s="2"/>
      <c r="H269" s="2"/>
      <c r="I269" s="2"/>
    </row>
    <row r="270" spans="1:9" ht="15.6">
      <c r="A270" s="2"/>
      <c r="B270" s="2"/>
      <c r="C270" s="2"/>
      <c r="D270" s="2"/>
      <c r="E270" s="3"/>
      <c r="F270" s="2"/>
      <c r="G270" s="2"/>
      <c r="H270" s="2"/>
      <c r="I270" s="2"/>
    </row>
    <row r="271" spans="1:9" ht="15.6">
      <c r="A271" s="2"/>
      <c r="B271" s="2"/>
      <c r="C271" s="2"/>
      <c r="D271" s="2"/>
      <c r="E271" s="3"/>
      <c r="F271" s="2"/>
      <c r="G271" s="2"/>
      <c r="H271" s="2"/>
      <c r="I271" s="2"/>
    </row>
    <row r="272" spans="1:9" ht="15.6">
      <c r="A272" s="2"/>
      <c r="B272" s="2"/>
      <c r="C272" s="2"/>
      <c r="D272" s="2"/>
      <c r="E272" s="3"/>
      <c r="F272" s="2"/>
      <c r="G272" s="2"/>
      <c r="H272" s="2"/>
      <c r="I272" s="2"/>
    </row>
    <row r="273" spans="1:9" ht="15.6">
      <c r="A273" s="2"/>
      <c r="B273" s="2"/>
      <c r="C273" s="2"/>
      <c r="D273" s="2"/>
      <c r="E273" s="3"/>
      <c r="F273" s="2"/>
      <c r="G273" s="2"/>
      <c r="H273" s="2"/>
      <c r="I273" s="2"/>
    </row>
    <row r="274" spans="1:9" ht="15.6">
      <c r="A274" s="2"/>
      <c r="B274" s="2"/>
      <c r="C274" s="2"/>
      <c r="D274" s="2"/>
      <c r="E274" s="3"/>
      <c r="F274" s="2"/>
      <c r="G274" s="2"/>
      <c r="H274" s="2"/>
      <c r="I274" s="2"/>
    </row>
    <row r="275" spans="1:9" ht="15.6">
      <c r="A275" s="2"/>
      <c r="B275" s="2"/>
      <c r="C275" s="2"/>
      <c r="D275" s="2"/>
      <c r="E275" s="3"/>
      <c r="F275" s="2"/>
      <c r="G275" s="2"/>
      <c r="H275" s="2"/>
      <c r="I275" s="2"/>
    </row>
    <row r="276" spans="1:9" ht="15.6">
      <c r="A276" s="2"/>
      <c r="B276" s="2"/>
      <c r="C276" s="2"/>
      <c r="D276" s="2"/>
      <c r="E276" s="3"/>
      <c r="F276" s="2"/>
      <c r="G276" s="2"/>
      <c r="H276" s="2"/>
      <c r="I276" s="2"/>
    </row>
    <row r="277" spans="1:9" ht="15.6">
      <c r="A277" s="2"/>
      <c r="B277" s="2"/>
      <c r="C277" s="2"/>
      <c r="D277" s="2"/>
      <c r="E277" s="3"/>
      <c r="F277" s="2"/>
      <c r="G277" s="2"/>
      <c r="H277" s="2"/>
      <c r="I277" s="2"/>
    </row>
    <row r="278" spans="1:9" ht="15.6">
      <c r="A278" s="2"/>
      <c r="B278" s="2"/>
      <c r="C278" s="2"/>
      <c r="D278" s="2"/>
      <c r="E278" s="3"/>
      <c r="F278" s="2"/>
      <c r="G278" s="2"/>
      <c r="H278" s="2"/>
      <c r="I278" s="2"/>
    </row>
    <row r="279" spans="1:9" ht="15.6">
      <c r="A279" s="2"/>
      <c r="B279" s="2"/>
      <c r="C279" s="2"/>
      <c r="D279" s="2"/>
      <c r="E279" s="3"/>
      <c r="F279" s="2"/>
      <c r="G279" s="2"/>
      <c r="H279" s="2"/>
      <c r="I279" s="2"/>
    </row>
    <row r="280" spans="1:9" ht="15.6">
      <c r="A280" s="2"/>
      <c r="B280" s="2"/>
      <c r="C280" s="2"/>
      <c r="D280" s="2"/>
      <c r="E280" s="3"/>
      <c r="F280" s="2"/>
      <c r="G280" s="2"/>
      <c r="H280" s="2"/>
      <c r="I280" s="2"/>
    </row>
    <row r="281" spans="1:9" ht="15.6">
      <c r="A281" s="2"/>
      <c r="B281" s="2"/>
      <c r="C281" s="2"/>
      <c r="D281" s="2"/>
      <c r="E281" s="3"/>
      <c r="F281" s="2"/>
      <c r="G281" s="2"/>
      <c r="H281" s="2"/>
      <c r="I281" s="2"/>
    </row>
    <row r="282" spans="1:9" ht="15.6">
      <c r="A282" s="2"/>
      <c r="B282" s="2"/>
      <c r="C282" s="2"/>
      <c r="D282" s="2"/>
      <c r="E282" s="3"/>
      <c r="F282" s="2"/>
      <c r="G282" s="2"/>
      <c r="H282" s="2"/>
      <c r="I282" s="2"/>
    </row>
    <row r="283" spans="1:9" ht="15.6">
      <c r="A283" s="2"/>
      <c r="B283" s="2"/>
      <c r="C283" s="2"/>
      <c r="D283" s="2"/>
      <c r="E283" s="3"/>
      <c r="F283" s="2"/>
      <c r="G283" s="2"/>
      <c r="H283" s="2"/>
      <c r="I283" s="2"/>
    </row>
    <row r="284" spans="1:9" ht="15.6">
      <c r="A284" s="2"/>
      <c r="B284" s="2"/>
      <c r="C284" s="2"/>
      <c r="D284" s="2"/>
      <c r="E284" s="3"/>
      <c r="F284" s="2"/>
      <c r="G284" s="2"/>
      <c r="H284" s="2"/>
      <c r="I284" s="2"/>
    </row>
    <row r="285" spans="1:9" ht="15.6">
      <c r="A285" s="2"/>
      <c r="B285" s="2"/>
      <c r="C285" s="2"/>
      <c r="D285" s="2"/>
      <c r="E285" s="3"/>
      <c r="F285" s="2"/>
      <c r="G285" s="2"/>
      <c r="H285" s="2"/>
      <c r="I285" s="2"/>
    </row>
    <row r="286" spans="1:9" ht="15.6">
      <c r="A286" s="2"/>
      <c r="B286" s="2"/>
      <c r="C286" s="2"/>
      <c r="D286" s="2"/>
      <c r="E286" s="3"/>
      <c r="F286" s="2"/>
      <c r="G286" s="2"/>
      <c r="H286" s="2"/>
      <c r="I286" s="2"/>
    </row>
    <row r="287" spans="1:9" ht="15.6">
      <c r="A287" s="2"/>
      <c r="B287" s="2"/>
      <c r="C287" s="2"/>
      <c r="D287" s="2"/>
      <c r="E287" s="3"/>
      <c r="F287" s="2"/>
      <c r="G287" s="2"/>
      <c r="H287" s="2"/>
      <c r="I287" s="2"/>
    </row>
    <row r="288" spans="1:9" ht="15.6">
      <c r="A288" s="2"/>
      <c r="B288" s="2"/>
      <c r="C288" s="2"/>
      <c r="D288" s="2"/>
      <c r="E288" s="3"/>
      <c r="F288" s="2"/>
      <c r="G288" s="2"/>
      <c r="H288" s="2"/>
      <c r="I288" s="2"/>
    </row>
    <row r="289" spans="1:9" ht="15.6">
      <c r="A289" s="2"/>
      <c r="B289" s="2"/>
      <c r="C289" s="2"/>
      <c r="D289" s="2"/>
      <c r="E289" s="3"/>
      <c r="F289" s="2"/>
      <c r="G289" s="2"/>
      <c r="H289" s="2"/>
      <c r="I289" s="2"/>
    </row>
    <row r="290" spans="1:9" ht="15.6">
      <c r="A290" s="2"/>
      <c r="B290" s="2"/>
      <c r="C290" s="2"/>
      <c r="D290" s="2"/>
      <c r="E290" s="3"/>
      <c r="F290" s="2"/>
      <c r="G290" s="2"/>
      <c r="H290" s="2"/>
      <c r="I290" s="2"/>
    </row>
    <row r="291" spans="1:9" ht="15.6">
      <c r="A291" s="2"/>
      <c r="B291" s="2"/>
      <c r="C291" s="2"/>
      <c r="D291" s="2"/>
      <c r="E291" s="3"/>
      <c r="F291" s="2"/>
      <c r="G291" s="2"/>
      <c r="H291" s="2"/>
      <c r="I291" s="2"/>
    </row>
    <row r="292" spans="1:9" ht="15.6">
      <c r="A292" s="2"/>
      <c r="B292" s="2"/>
      <c r="C292" s="2"/>
      <c r="D292" s="2"/>
      <c r="E292" s="3"/>
      <c r="F292" s="2"/>
      <c r="G292" s="2"/>
      <c r="H292" s="2"/>
      <c r="I292" s="2"/>
    </row>
    <row r="293" spans="1:9" ht="15.6">
      <c r="A293" s="2"/>
      <c r="B293" s="2"/>
      <c r="C293" s="2"/>
      <c r="D293" s="2"/>
      <c r="E293" s="3"/>
      <c r="F293" s="2"/>
      <c r="G293" s="2"/>
      <c r="H293" s="2"/>
      <c r="I293" s="2"/>
    </row>
    <row r="294" spans="1:9" ht="15.6">
      <c r="A294" s="2"/>
      <c r="B294" s="2"/>
      <c r="C294" s="2"/>
      <c r="D294" s="2"/>
      <c r="E294" s="3"/>
      <c r="F294" s="2"/>
      <c r="G294" s="2"/>
      <c r="H294" s="2"/>
      <c r="I294" s="2"/>
    </row>
    <row r="295" spans="1:9" ht="15.6">
      <c r="A295" s="2"/>
      <c r="B295" s="2"/>
      <c r="C295" s="2"/>
      <c r="D295" s="2"/>
      <c r="E295" s="3"/>
      <c r="F295" s="2"/>
      <c r="G295" s="2"/>
      <c r="H295" s="2"/>
      <c r="I295" s="2"/>
    </row>
    <row r="296" spans="1:9" ht="15.6">
      <c r="A296" s="2"/>
      <c r="B296" s="2"/>
      <c r="C296" s="2"/>
      <c r="D296" s="2"/>
      <c r="E296" s="3"/>
      <c r="F296" s="2"/>
      <c r="G296" s="2"/>
      <c r="H296" s="2"/>
      <c r="I296" s="2"/>
    </row>
    <row r="297" spans="1:9" ht="15.6">
      <c r="A297" s="2"/>
      <c r="B297" s="2"/>
      <c r="C297" s="2"/>
      <c r="D297" s="2"/>
      <c r="E297" s="3"/>
      <c r="F297" s="2"/>
      <c r="G297" s="2"/>
      <c r="H297" s="2"/>
      <c r="I297" s="2"/>
    </row>
    <row r="298" spans="1:9" ht="15.6">
      <c r="A298" s="2"/>
      <c r="B298" s="2"/>
      <c r="C298" s="2"/>
      <c r="D298" s="2"/>
      <c r="E298" s="3"/>
      <c r="F298" s="2"/>
      <c r="G298" s="2"/>
      <c r="H298" s="2"/>
      <c r="I298" s="2"/>
    </row>
    <row r="299" spans="1:9" ht="15.6">
      <c r="A299" s="2"/>
      <c r="B299" s="2"/>
      <c r="C299" s="2"/>
      <c r="D299" s="2"/>
      <c r="E299" s="3"/>
      <c r="F299" s="2"/>
      <c r="G299" s="2"/>
      <c r="H299" s="2"/>
      <c r="I299" s="2"/>
    </row>
    <row r="300" spans="1:9" ht="15.6">
      <c r="A300" s="2"/>
      <c r="B300" s="2"/>
      <c r="C300" s="2"/>
      <c r="D300" s="2"/>
      <c r="E300" s="3"/>
      <c r="F300" s="2"/>
      <c r="G300" s="2"/>
      <c r="H300" s="2"/>
      <c r="I300" s="2"/>
    </row>
    <row r="301" spans="1:9" ht="15.6">
      <c r="A301" s="2"/>
      <c r="B301" s="2"/>
      <c r="C301" s="2"/>
      <c r="D301" s="2"/>
      <c r="E301" s="3"/>
      <c r="F301" s="2"/>
      <c r="G301" s="2"/>
      <c r="H301" s="2"/>
      <c r="I301" s="2"/>
    </row>
    <row r="302" spans="1:9" ht="15.6">
      <c r="A302" s="2"/>
      <c r="B302" s="2"/>
      <c r="C302" s="2"/>
      <c r="D302" s="2"/>
      <c r="E302" s="3"/>
      <c r="F302" s="2"/>
      <c r="G302" s="2"/>
      <c r="H302" s="2"/>
      <c r="I302" s="2"/>
    </row>
    <row r="303" spans="1:9" ht="15.6">
      <c r="A303" s="2"/>
      <c r="B303" s="2"/>
      <c r="C303" s="2"/>
      <c r="D303" s="2"/>
      <c r="E303" s="3"/>
      <c r="F303" s="2"/>
      <c r="G303" s="2"/>
      <c r="H303" s="2"/>
      <c r="I303" s="2"/>
    </row>
    <row r="304" spans="1:9" ht="15.6">
      <c r="A304" s="2"/>
      <c r="B304" s="2"/>
      <c r="C304" s="2"/>
      <c r="D304" s="2"/>
      <c r="E304" s="3"/>
      <c r="F304" s="2"/>
      <c r="G304" s="2"/>
      <c r="H304" s="2"/>
      <c r="I304" s="2"/>
    </row>
    <row r="305" spans="1:9" ht="15.6">
      <c r="A305" s="2"/>
      <c r="B305" s="2"/>
      <c r="C305" s="2"/>
      <c r="D305" s="2"/>
      <c r="E305" s="3"/>
      <c r="F305" s="2"/>
      <c r="G305" s="2"/>
      <c r="H305" s="2"/>
      <c r="I305" s="2"/>
    </row>
    <row r="306" spans="1:9" ht="15.6">
      <c r="A306" s="2"/>
      <c r="B306" s="2"/>
      <c r="C306" s="2"/>
      <c r="D306" s="2"/>
      <c r="E306" s="3"/>
      <c r="F306" s="2"/>
      <c r="G306" s="2"/>
      <c r="H306" s="2"/>
      <c r="I306" s="2"/>
    </row>
    <row r="307" spans="1:9" ht="15.6">
      <c r="A307" s="2"/>
      <c r="B307" s="2"/>
      <c r="C307" s="2"/>
      <c r="D307" s="2"/>
      <c r="E307" s="3"/>
      <c r="F307" s="2"/>
      <c r="G307" s="2"/>
      <c r="H307" s="2"/>
      <c r="I307" s="2"/>
    </row>
    <row r="308" spans="1:9" ht="15.6">
      <c r="A308" s="2"/>
      <c r="B308" s="2"/>
      <c r="C308" s="2"/>
      <c r="D308" s="2"/>
      <c r="E308" s="3"/>
      <c r="F308" s="2"/>
      <c r="G308" s="2"/>
      <c r="H308" s="2"/>
      <c r="I308" s="2"/>
    </row>
    <row r="309" spans="1:9" ht="15.6">
      <c r="A309" s="2"/>
      <c r="B309" s="2"/>
      <c r="C309" s="2"/>
      <c r="D309" s="2"/>
      <c r="E309" s="3"/>
      <c r="F309" s="2"/>
      <c r="G309" s="2"/>
      <c r="H309" s="2"/>
      <c r="I309" s="2"/>
    </row>
    <row r="310" spans="1:9" ht="15.6">
      <c r="A310" s="2"/>
      <c r="B310" s="2"/>
      <c r="C310" s="2"/>
      <c r="D310" s="2"/>
      <c r="E310" s="3"/>
      <c r="F310" s="2"/>
      <c r="G310" s="2"/>
      <c r="H310" s="2"/>
      <c r="I310" s="2"/>
    </row>
    <row r="311" spans="1:9" ht="15.6">
      <c r="A311" s="2"/>
      <c r="B311" s="2"/>
      <c r="C311" s="2"/>
      <c r="D311" s="2"/>
      <c r="E311" s="3"/>
      <c r="F311" s="2"/>
      <c r="G311" s="2"/>
      <c r="H311" s="2"/>
      <c r="I311" s="2"/>
    </row>
    <row r="312" spans="1:9" ht="15.6">
      <c r="A312" s="2"/>
      <c r="B312" s="2"/>
      <c r="C312" s="2"/>
      <c r="D312" s="2"/>
      <c r="E312" s="3"/>
      <c r="F312" s="2"/>
      <c r="G312" s="2"/>
      <c r="H312" s="2"/>
      <c r="I312" s="2"/>
    </row>
    <row r="313" spans="1:9" ht="15.6">
      <c r="A313" s="2"/>
      <c r="B313" s="2"/>
      <c r="C313" s="2"/>
      <c r="D313" s="2"/>
      <c r="E313" s="3"/>
      <c r="F313" s="2"/>
      <c r="G313" s="2"/>
      <c r="H313" s="2"/>
      <c r="I313" s="2"/>
    </row>
    <row r="314" spans="1:9" ht="15.6">
      <c r="A314" s="2"/>
      <c r="B314" s="2"/>
      <c r="C314" s="2"/>
      <c r="D314" s="2"/>
      <c r="E314" s="3"/>
      <c r="F314" s="2"/>
      <c r="G314" s="2"/>
      <c r="H314" s="2"/>
      <c r="I314" s="2"/>
    </row>
    <row r="315" spans="1:9" ht="15.6">
      <c r="A315" s="2"/>
      <c r="B315" s="2"/>
      <c r="C315" s="2"/>
      <c r="D315" s="2"/>
      <c r="E315" s="3"/>
      <c r="F315" s="2"/>
      <c r="G315" s="2"/>
      <c r="H315" s="2"/>
      <c r="I315" s="2"/>
    </row>
    <row r="316" spans="1:9" ht="15.6">
      <c r="A316" s="2"/>
      <c r="B316" s="2"/>
      <c r="C316" s="2"/>
      <c r="D316" s="2"/>
      <c r="E316" s="3"/>
      <c r="F316" s="2"/>
      <c r="G316" s="2"/>
      <c r="H316" s="2"/>
      <c r="I316" s="2"/>
    </row>
    <row r="317" spans="1:9" ht="15.6">
      <c r="A317" s="2"/>
      <c r="B317" s="2"/>
      <c r="C317" s="2"/>
      <c r="D317" s="2"/>
      <c r="E317" s="3"/>
      <c r="F317" s="2"/>
      <c r="G317" s="2"/>
      <c r="H317" s="2"/>
      <c r="I317" s="2"/>
    </row>
    <row r="318" spans="1:9" ht="15.6">
      <c r="A318" s="2"/>
      <c r="B318" s="2"/>
      <c r="C318" s="2"/>
      <c r="D318" s="2"/>
      <c r="E318" s="3"/>
      <c r="F318" s="2"/>
      <c r="G318" s="2"/>
      <c r="H318" s="2"/>
      <c r="I318" s="2"/>
    </row>
    <row r="319" spans="1:9" ht="15.6">
      <c r="A319" s="2"/>
      <c r="B319" s="2"/>
      <c r="C319" s="2"/>
      <c r="D319" s="2"/>
      <c r="E319" s="3"/>
      <c r="F319" s="2"/>
      <c r="G319" s="2"/>
      <c r="H319" s="2"/>
      <c r="I319" s="2"/>
    </row>
    <row r="320" spans="1:9" ht="15.6">
      <c r="A320" s="2"/>
      <c r="B320" s="2"/>
      <c r="C320" s="2"/>
      <c r="D320" s="2"/>
      <c r="E320" s="3"/>
      <c r="F320" s="2"/>
      <c r="G320" s="2"/>
      <c r="H320" s="2"/>
      <c r="I320" s="2"/>
    </row>
    <row r="321" spans="1:9" ht="15.6">
      <c r="A321" s="2"/>
      <c r="B321" s="2"/>
      <c r="C321" s="2"/>
      <c r="D321" s="2"/>
      <c r="E321" s="3"/>
      <c r="F321" s="2"/>
      <c r="G321" s="2"/>
      <c r="H321" s="2"/>
      <c r="I321" s="2"/>
    </row>
    <row r="322" spans="1:9" ht="15.6">
      <c r="A322" s="2"/>
      <c r="B322" s="2"/>
      <c r="C322" s="2"/>
      <c r="D322" s="2"/>
      <c r="E322" s="3"/>
      <c r="F322" s="2"/>
      <c r="G322" s="2"/>
      <c r="H322" s="2"/>
      <c r="I322" s="2"/>
    </row>
    <row r="323" spans="1:9" ht="15.6">
      <c r="A323" s="2"/>
      <c r="B323" s="2"/>
      <c r="C323" s="2"/>
      <c r="D323" s="2"/>
      <c r="E323" s="3"/>
      <c r="F323" s="2"/>
      <c r="G323" s="2"/>
      <c r="H323" s="2"/>
      <c r="I323" s="2"/>
    </row>
    <row r="324" spans="1:9" ht="15.6">
      <c r="A324" s="2"/>
      <c r="B324" s="2"/>
      <c r="C324" s="2"/>
      <c r="D324" s="2"/>
      <c r="E324" s="3"/>
      <c r="F324" s="2"/>
      <c r="G324" s="2"/>
      <c r="H324" s="2"/>
      <c r="I324" s="2"/>
    </row>
    <row r="325" spans="1:9" ht="15.6">
      <c r="A325" s="2"/>
      <c r="B325" s="2"/>
      <c r="C325" s="2"/>
      <c r="D325" s="2"/>
      <c r="E325" s="3"/>
      <c r="F325" s="2"/>
      <c r="G325" s="2"/>
      <c r="H325" s="2"/>
      <c r="I325" s="2"/>
    </row>
    <row r="326" spans="1:9" ht="15.6">
      <c r="A326" s="2"/>
      <c r="B326" s="2"/>
      <c r="C326" s="2"/>
      <c r="D326" s="2"/>
      <c r="E326" s="3"/>
      <c r="F326" s="2"/>
      <c r="G326" s="2"/>
      <c r="H326" s="2"/>
      <c r="I326" s="2"/>
    </row>
    <row r="327" spans="1:9" ht="15.6">
      <c r="A327" s="2"/>
      <c r="B327" s="2"/>
      <c r="C327" s="2"/>
      <c r="D327" s="2"/>
      <c r="E327" s="3"/>
      <c r="F327" s="2"/>
      <c r="G327" s="2"/>
      <c r="H327" s="2"/>
      <c r="I327" s="2"/>
    </row>
    <row r="328" spans="1:9" ht="15.6">
      <c r="A328" s="2"/>
      <c r="B328" s="2"/>
      <c r="C328" s="2"/>
      <c r="D328" s="2"/>
      <c r="E328" s="3"/>
      <c r="F328" s="2"/>
      <c r="G328" s="2"/>
      <c r="H328" s="2"/>
      <c r="I328" s="2"/>
    </row>
    <row r="329" spans="1:9" ht="15.6">
      <c r="A329" s="2"/>
      <c r="B329" s="2"/>
      <c r="C329" s="2"/>
      <c r="D329" s="2"/>
      <c r="E329" s="3"/>
      <c r="F329" s="2"/>
      <c r="G329" s="2"/>
      <c r="H329" s="2"/>
      <c r="I329" s="2"/>
    </row>
    <row r="330" spans="1:9" ht="15.6">
      <c r="A330" s="2"/>
      <c r="B330" s="2"/>
      <c r="C330" s="2"/>
      <c r="D330" s="2"/>
      <c r="E330" s="3"/>
      <c r="F330" s="2"/>
      <c r="G330" s="2"/>
      <c r="H330" s="2"/>
      <c r="I330" s="2"/>
    </row>
    <row r="331" spans="1:9" ht="15.6">
      <c r="A331" s="2"/>
      <c r="B331" s="2"/>
      <c r="C331" s="2"/>
      <c r="D331" s="2"/>
      <c r="E331" s="3"/>
      <c r="F331" s="2"/>
      <c r="G331" s="2"/>
      <c r="H331" s="2"/>
      <c r="I331" s="2"/>
    </row>
    <row r="332" spans="1:9" ht="15.6">
      <c r="A332" s="2"/>
      <c r="B332" s="2"/>
      <c r="C332" s="2"/>
      <c r="D332" s="2"/>
      <c r="E332" s="3"/>
      <c r="F332" s="2"/>
      <c r="G332" s="2"/>
      <c r="H332" s="2"/>
      <c r="I332" s="2"/>
    </row>
    <row r="333" spans="1:9" ht="15.6">
      <c r="A333" s="2"/>
      <c r="B333" s="2"/>
      <c r="C333" s="2"/>
      <c r="D333" s="2"/>
      <c r="E333" s="3"/>
      <c r="F333" s="2"/>
      <c r="G333" s="2"/>
      <c r="H333" s="2"/>
      <c r="I333" s="2"/>
    </row>
    <row r="334" spans="1:9" ht="15.6">
      <c r="A334" s="2"/>
      <c r="B334" s="2"/>
      <c r="C334" s="2"/>
      <c r="D334" s="2"/>
      <c r="E334" s="3"/>
      <c r="F334" s="2"/>
      <c r="G334" s="2"/>
      <c r="H334" s="2"/>
      <c r="I334" s="2"/>
    </row>
    <row r="335" spans="1:9" ht="15.6">
      <c r="A335" s="2"/>
      <c r="B335" s="2"/>
      <c r="C335" s="2"/>
      <c r="D335" s="2"/>
      <c r="E335" s="3"/>
      <c r="F335" s="2"/>
      <c r="G335" s="2"/>
      <c r="H335" s="2"/>
      <c r="I335" s="2"/>
    </row>
    <row r="336" spans="1:9" ht="15.6">
      <c r="A336" s="2"/>
      <c r="B336" s="2"/>
      <c r="C336" s="2"/>
      <c r="D336" s="2"/>
      <c r="E336" s="3"/>
      <c r="F336" s="2"/>
      <c r="G336" s="2"/>
      <c r="H336" s="2"/>
      <c r="I336" s="2"/>
    </row>
    <row r="337" spans="1:9" ht="15.6">
      <c r="A337" s="2"/>
      <c r="B337" s="2"/>
      <c r="C337" s="2"/>
      <c r="D337" s="2"/>
      <c r="E337" s="3"/>
      <c r="F337" s="2"/>
      <c r="G337" s="2"/>
      <c r="H337" s="2"/>
      <c r="I337" s="2"/>
    </row>
    <row r="338" spans="1:9" ht="15.6">
      <c r="A338" s="2"/>
      <c r="B338" s="2"/>
      <c r="C338" s="2"/>
      <c r="D338" s="2"/>
      <c r="E338" s="3"/>
      <c r="F338" s="2"/>
      <c r="G338" s="2"/>
      <c r="H338" s="2"/>
      <c r="I338" s="2"/>
    </row>
    <row r="339" spans="1:9" ht="15.6">
      <c r="A339" s="2"/>
      <c r="B339" s="2"/>
      <c r="C339" s="2"/>
      <c r="D339" s="2"/>
      <c r="E339" s="3"/>
      <c r="F339" s="2"/>
      <c r="G339" s="2"/>
      <c r="H339" s="2"/>
      <c r="I339" s="2"/>
    </row>
    <row r="340" spans="1:9" ht="15.6">
      <c r="A340" s="2"/>
      <c r="B340" s="2"/>
      <c r="C340" s="2"/>
      <c r="D340" s="2"/>
      <c r="E340" s="3"/>
      <c r="F340" s="2"/>
      <c r="G340" s="2"/>
      <c r="H340" s="2"/>
      <c r="I340" s="2"/>
    </row>
    <row r="341" spans="1:9" ht="15.6">
      <c r="A341" s="2"/>
      <c r="B341" s="2"/>
      <c r="C341" s="2"/>
      <c r="D341" s="2"/>
      <c r="E341" s="3"/>
      <c r="F341" s="2"/>
      <c r="G341" s="2"/>
      <c r="H341" s="2"/>
      <c r="I341" s="2"/>
    </row>
    <row r="342" spans="1:9" ht="15.6">
      <c r="A342" s="2"/>
      <c r="B342" s="2"/>
      <c r="C342" s="2"/>
      <c r="D342" s="2"/>
      <c r="E342" s="3"/>
      <c r="F342" s="2"/>
      <c r="G342" s="2"/>
      <c r="H342" s="2"/>
      <c r="I342" s="2"/>
    </row>
    <row r="343" spans="1:9" ht="15.6">
      <c r="A343" s="2"/>
      <c r="B343" s="2"/>
      <c r="C343" s="2"/>
      <c r="D343" s="2"/>
      <c r="E343" s="3"/>
      <c r="F343" s="2"/>
      <c r="G343" s="2"/>
      <c r="H343" s="2"/>
      <c r="I343" s="2"/>
    </row>
    <row r="344" spans="1:9" ht="15.6">
      <c r="A344" s="2"/>
      <c r="B344" s="2"/>
      <c r="C344" s="2"/>
      <c r="D344" s="2"/>
      <c r="E344" s="3"/>
      <c r="F344" s="2"/>
      <c r="G344" s="2"/>
      <c r="H344" s="2"/>
      <c r="I344" s="2"/>
    </row>
    <row r="345" spans="1:9" ht="15.6">
      <c r="A345" s="2"/>
      <c r="B345" s="2"/>
      <c r="C345" s="2"/>
      <c r="D345" s="2"/>
      <c r="E345" s="3"/>
      <c r="F345" s="2"/>
      <c r="G345" s="2"/>
      <c r="H345" s="2"/>
      <c r="I345" s="2"/>
    </row>
    <row r="346" spans="1:9" ht="15.6">
      <c r="A346" s="2"/>
      <c r="B346" s="2"/>
      <c r="C346" s="2"/>
      <c r="D346" s="2"/>
      <c r="E346" s="3"/>
      <c r="F346" s="2"/>
      <c r="G346" s="2"/>
      <c r="H346" s="2"/>
      <c r="I346" s="2"/>
    </row>
    <row r="347" spans="1:9" ht="15.6">
      <c r="A347" s="2"/>
      <c r="B347" s="2"/>
      <c r="C347" s="2"/>
      <c r="D347" s="2"/>
      <c r="E347" s="3"/>
      <c r="F347" s="2"/>
      <c r="G347" s="2"/>
      <c r="H347" s="2"/>
      <c r="I347" s="2"/>
    </row>
    <row r="348" spans="1:9" ht="15.6">
      <c r="A348" s="2"/>
      <c r="B348" s="2"/>
      <c r="C348" s="2"/>
      <c r="D348" s="2"/>
      <c r="E348" s="3"/>
      <c r="F348" s="2"/>
      <c r="G348" s="2"/>
      <c r="H348" s="2"/>
      <c r="I348" s="2"/>
    </row>
    <row r="349" spans="1:9" ht="15.6">
      <c r="A349" s="2"/>
      <c r="B349" s="2"/>
      <c r="C349" s="2"/>
      <c r="D349" s="2"/>
      <c r="E349" s="3"/>
      <c r="F349" s="2"/>
      <c r="G349" s="2"/>
      <c r="H349" s="2"/>
      <c r="I349" s="2"/>
    </row>
    <row r="350" spans="1:9" ht="15.6">
      <c r="A350" s="2"/>
      <c r="B350" s="2"/>
      <c r="C350" s="2"/>
      <c r="D350" s="2"/>
      <c r="E350" s="3"/>
      <c r="F350" s="2"/>
      <c r="G350" s="2"/>
      <c r="H350" s="2"/>
      <c r="I350" s="2"/>
    </row>
    <row r="351" spans="1:9" ht="15.6">
      <c r="A351" s="2"/>
      <c r="B351" s="2"/>
      <c r="C351" s="2"/>
      <c r="D351" s="2"/>
      <c r="E351" s="3"/>
      <c r="F351" s="2"/>
      <c r="G351" s="2"/>
      <c r="H351" s="2"/>
      <c r="I351" s="2"/>
    </row>
    <row r="352" spans="1:9" ht="15.6">
      <c r="A352" s="2"/>
      <c r="B352" s="2"/>
      <c r="C352" s="2"/>
      <c r="D352" s="2"/>
      <c r="E352" s="3"/>
      <c r="F352" s="2"/>
      <c r="G352" s="2"/>
      <c r="H352" s="2"/>
      <c r="I352" s="2"/>
    </row>
    <row r="353" spans="1:9" ht="15.6">
      <c r="A353" s="2"/>
      <c r="B353" s="2"/>
      <c r="C353" s="2"/>
      <c r="D353" s="2"/>
      <c r="E353" s="3"/>
      <c r="F353" s="2"/>
      <c r="G353" s="2"/>
      <c r="H353" s="2"/>
      <c r="I353" s="2"/>
    </row>
    <row r="354" spans="1:9" ht="15.6">
      <c r="A354" s="2"/>
      <c r="B354" s="2"/>
      <c r="C354" s="2"/>
      <c r="D354" s="2"/>
      <c r="E354" s="3"/>
      <c r="F354" s="2"/>
      <c r="G354" s="2"/>
      <c r="H354" s="2"/>
      <c r="I354" s="2"/>
    </row>
    <row r="355" spans="1:9" ht="15.6">
      <c r="A355" s="2"/>
      <c r="B355" s="2"/>
      <c r="C355" s="2"/>
      <c r="D355" s="2"/>
      <c r="E355" s="3"/>
      <c r="F355" s="2"/>
      <c r="G355" s="2"/>
      <c r="H355" s="2"/>
      <c r="I355" s="2"/>
    </row>
    <row r="356" spans="1:9" ht="15.6">
      <c r="A356" s="2"/>
      <c r="B356" s="2"/>
      <c r="C356" s="2"/>
      <c r="D356" s="2"/>
      <c r="E356" s="3"/>
      <c r="F356" s="2"/>
      <c r="G356" s="2"/>
      <c r="H356" s="2"/>
      <c r="I356" s="2"/>
    </row>
    <row r="357" spans="1:9" ht="15.6">
      <c r="A357" s="2"/>
      <c r="B357" s="2"/>
      <c r="C357" s="2"/>
      <c r="D357" s="2"/>
      <c r="E357" s="3"/>
      <c r="F357" s="2"/>
      <c r="G357" s="2"/>
      <c r="H357" s="2"/>
      <c r="I357" s="2"/>
    </row>
    <row r="358" spans="1:9" ht="15.6">
      <c r="A358" s="2"/>
      <c r="B358" s="2"/>
      <c r="C358" s="2"/>
      <c r="D358" s="2"/>
      <c r="E358" s="3"/>
      <c r="F358" s="2"/>
      <c r="G358" s="2"/>
      <c r="H358" s="2"/>
      <c r="I358" s="2"/>
    </row>
    <row r="359" spans="1:9" ht="15.6">
      <c r="A359" s="2"/>
      <c r="B359" s="2"/>
      <c r="C359" s="2"/>
      <c r="D359" s="2"/>
      <c r="E359" s="3"/>
      <c r="F359" s="2"/>
      <c r="G359" s="2"/>
      <c r="H359" s="2"/>
      <c r="I359" s="2"/>
    </row>
    <row r="360" spans="1:9" ht="15.6">
      <c r="A360" s="2"/>
      <c r="B360" s="2"/>
      <c r="C360" s="2"/>
      <c r="D360" s="2"/>
      <c r="E360" s="3"/>
      <c r="F360" s="2"/>
      <c r="G360" s="2"/>
      <c r="H360" s="2"/>
      <c r="I360" s="2"/>
    </row>
    <row r="361" spans="1:9" ht="15.6">
      <c r="A361" s="2"/>
      <c r="B361" s="2"/>
      <c r="C361" s="2"/>
      <c r="D361" s="2"/>
      <c r="E361" s="3"/>
      <c r="F361" s="2"/>
      <c r="G361" s="2"/>
      <c r="H361" s="2"/>
      <c r="I361" s="2"/>
    </row>
    <row r="362" spans="1:9" ht="15.6">
      <c r="A362" s="2"/>
      <c r="B362" s="2"/>
      <c r="C362" s="2"/>
      <c r="D362" s="2"/>
      <c r="E362" s="3"/>
      <c r="F362" s="2"/>
      <c r="G362" s="2"/>
      <c r="H362" s="2"/>
      <c r="I362" s="2"/>
    </row>
    <row r="363" spans="1:9" ht="15.6">
      <c r="A363" s="2"/>
      <c r="B363" s="2"/>
      <c r="C363" s="2"/>
      <c r="D363" s="2"/>
      <c r="E363" s="3"/>
      <c r="F363" s="2"/>
      <c r="G363" s="2"/>
      <c r="H363" s="2"/>
      <c r="I363" s="2"/>
    </row>
    <row r="364" spans="1:9" ht="15.6">
      <c r="A364" s="2"/>
      <c r="B364" s="2"/>
      <c r="C364" s="2"/>
      <c r="D364" s="2"/>
      <c r="E364" s="3"/>
      <c r="F364" s="2"/>
      <c r="G364" s="2"/>
      <c r="H364" s="2"/>
      <c r="I364" s="2"/>
    </row>
    <row r="365" spans="1:9" ht="15.6">
      <c r="A365" s="2"/>
      <c r="B365" s="2"/>
      <c r="C365" s="2"/>
      <c r="D365" s="2"/>
      <c r="E365" s="3"/>
      <c r="F365" s="2"/>
      <c r="G365" s="2"/>
      <c r="H365" s="2"/>
      <c r="I365" s="2"/>
    </row>
    <row r="366" spans="1:9" ht="15.6">
      <c r="A366" s="2"/>
      <c r="B366" s="2"/>
      <c r="C366" s="2"/>
      <c r="D366" s="2"/>
      <c r="E366" s="3"/>
      <c r="F366" s="2"/>
      <c r="G366" s="2"/>
      <c r="H366" s="2"/>
      <c r="I366" s="2"/>
    </row>
    <row r="367" spans="1:9" ht="15.6">
      <c r="A367" s="2"/>
      <c r="B367" s="2"/>
      <c r="C367" s="2"/>
      <c r="D367" s="2"/>
      <c r="E367" s="3"/>
      <c r="F367" s="2"/>
      <c r="G367" s="2"/>
      <c r="H367" s="2"/>
      <c r="I367" s="2"/>
    </row>
    <row r="368" spans="1:9" ht="15.6">
      <c r="A368" s="2"/>
      <c r="B368" s="2"/>
      <c r="C368" s="2"/>
      <c r="D368" s="2"/>
      <c r="E368" s="3"/>
      <c r="F368" s="2"/>
      <c r="G368" s="2"/>
      <c r="H368" s="2"/>
      <c r="I368" s="2"/>
    </row>
    <row r="369" spans="1:9" ht="15.6">
      <c r="A369" s="2"/>
      <c r="B369" s="2"/>
      <c r="C369" s="2"/>
      <c r="D369" s="2"/>
      <c r="E369" s="3"/>
      <c r="F369" s="2"/>
      <c r="G369" s="2"/>
      <c r="H369" s="2"/>
      <c r="I369" s="2"/>
    </row>
    <row r="370" spans="1:9" ht="15.6">
      <c r="A370" s="2"/>
      <c r="B370" s="2"/>
      <c r="C370" s="2"/>
      <c r="D370" s="2"/>
      <c r="E370" s="3"/>
      <c r="F370" s="2"/>
      <c r="G370" s="2"/>
      <c r="H370" s="2"/>
      <c r="I370" s="2"/>
    </row>
    <row r="371" spans="1:9" ht="15.6">
      <c r="A371" s="2"/>
      <c r="B371" s="2"/>
      <c r="C371" s="2"/>
      <c r="D371" s="2"/>
      <c r="E371" s="3"/>
      <c r="F371" s="2"/>
      <c r="G371" s="2"/>
      <c r="H371" s="2"/>
      <c r="I371" s="2"/>
    </row>
    <row r="372" spans="1:9" ht="15.6">
      <c r="A372" s="2"/>
      <c r="B372" s="2"/>
      <c r="C372" s="2"/>
      <c r="D372" s="2"/>
      <c r="E372" s="3"/>
      <c r="F372" s="2"/>
      <c r="G372" s="2"/>
      <c r="H372" s="2"/>
      <c r="I372" s="2"/>
    </row>
    <row r="373" spans="1:9" ht="15.6">
      <c r="A373" s="2"/>
      <c r="B373" s="2"/>
      <c r="C373" s="2"/>
      <c r="D373" s="2"/>
      <c r="E373" s="3"/>
      <c r="F373" s="2"/>
      <c r="G373" s="2"/>
      <c r="H373" s="2"/>
      <c r="I373" s="2"/>
    </row>
    <row r="374" spans="1:9" ht="15.6">
      <c r="A374" s="2"/>
      <c r="B374" s="2"/>
      <c r="C374" s="2"/>
      <c r="D374" s="2"/>
      <c r="E374" s="3"/>
      <c r="F374" s="2"/>
      <c r="G374" s="2"/>
      <c r="H374" s="2"/>
      <c r="I374" s="2"/>
    </row>
    <row r="375" spans="1:9" ht="15.6">
      <c r="A375" s="2"/>
      <c r="B375" s="2"/>
      <c r="C375" s="2"/>
      <c r="D375" s="2"/>
      <c r="E375" s="3"/>
      <c r="F375" s="2"/>
      <c r="G375" s="2"/>
      <c r="H375" s="2"/>
      <c r="I375" s="2"/>
    </row>
    <row r="376" spans="1:9" ht="15.6">
      <c r="A376" s="2"/>
      <c r="B376" s="2"/>
      <c r="C376" s="2"/>
      <c r="D376" s="2"/>
      <c r="E376" s="3"/>
      <c r="F376" s="2"/>
      <c r="G376" s="2"/>
      <c r="H376" s="2"/>
      <c r="I376" s="2"/>
    </row>
    <row r="377" spans="1:9" ht="15.6">
      <c r="A377" s="2"/>
      <c r="B377" s="2"/>
      <c r="C377" s="2"/>
      <c r="D377" s="2"/>
      <c r="E377" s="3"/>
      <c r="F377" s="2"/>
      <c r="G377" s="2"/>
      <c r="H377" s="2"/>
      <c r="I377" s="2"/>
    </row>
    <row r="378" spans="1:9" ht="15.6">
      <c r="A378" s="2"/>
      <c r="B378" s="2"/>
      <c r="C378" s="2"/>
      <c r="D378" s="2"/>
      <c r="E378" s="3"/>
      <c r="F378" s="2"/>
      <c r="G378" s="2"/>
      <c r="H378" s="2"/>
      <c r="I378" s="2"/>
    </row>
    <row r="379" spans="1:9" ht="15.6">
      <c r="A379" s="2"/>
      <c r="B379" s="2"/>
      <c r="C379" s="2"/>
      <c r="D379" s="2"/>
      <c r="E379" s="3"/>
      <c r="F379" s="2"/>
      <c r="G379" s="2"/>
      <c r="H379" s="2"/>
      <c r="I379" s="2"/>
    </row>
    <row r="380" spans="1:9" ht="15.6">
      <c r="A380" s="2"/>
      <c r="B380" s="2"/>
      <c r="C380" s="2"/>
      <c r="D380" s="2"/>
      <c r="E380" s="3"/>
      <c r="F380" s="2"/>
      <c r="G380" s="2"/>
      <c r="H380" s="2"/>
      <c r="I380" s="2"/>
    </row>
    <row r="381" spans="1:9" ht="15.6">
      <c r="A381" s="2"/>
      <c r="B381" s="2"/>
      <c r="C381" s="2"/>
      <c r="D381" s="2"/>
      <c r="E381" s="3"/>
      <c r="F381" s="2"/>
      <c r="G381" s="2"/>
      <c r="H381" s="2"/>
      <c r="I381" s="2"/>
    </row>
    <row r="382" spans="1:9" ht="15.6">
      <c r="A382" s="2"/>
      <c r="B382" s="2"/>
      <c r="C382" s="2"/>
      <c r="D382" s="2"/>
      <c r="E382" s="3"/>
      <c r="F382" s="2"/>
      <c r="G382" s="2"/>
      <c r="H382" s="2"/>
      <c r="I382" s="2"/>
    </row>
    <row r="383" spans="1:9" ht="15.6">
      <c r="A383" s="2"/>
      <c r="B383" s="2"/>
      <c r="C383" s="2"/>
      <c r="D383" s="2"/>
      <c r="E383" s="3"/>
      <c r="F383" s="2"/>
      <c r="G383" s="2"/>
      <c r="H383" s="2"/>
      <c r="I383" s="2"/>
    </row>
    <row r="384" spans="1:9" ht="15.6">
      <c r="A384" s="2"/>
      <c r="B384" s="2"/>
      <c r="C384" s="2"/>
      <c r="D384" s="2"/>
      <c r="E384" s="3"/>
      <c r="F384" s="2"/>
      <c r="G384" s="2"/>
      <c r="H384" s="2"/>
      <c r="I384" s="2"/>
    </row>
    <row r="385" spans="1:9" ht="15.6">
      <c r="A385" s="2"/>
      <c r="B385" s="2"/>
      <c r="C385" s="2"/>
      <c r="D385" s="2"/>
      <c r="E385" s="3"/>
      <c r="F385" s="2"/>
      <c r="G385" s="2"/>
      <c r="H385" s="2"/>
      <c r="I385" s="2"/>
    </row>
    <row r="386" spans="1:9" ht="15.6">
      <c r="A386" s="2"/>
      <c r="B386" s="2"/>
      <c r="C386" s="2"/>
      <c r="D386" s="2"/>
      <c r="E386" s="3"/>
      <c r="F386" s="2"/>
      <c r="G386" s="2"/>
      <c r="H386" s="2"/>
      <c r="I386" s="2"/>
    </row>
    <row r="387" spans="1:9" ht="15.6">
      <c r="A387" s="2"/>
      <c r="B387" s="2"/>
      <c r="C387" s="2"/>
      <c r="D387" s="2"/>
      <c r="E387" s="3"/>
      <c r="F387" s="2"/>
      <c r="G387" s="2"/>
      <c r="H387" s="2"/>
      <c r="I387" s="2"/>
    </row>
    <row r="388" spans="1:9" ht="15.6">
      <c r="A388" s="2"/>
      <c r="B388" s="2"/>
      <c r="C388" s="2"/>
      <c r="D388" s="2"/>
      <c r="E388" s="3"/>
      <c r="F388" s="2"/>
      <c r="G388" s="2"/>
      <c r="H388" s="2"/>
      <c r="I388" s="2"/>
    </row>
    <row r="389" spans="1:9" ht="15.6">
      <c r="A389" s="2"/>
      <c r="B389" s="2"/>
      <c r="C389" s="2"/>
      <c r="D389" s="2"/>
      <c r="E389" s="3"/>
      <c r="F389" s="2"/>
      <c r="G389" s="2"/>
      <c r="H389" s="2"/>
      <c r="I389" s="2"/>
    </row>
    <row r="390" spans="1:9" ht="15.6">
      <c r="A390" s="2"/>
      <c r="B390" s="2"/>
      <c r="C390" s="2"/>
      <c r="D390" s="2"/>
      <c r="E390" s="3"/>
      <c r="F390" s="2"/>
      <c r="G390" s="2"/>
      <c r="H390" s="2"/>
      <c r="I390" s="2"/>
    </row>
    <row r="391" spans="1:9" ht="15.6">
      <c r="A391" s="2"/>
      <c r="B391" s="2"/>
      <c r="C391" s="2"/>
      <c r="D391" s="2"/>
      <c r="E391" s="3"/>
      <c r="F391" s="2"/>
      <c r="G391" s="2"/>
      <c r="H391" s="2"/>
      <c r="I391" s="2"/>
    </row>
    <row r="392" spans="1:9" ht="15.6">
      <c r="A392" s="2"/>
      <c r="B392" s="2"/>
      <c r="C392" s="2"/>
      <c r="D392" s="2"/>
      <c r="E392" s="3"/>
      <c r="F392" s="2"/>
      <c r="G392" s="2"/>
      <c r="H392" s="2"/>
      <c r="I392" s="2"/>
    </row>
    <row r="393" spans="1:9" ht="15.6">
      <c r="A393" s="2"/>
      <c r="B393" s="2"/>
      <c r="C393" s="2"/>
      <c r="D393" s="2"/>
      <c r="E393" s="3"/>
      <c r="F393" s="2"/>
      <c r="G393" s="2"/>
      <c r="H393" s="2"/>
      <c r="I393" s="2"/>
    </row>
    <row r="394" spans="1:9" ht="15.6">
      <c r="A394" s="2"/>
      <c r="B394" s="2"/>
      <c r="C394" s="2"/>
      <c r="D394" s="2"/>
      <c r="E394" s="3"/>
      <c r="F394" s="2"/>
      <c r="G394" s="2"/>
      <c r="H394" s="2"/>
      <c r="I394" s="2"/>
    </row>
    <row r="395" spans="1:9" ht="15.6">
      <c r="A395" s="2"/>
      <c r="B395" s="2"/>
      <c r="C395" s="2"/>
      <c r="D395" s="2"/>
      <c r="E395" s="3"/>
      <c r="F395" s="2"/>
      <c r="G395" s="2"/>
      <c r="H395" s="2"/>
      <c r="I395" s="2"/>
    </row>
    <row r="396" spans="1:9" ht="15.6">
      <c r="A396" s="2"/>
      <c r="B396" s="2"/>
      <c r="C396" s="2"/>
      <c r="D396" s="2"/>
      <c r="E396" s="3"/>
      <c r="F396" s="2"/>
      <c r="G396" s="2"/>
      <c r="H396" s="2"/>
      <c r="I396" s="2"/>
    </row>
    <row r="397" spans="1:9" ht="15.6">
      <c r="A397" s="2"/>
      <c r="B397" s="2"/>
      <c r="C397" s="2"/>
      <c r="D397" s="2"/>
      <c r="E397" s="3"/>
      <c r="F397" s="2"/>
      <c r="G397" s="2"/>
      <c r="H397" s="2"/>
      <c r="I397" s="2"/>
    </row>
    <row r="398" spans="1:9" ht="15.6">
      <c r="A398" s="2"/>
      <c r="B398" s="2"/>
      <c r="C398" s="2"/>
      <c r="D398" s="2"/>
      <c r="E398" s="3"/>
      <c r="F398" s="2"/>
      <c r="G398" s="2"/>
      <c r="H398" s="2"/>
      <c r="I398" s="2"/>
    </row>
    <row r="399" spans="1:9" ht="15.6">
      <c r="A399" s="2"/>
      <c r="B399" s="2"/>
      <c r="C399" s="2"/>
      <c r="D399" s="2"/>
      <c r="E399" s="3"/>
      <c r="F399" s="2"/>
      <c r="G399" s="2"/>
      <c r="H399" s="2"/>
      <c r="I399" s="2"/>
    </row>
    <row r="400" spans="1:9" ht="15.6">
      <c r="A400" s="2"/>
      <c r="B400" s="2"/>
      <c r="C400" s="2"/>
      <c r="D400" s="2"/>
      <c r="E400" s="3"/>
      <c r="F400" s="2"/>
      <c r="G400" s="2"/>
      <c r="H400" s="2"/>
      <c r="I400" s="2"/>
    </row>
    <row r="401" spans="1:9" ht="15.6">
      <c r="A401" s="2"/>
      <c r="B401" s="2"/>
      <c r="C401" s="2"/>
      <c r="D401" s="2"/>
      <c r="E401" s="3"/>
      <c r="F401" s="2"/>
      <c r="G401" s="2"/>
      <c r="H401" s="2"/>
      <c r="I401" s="2"/>
    </row>
    <row r="402" spans="1:9" ht="15.6">
      <c r="A402" s="2"/>
      <c r="B402" s="2"/>
      <c r="C402" s="2"/>
      <c r="D402" s="2"/>
      <c r="E402" s="3"/>
      <c r="F402" s="2"/>
      <c r="G402" s="2"/>
      <c r="H402" s="2"/>
      <c r="I402" s="2"/>
    </row>
    <row r="403" spans="1:9" ht="15.6">
      <c r="A403" s="2"/>
      <c r="B403" s="2"/>
      <c r="C403" s="2"/>
      <c r="D403" s="2"/>
      <c r="E403" s="3"/>
      <c r="F403" s="2"/>
      <c r="G403" s="2"/>
      <c r="H403" s="2"/>
      <c r="I403" s="2"/>
    </row>
    <row r="404" spans="1:9" ht="15.6">
      <c r="A404" s="2"/>
      <c r="B404" s="2"/>
      <c r="C404" s="2"/>
      <c r="D404" s="2"/>
      <c r="E404" s="3"/>
      <c r="F404" s="2"/>
      <c r="G404" s="2"/>
      <c r="H404" s="2"/>
      <c r="I404" s="2"/>
    </row>
    <row r="405" spans="1:9" ht="15.6">
      <c r="A405" s="2"/>
      <c r="B405" s="2"/>
      <c r="C405" s="2"/>
      <c r="D405" s="2"/>
      <c r="E405" s="3"/>
      <c r="F405" s="2"/>
      <c r="G405" s="2"/>
      <c r="H405" s="2"/>
      <c r="I405" s="2"/>
    </row>
    <row r="406" spans="1:9" ht="15.6">
      <c r="A406" s="2"/>
      <c r="B406" s="2"/>
      <c r="C406" s="2"/>
      <c r="D406" s="2"/>
      <c r="E406" s="3"/>
      <c r="F406" s="2"/>
      <c r="G406" s="2"/>
      <c r="H406" s="2"/>
      <c r="I406" s="2"/>
    </row>
    <row r="407" spans="1:9" ht="15.6">
      <c r="A407" s="2"/>
      <c r="B407" s="2"/>
      <c r="C407" s="2"/>
      <c r="D407" s="2"/>
      <c r="E407" s="3"/>
      <c r="F407" s="2"/>
      <c r="G407" s="2"/>
      <c r="H407" s="2"/>
      <c r="I407" s="2"/>
    </row>
    <row r="408" spans="1:9" ht="15.6">
      <c r="A408" s="2"/>
      <c r="B408" s="2"/>
      <c r="C408" s="2"/>
      <c r="D408" s="2"/>
      <c r="E408" s="3"/>
      <c r="F408" s="2"/>
      <c r="G408" s="2"/>
      <c r="H408" s="2"/>
      <c r="I408" s="2"/>
    </row>
    <row r="409" spans="1:9" ht="15.6">
      <c r="A409" s="2"/>
      <c r="B409" s="2"/>
      <c r="C409" s="2"/>
      <c r="D409" s="2"/>
      <c r="E409" s="3"/>
      <c r="F409" s="2"/>
      <c r="G409" s="2"/>
      <c r="H409" s="2"/>
      <c r="I409" s="2"/>
    </row>
    <row r="410" spans="1:9" ht="15.6">
      <c r="A410" s="2"/>
      <c r="B410" s="2"/>
      <c r="C410" s="2"/>
      <c r="D410" s="2"/>
      <c r="E410" s="3"/>
      <c r="F410" s="2"/>
      <c r="G410" s="2"/>
      <c r="H410" s="2"/>
      <c r="I410" s="2"/>
    </row>
    <row r="411" spans="1:9" ht="15.6">
      <c r="A411" s="2"/>
      <c r="B411" s="2"/>
      <c r="C411" s="2"/>
      <c r="D411" s="2"/>
      <c r="E411" s="3"/>
      <c r="F411" s="2"/>
      <c r="G411" s="2"/>
      <c r="H411" s="2"/>
      <c r="I411" s="2"/>
    </row>
    <row r="412" spans="1:9" ht="15.6">
      <c r="A412" s="2"/>
      <c r="B412" s="2"/>
      <c r="C412" s="2"/>
      <c r="D412" s="2"/>
      <c r="E412" s="3"/>
      <c r="F412" s="2"/>
      <c r="G412" s="2"/>
      <c r="H412" s="2"/>
      <c r="I412" s="2"/>
    </row>
    <row r="413" spans="1:9" ht="15.6">
      <c r="A413" s="2"/>
      <c r="B413" s="2"/>
      <c r="C413" s="2"/>
      <c r="D413" s="2"/>
      <c r="E413" s="3"/>
      <c r="F413" s="2"/>
      <c r="G413" s="2"/>
      <c r="H413" s="2"/>
      <c r="I413" s="2"/>
    </row>
    <row r="414" spans="1:9" ht="15.6">
      <c r="A414" s="2"/>
      <c r="B414" s="2"/>
      <c r="C414" s="2"/>
      <c r="D414" s="2"/>
      <c r="E414" s="3"/>
      <c r="F414" s="2"/>
      <c r="G414" s="2"/>
      <c r="H414" s="2"/>
      <c r="I414" s="2"/>
    </row>
    <row r="415" spans="1:9" ht="15.6">
      <c r="A415" s="2"/>
      <c r="B415" s="2"/>
      <c r="C415" s="2"/>
      <c r="D415" s="2"/>
      <c r="E415" s="3"/>
      <c r="F415" s="2"/>
      <c r="G415" s="2"/>
      <c r="H415" s="2"/>
      <c r="I415" s="2"/>
    </row>
    <row r="416" spans="1:9" ht="15.6">
      <c r="A416" s="2"/>
      <c r="B416" s="2"/>
      <c r="C416" s="2"/>
      <c r="D416" s="2"/>
      <c r="E416" s="3"/>
      <c r="F416" s="2"/>
      <c r="G416" s="2"/>
      <c r="H416" s="2"/>
      <c r="I416" s="2"/>
    </row>
    <row r="417" spans="1:9" ht="15.6">
      <c r="A417" s="2"/>
      <c r="B417" s="2"/>
      <c r="C417" s="2"/>
      <c r="D417" s="2"/>
      <c r="E417" s="3"/>
      <c r="F417" s="2"/>
      <c r="G417" s="2"/>
      <c r="H417" s="2"/>
      <c r="I417" s="2"/>
    </row>
    <row r="418" spans="1:9" ht="15.6">
      <c r="A418" s="2"/>
      <c r="B418" s="2"/>
      <c r="C418" s="2"/>
      <c r="D418" s="2"/>
      <c r="E418" s="3"/>
      <c r="F418" s="2"/>
      <c r="G418" s="2"/>
      <c r="H418" s="2"/>
      <c r="I418" s="2"/>
    </row>
    <row r="419" spans="1:9" ht="15.6">
      <c r="A419" s="2"/>
      <c r="B419" s="2"/>
      <c r="C419" s="2"/>
      <c r="D419" s="2"/>
      <c r="E419" s="3"/>
      <c r="F419" s="2"/>
      <c r="G419" s="2"/>
      <c r="H419" s="2"/>
      <c r="I419" s="2"/>
    </row>
    <row r="420" spans="1:9" ht="15.6">
      <c r="A420" s="2"/>
      <c r="B420" s="2"/>
      <c r="C420" s="2"/>
      <c r="D420" s="2"/>
      <c r="E420" s="3"/>
      <c r="F420" s="2"/>
      <c r="G420" s="2"/>
      <c r="H420" s="2"/>
      <c r="I420" s="2"/>
    </row>
    <row r="421" spans="1:9" ht="15.6">
      <c r="A421" s="2"/>
      <c r="B421" s="2"/>
      <c r="C421" s="2"/>
      <c r="D421" s="2"/>
      <c r="E421" s="3"/>
      <c r="F421" s="2"/>
      <c r="G421" s="2"/>
      <c r="H421" s="2"/>
      <c r="I421" s="2"/>
    </row>
    <row r="422" spans="1:9" ht="15.6">
      <c r="A422" s="2"/>
      <c r="B422" s="2"/>
      <c r="C422" s="2"/>
      <c r="D422" s="2"/>
      <c r="E422" s="3"/>
      <c r="F422" s="2"/>
      <c r="G422" s="2"/>
      <c r="H422" s="2"/>
      <c r="I422" s="2"/>
    </row>
    <row r="423" spans="1:9" ht="15.6">
      <c r="A423" s="2"/>
      <c r="B423" s="2"/>
      <c r="C423" s="2"/>
      <c r="D423" s="2"/>
      <c r="E423" s="3"/>
      <c r="F423" s="2"/>
      <c r="G423" s="2"/>
      <c r="H423" s="2"/>
      <c r="I423" s="2"/>
    </row>
    <row r="424" spans="1:9" ht="15.6">
      <c r="A424" s="2"/>
      <c r="B424" s="2"/>
      <c r="C424" s="2"/>
      <c r="D424" s="2"/>
      <c r="E424" s="3"/>
      <c r="F424" s="2"/>
      <c r="G424" s="2"/>
      <c r="H424" s="2"/>
      <c r="I424" s="2"/>
    </row>
    <row r="425" spans="1:9" ht="15.6">
      <c r="A425" s="2"/>
      <c r="B425" s="2"/>
      <c r="C425" s="2"/>
      <c r="D425" s="2"/>
      <c r="E425" s="3"/>
      <c r="F425" s="2"/>
      <c r="G425" s="2"/>
      <c r="H425" s="2"/>
      <c r="I425" s="2"/>
    </row>
    <row r="426" spans="1:9" ht="15.6">
      <c r="A426" s="2"/>
      <c r="B426" s="2"/>
      <c r="C426" s="2"/>
      <c r="D426" s="2"/>
      <c r="E426" s="3"/>
      <c r="F426" s="2"/>
      <c r="G426" s="2"/>
      <c r="H426" s="2"/>
      <c r="I426" s="2"/>
    </row>
    <row r="427" spans="1:9" ht="15.6">
      <c r="A427" s="2"/>
      <c r="B427" s="2"/>
      <c r="C427" s="2"/>
      <c r="D427" s="2"/>
      <c r="E427" s="3"/>
      <c r="F427" s="2"/>
      <c r="G427" s="2"/>
      <c r="H427" s="2"/>
      <c r="I427" s="2"/>
    </row>
    <row r="428" spans="1:9" ht="15.6">
      <c r="A428" s="2"/>
      <c r="B428" s="2"/>
      <c r="C428" s="2"/>
      <c r="D428" s="2"/>
      <c r="E428" s="3"/>
      <c r="F428" s="2"/>
      <c r="G428" s="2"/>
      <c r="H428" s="2"/>
      <c r="I428" s="2"/>
    </row>
    <row r="429" spans="1:9" ht="15.6">
      <c r="A429" s="2"/>
      <c r="B429" s="2"/>
      <c r="C429" s="2"/>
      <c r="D429" s="2"/>
      <c r="E429" s="3"/>
      <c r="F429" s="2"/>
      <c r="G429" s="2"/>
      <c r="H429" s="2"/>
      <c r="I429" s="2"/>
    </row>
    <row r="430" spans="1:9" ht="15.6">
      <c r="A430" s="2"/>
      <c r="B430" s="2"/>
      <c r="C430" s="2"/>
      <c r="D430" s="2"/>
      <c r="E430" s="3"/>
      <c r="F430" s="2"/>
      <c r="G430" s="2"/>
      <c r="H430" s="2"/>
      <c r="I430" s="2"/>
    </row>
    <row r="431" spans="1:9" ht="15.6">
      <c r="A431" s="2"/>
      <c r="B431" s="2"/>
      <c r="C431" s="2"/>
      <c r="D431" s="2"/>
      <c r="E431" s="3"/>
      <c r="F431" s="2"/>
      <c r="G431" s="2"/>
      <c r="H431" s="2"/>
      <c r="I431" s="2"/>
    </row>
    <row r="432" spans="1:9" ht="15.6">
      <c r="A432" s="2"/>
      <c r="B432" s="2"/>
      <c r="C432" s="2"/>
      <c r="D432" s="2"/>
      <c r="E432" s="3"/>
      <c r="F432" s="2"/>
      <c r="G432" s="2"/>
      <c r="H432" s="2"/>
      <c r="I432" s="2"/>
    </row>
    <row r="433" spans="1:9" ht="15.6">
      <c r="A433" s="2"/>
      <c r="B433" s="2"/>
      <c r="C433" s="2"/>
      <c r="D433" s="2"/>
      <c r="E433" s="3"/>
      <c r="F433" s="2"/>
      <c r="G433" s="2"/>
      <c r="H433" s="2"/>
      <c r="I433" s="2"/>
    </row>
    <row r="434" spans="1:9" ht="15.6">
      <c r="A434" s="2"/>
      <c r="B434" s="2"/>
      <c r="C434" s="2"/>
      <c r="D434" s="2"/>
      <c r="E434" s="3"/>
      <c r="F434" s="2"/>
      <c r="G434" s="2"/>
      <c r="H434" s="2"/>
      <c r="I434" s="2"/>
    </row>
    <row r="435" spans="1:9" ht="15.6">
      <c r="A435" s="2"/>
      <c r="B435" s="2"/>
      <c r="C435" s="2"/>
      <c r="D435" s="2"/>
      <c r="E435" s="3"/>
      <c r="F435" s="2"/>
      <c r="G435" s="2"/>
      <c r="H435" s="2"/>
      <c r="I435" s="2"/>
    </row>
    <row r="436" spans="1:9" ht="15.6">
      <c r="A436" s="2"/>
      <c r="B436" s="2"/>
      <c r="C436" s="2"/>
      <c r="D436" s="2"/>
      <c r="E436" s="3"/>
      <c r="F436" s="2"/>
      <c r="G436" s="2"/>
      <c r="H436" s="2"/>
      <c r="I436" s="2"/>
    </row>
    <row r="437" spans="1:9" ht="15.6">
      <c r="A437" s="2"/>
      <c r="B437" s="2"/>
      <c r="C437" s="2"/>
      <c r="D437" s="2"/>
      <c r="E437" s="3"/>
      <c r="F437" s="2"/>
      <c r="G437" s="2"/>
      <c r="H437" s="2"/>
      <c r="I437" s="2"/>
    </row>
    <row r="438" spans="1:9" ht="15.6">
      <c r="A438" s="2"/>
      <c r="B438" s="2"/>
      <c r="C438" s="2"/>
      <c r="D438" s="2"/>
      <c r="E438" s="3"/>
      <c r="F438" s="2"/>
      <c r="G438" s="2"/>
      <c r="H438" s="2"/>
      <c r="I438" s="2"/>
    </row>
    <row r="439" spans="1:9" ht="15.6">
      <c r="A439" s="2"/>
      <c r="B439" s="2"/>
      <c r="C439" s="2"/>
      <c r="D439" s="2"/>
      <c r="E439" s="3"/>
      <c r="F439" s="2"/>
      <c r="G439" s="2"/>
      <c r="H439" s="2"/>
      <c r="I439" s="2"/>
    </row>
    <row r="440" spans="1:9" ht="15.6">
      <c r="A440" s="2"/>
      <c r="B440" s="2"/>
      <c r="C440" s="2"/>
      <c r="D440" s="2"/>
      <c r="E440" s="3"/>
      <c r="F440" s="2"/>
      <c r="G440" s="2"/>
      <c r="H440" s="2"/>
      <c r="I440" s="2"/>
    </row>
    <row r="441" spans="1:9" ht="15.6">
      <c r="A441" s="2"/>
      <c r="B441" s="2"/>
      <c r="C441" s="2"/>
      <c r="D441" s="2"/>
      <c r="E441" s="3"/>
      <c r="F441" s="2"/>
      <c r="G441" s="2"/>
      <c r="H441" s="2"/>
      <c r="I441" s="2"/>
    </row>
    <row r="442" spans="1:9" ht="15.6">
      <c r="A442" s="2"/>
      <c r="B442" s="2"/>
      <c r="C442" s="2"/>
      <c r="D442" s="2"/>
      <c r="E442" s="3"/>
      <c r="F442" s="2"/>
      <c r="G442" s="2"/>
      <c r="H442" s="2"/>
      <c r="I442" s="2"/>
    </row>
    <row r="443" spans="1:9" ht="15.6">
      <c r="A443" s="2"/>
      <c r="B443" s="2"/>
      <c r="C443" s="2"/>
      <c r="D443" s="2"/>
      <c r="E443" s="3"/>
      <c r="F443" s="2"/>
      <c r="G443" s="2"/>
      <c r="H443" s="2"/>
      <c r="I443" s="2"/>
    </row>
    <row r="444" spans="1:9" ht="15.6">
      <c r="A444" s="2"/>
      <c r="B444" s="2"/>
      <c r="C444" s="2"/>
      <c r="D444" s="2"/>
      <c r="E444" s="3"/>
      <c r="F444" s="2"/>
      <c r="G444" s="2"/>
      <c r="H444" s="2"/>
      <c r="I444" s="2"/>
    </row>
    <row r="445" spans="1:9" ht="15.6">
      <c r="A445" s="2"/>
      <c r="B445" s="2"/>
      <c r="C445" s="2"/>
      <c r="D445" s="2"/>
      <c r="E445" s="3"/>
      <c r="F445" s="2"/>
      <c r="G445" s="2"/>
      <c r="H445" s="2"/>
      <c r="I445" s="2"/>
    </row>
    <row r="446" spans="1:9" ht="15.6">
      <c r="A446" s="2"/>
      <c r="B446" s="2"/>
      <c r="C446" s="2"/>
      <c r="D446" s="2"/>
      <c r="E446" s="3"/>
      <c r="F446" s="2"/>
      <c r="G446" s="2"/>
      <c r="H446" s="2"/>
      <c r="I446" s="2"/>
    </row>
    <row r="447" spans="1:9" ht="15.6">
      <c r="A447" s="2"/>
      <c r="B447" s="2"/>
      <c r="C447" s="2"/>
      <c r="D447" s="2"/>
      <c r="E447" s="3"/>
      <c r="F447" s="2"/>
      <c r="G447" s="2"/>
      <c r="H447" s="2"/>
      <c r="I447" s="2"/>
    </row>
    <row r="448" spans="1:9" ht="15.6">
      <c r="A448" s="2"/>
      <c r="B448" s="2"/>
      <c r="C448" s="2"/>
      <c r="D448" s="2"/>
      <c r="E448" s="3"/>
      <c r="F448" s="2"/>
      <c r="G448" s="2"/>
      <c r="H448" s="2"/>
      <c r="I448" s="2"/>
    </row>
    <row r="449" spans="1:9" ht="15.6">
      <c r="A449" s="2"/>
      <c r="B449" s="2"/>
      <c r="C449" s="2"/>
      <c r="D449" s="2"/>
      <c r="E449" s="3"/>
      <c r="F449" s="2"/>
      <c r="G449" s="2"/>
      <c r="H449" s="2"/>
      <c r="I449" s="2"/>
    </row>
    <row r="450" spans="1:9" ht="15.6">
      <c r="A450" s="2"/>
      <c r="B450" s="2"/>
      <c r="C450" s="2"/>
      <c r="D450" s="2"/>
      <c r="E450" s="3"/>
      <c r="F450" s="2"/>
      <c r="G450" s="2"/>
      <c r="H450" s="2"/>
      <c r="I450" s="2"/>
    </row>
    <row r="451" spans="1:9" ht="15.6">
      <c r="A451" s="2"/>
      <c r="B451" s="2"/>
      <c r="C451" s="2"/>
      <c r="D451" s="2"/>
      <c r="E451" s="3"/>
      <c r="F451" s="2"/>
      <c r="G451" s="2"/>
      <c r="H451" s="2"/>
      <c r="I451" s="2"/>
    </row>
    <row r="452" spans="1:9" ht="15.6">
      <c r="A452" s="2"/>
      <c r="B452" s="2"/>
      <c r="C452" s="2"/>
      <c r="D452" s="2"/>
      <c r="E452" s="3"/>
      <c r="F452" s="2"/>
      <c r="G452" s="2"/>
      <c r="H452" s="2"/>
      <c r="I452" s="2"/>
    </row>
    <row r="453" spans="1:9" ht="15.6">
      <c r="A453" s="2"/>
      <c r="B453" s="2"/>
      <c r="C453" s="2"/>
      <c r="D453" s="2"/>
      <c r="E453" s="3"/>
      <c r="F453" s="2"/>
      <c r="G453" s="2"/>
      <c r="H453" s="2"/>
      <c r="I453" s="2"/>
    </row>
    <row r="454" spans="1:9" ht="15.6">
      <c r="A454" s="2"/>
      <c r="B454" s="2"/>
      <c r="C454" s="2"/>
      <c r="D454" s="2"/>
      <c r="E454" s="3"/>
      <c r="F454" s="2"/>
      <c r="G454" s="2"/>
      <c r="H454" s="2"/>
      <c r="I454" s="2"/>
    </row>
    <row r="455" spans="1:9" ht="15.6">
      <c r="A455" s="2"/>
      <c r="B455" s="2"/>
      <c r="C455" s="2"/>
      <c r="D455" s="2"/>
      <c r="E455" s="3"/>
      <c r="F455" s="2"/>
      <c r="G455" s="2"/>
      <c r="H455" s="2"/>
      <c r="I455" s="2"/>
    </row>
    <row r="456" spans="1:9" ht="15.6">
      <c r="A456" s="2"/>
      <c r="B456" s="2"/>
      <c r="C456" s="2"/>
      <c r="D456" s="2"/>
      <c r="E456" s="3"/>
      <c r="F456" s="2"/>
      <c r="G456" s="2"/>
      <c r="H456" s="2"/>
      <c r="I456" s="2"/>
    </row>
    <row r="457" spans="1:9" ht="15.6">
      <c r="A457" s="2"/>
      <c r="B457" s="2"/>
      <c r="C457" s="2"/>
      <c r="D457" s="2"/>
      <c r="E457" s="3"/>
      <c r="F457" s="2"/>
      <c r="G457" s="2"/>
      <c r="H457" s="2"/>
      <c r="I457" s="2"/>
    </row>
    <row r="458" spans="1:9" ht="15.6">
      <c r="A458" s="2"/>
      <c r="B458" s="2"/>
      <c r="C458" s="2"/>
      <c r="D458" s="2"/>
      <c r="E458" s="3"/>
      <c r="F458" s="2"/>
      <c r="G458" s="2"/>
      <c r="H458" s="2"/>
      <c r="I458" s="2"/>
    </row>
    <row r="459" spans="1:9" ht="15.6">
      <c r="A459" s="2"/>
      <c r="B459" s="2"/>
      <c r="C459" s="2"/>
      <c r="D459" s="2"/>
      <c r="E459" s="3"/>
      <c r="F459" s="2"/>
      <c r="G459" s="2"/>
      <c r="H459" s="2"/>
      <c r="I459" s="2"/>
    </row>
    <row r="460" spans="1:9" ht="15.6">
      <c r="A460" s="2"/>
      <c r="B460" s="2"/>
      <c r="C460" s="2"/>
      <c r="D460" s="2"/>
      <c r="E460" s="3"/>
      <c r="F460" s="2"/>
      <c r="G460" s="2"/>
      <c r="H460" s="2"/>
      <c r="I460" s="2"/>
    </row>
    <row r="461" spans="1:9" ht="15.6">
      <c r="A461" s="2"/>
      <c r="B461" s="2"/>
      <c r="C461" s="2"/>
      <c r="D461" s="2"/>
      <c r="E461" s="3"/>
      <c r="F461" s="2"/>
      <c r="G461" s="2"/>
      <c r="H461" s="2"/>
      <c r="I461" s="2"/>
    </row>
    <row r="462" spans="1:9" ht="15.6">
      <c r="A462" s="2"/>
      <c r="B462" s="2"/>
      <c r="C462" s="2"/>
      <c r="D462" s="2"/>
      <c r="E462" s="3"/>
      <c r="F462" s="2"/>
      <c r="G462" s="2"/>
      <c r="H462" s="2"/>
      <c r="I462" s="2"/>
    </row>
    <row r="463" spans="1:9" ht="15.6">
      <c r="A463" s="2"/>
      <c r="B463" s="2"/>
      <c r="C463" s="2"/>
      <c r="D463" s="2"/>
      <c r="E463" s="3"/>
      <c r="F463" s="2"/>
      <c r="G463" s="2"/>
      <c r="H463" s="2"/>
      <c r="I463" s="2"/>
    </row>
    <row r="464" spans="1:9" ht="15.6">
      <c r="A464" s="2"/>
      <c r="B464" s="2"/>
      <c r="C464" s="2"/>
      <c r="D464" s="2"/>
      <c r="E464" s="3"/>
      <c r="F464" s="2"/>
      <c r="G464" s="2"/>
      <c r="H464" s="2"/>
      <c r="I464" s="2"/>
    </row>
    <row r="465" spans="1:9" ht="15.6">
      <c r="A465" s="2"/>
      <c r="B465" s="2"/>
      <c r="C465" s="2"/>
      <c r="D465" s="2"/>
      <c r="E465" s="3"/>
      <c r="F465" s="2"/>
      <c r="G465" s="2"/>
      <c r="H465" s="2"/>
      <c r="I465" s="2"/>
    </row>
    <row r="466" spans="1:9" ht="15.6">
      <c r="A466" s="2"/>
      <c r="B466" s="2"/>
      <c r="C466" s="2"/>
      <c r="D466" s="2"/>
      <c r="E466" s="3"/>
      <c r="F466" s="2"/>
      <c r="G466" s="2"/>
      <c r="H466" s="2"/>
      <c r="I466" s="2"/>
    </row>
    <row r="467" spans="1:9" ht="15.6">
      <c r="A467" s="2"/>
      <c r="B467" s="2"/>
      <c r="C467" s="2"/>
      <c r="D467" s="2"/>
      <c r="E467" s="3"/>
      <c r="F467" s="2"/>
      <c r="G467" s="2"/>
      <c r="H467" s="2"/>
      <c r="I467" s="2"/>
    </row>
    <row r="468" spans="1:9" ht="15.6">
      <c r="A468" s="2"/>
      <c r="B468" s="2"/>
      <c r="C468" s="2"/>
      <c r="D468" s="2"/>
      <c r="E468" s="3"/>
      <c r="F468" s="2"/>
      <c r="G468" s="2"/>
      <c r="H468" s="2"/>
      <c r="I468" s="2"/>
    </row>
    <row r="469" spans="1:9" ht="15.6">
      <c r="A469" s="2"/>
      <c r="B469" s="2"/>
      <c r="C469" s="2"/>
      <c r="D469" s="2"/>
      <c r="E469" s="3"/>
      <c r="F469" s="2"/>
      <c r="G469" s="2"/>
      <c r="H469" s="2"/>
      <c r="I469" s="2"/>
    </row>
    <row r="470" spans="1:9" ht="15.6">
      <c r="A470" s="2"/>
      <c r="B470" s="2"/>
      <c r="C470" s="2"/>
      <c r="D470" s="2"/>
      <c r="E470" s="3"/>
      <c r="F470" s="2"/>
      <c r="G470" s="2"/>
      <c r="H470" s="2"/>
      <c r="I470" s="2"/>
    </row>
    <row r="471" spans="1:9" ht="15.6">
      <c r="A471" s="2"/>
      <c r="B471" s="2"/>
      <c r="C471" s="2"/>
      <c r="D471" s="2"/>
      <c r="E471" s="3"/>
      <c r="F471" s="2"/>
      <c r="G471" s="2"/>
      <c r="H471" s="2"/>
      <c r="I471" s="2"/>
    </row>
    <row r="472" spans="1:9" ht="15.6">
      <c r="A472" s="2"/>
      <c r="B472" s="2"/>
      <c r="C472" s="2"/>
      <c r="D472" s="2"/>
      <c r="E472" s="3"/>
      <c r="F472" s="2"/>
      <c r="G472" s="2"/>
      <c r="H472" s="2"/>
      <c r="I472" s="2"/>
    </row>
    <row r="473" spans="1:9" ht="15.6">
      <c r="A473" s="2"/>
      <c r="B473" s="2"/>
      <c r="C473" s="2"/>
      <c r="D473" s="2"/>
      <c r="E473" s="3"/>
      <c r="F473" s="2"/>
      <c r="G473" s="2"/>
      <c r="H473" s="2"/>
      <c r="I473" s="2"/>
    </row>
    <row r="474" spans="1:9" ht="15.6">
      <c r="A474" s="2"/>
      <c r="B474" s="2"/>
      <c r="C474" s="2"/>
      <c r="D474" s="2"/>
      <c r="E474" s="3"/>
      <c r="F474" s="2"/>
      <c r="G474" s="2"/>
      <c r="H474" s="2"/>
      <c r="I474" s="2"/>
    </row>
    <row r="475" spans="1:9" ht="15.6">
      <c r="A475" s="2"/>
      <c r="B475" s="2"/>
      <c r="C475" s="2"/>
      <c r="D475" s="2"/>
      <c r="E475" s="3"/>
      <c r="F475" s="2"/>
      <c r="G475" s="2"/>
      <c r="H475" s="2"/>
      <c r="I475" s="2"/>
    </row>
    <row r="476" spans="1:9" ht="15.6">
      <c r="A476" s="2"/>
      <c r="B476" s="2"/>
      <c r="C476" s="2"/>
      <c r="D476" s="2"/>
      <c r="E476" s="3"/>
      <c r="F476" s="2"/>
      <c r="G476" s="2"/>
      <c r="H476" s="2"/>
      <c r="I476" s="2"/>
    </row>
    <row r="477" spans="1:9" ht="15.6">
      <c r="A477" s="2"/>
      <c r="B477" s="2"/>
      <c r="C477" s="2"/>
      <c r="D477" s="2"/>
      <c r="E477" s="3"/>
      <c r="F477" s="2"/>
      <c r="G477" s="2"/>
      <c r="H477" s="2"/>
      <c r="I477" s="2"/>
    </row>
    <row r="478" spans="1:9" ht="15.6">
      <c r="A478" s="2"/>
      <c r="B478" s="2"/>
      <c r="C478" s="2"/>
      <c r="D478" s="2"/>
      <c r="E478" s="3"/>
      <c r="F478" s="2"/>
      <c r="G478" s="2"/>
      <c r="H478" s="2"/>
      <c r="I478" s="2"/>
    </row>
    <row r="479" spans="1:9" ht="15.6">
      <c r="A479" s="2"/>
      <c r="B479" s="2"/>
      <c r="C479" s="2"/>
      <c r="D479" s="2"/>
      <c r="E479" s="3"/>
      <c r="F479" s="2"/>
      <c r="G479" s="2"/>
      <c r="H479" s="2"/>
      <c r="I479" s="2"/>
    </row>
    <row r="480" spans="1:9" ht="15.6">
      <c r="A480" s="2"/>
      <c r="B480" s="2"/>
      <c r="C480" s="2"/>
      <c r="D480" s="2"/>
      <c r="E480" s="3"/>
      <c r="F480" s="2"/>
      <c r="G480" s="2"/>
      <c r="H480" s="2"/>
      <c r="I480" s="2"/>
    </row>
    <row r="481" spans="1:9" ht="15.6">
      <c r="A481" s="2"/>
      <c r="B481" s="2"/>
      <c r="C481" s="2"/>
      <c r="D481" s="2"/>
      <c r="E481" s="3"/>
      <c r="F481" s="2"/>
      <c r="G481" s="2"/>
      <c r="H481" s="2"/>
      <c r="I481" s="2"/>
    </row>
    <row r="482" spans="1:9" ht="15.6">
      <c r="A482" s="2"/>
      <c r="B482" s="2"/>
      <c r="C482" s="2"/>
      <c r="D482" s="2"/>
      <c r="E482" s="3"/>
      <c r="F482" s="2"/>
      <c r="G482" s="2"/>
      <c r="H482" s="2"/>
      <c r="I482" s="2"/>
    </row>
    <row r="483" spans="1:9" ht="15.6">
      <c r="A483" s="2"/>
      <c r="B483" s="2"/>
      <c r="C483" s="2"/>
      <c r="D483" s="2"/>
      <c r="E483" s="3"/>
      <c r="F483" s="2"/>
      <c r="G483" s="2"/>
      <c r="H483" s="2"/>
      <c r="I483" s="2"/>
    </row>
    <row r="484" spans="1:9" ht="15.6">
      <c r="A484" s="2"/>
      <c r="B484" s="2"/>
      <c r="C484" s="2"/>
      <c r="D484" s="2"/>
      <c r="E484" s="3"/>
      <c r="F484" s="2"/>
      <c r="G484" s="2"/>
      <c r="H484" s="2"/>
      <c r="I484" s="2"/>
    </row>
    <row r="485" spans="1:9" ht="15.6">
      <c r="A485" s="2"/>
      <c r="B485" s="2"/>
      <c r="C485" s="2"/>
      <c r="D485" s="2"/>
      <c r="E485" s="3"/>
      <c r="F485" s="2"/>
      <c r="G485" s="2"/>
      <c r="H485" s="2"/>
      <c r="I485" s="2"/>
    </row>
    <row r="486" spans="1:9" ht="15.6">
      <c r="A486" s="2"/>
      <c r="B486" s="2"/>
      <c r="C486" s="2"/>
      <c r="D486" s="2"/>
      <c r="E486" s="3"/>
      <c r="F486" s="2"/>
      <c r="G486" s="2"/>
      <c r="H486" s="2"/>
      <c r="I486" s="2"/>
    </row>
    <row r="487" spans="1:9" ht="15.6">
      <c r="A487" s="2"/>
      <c r="B487" s="2"/>
      <c r="C487" s="2"/>
      <c r="D487" s="2"/>
      <c r="E487" s="3"/>
      <c r="F487" s="2"/>
      <c r="G487" s="2"/>
      <c r="H487" s="2"/>
      <c r="I487" s="2"/>
    </row>
    <row r="488" spans="1:9" ht="15.6">
      <c r="A488" s="2"/>
      <c r="B488" s="2"/>
      <c r="C488" s="2"/>
      <c r="D488" s="2"/>
      <c r="E488" s="3"/>
      <c r="F488" s="2"/>
      <c r="G488" s="2"/>
      <c r="H488" s="2"/>
      <c r="I488" s="2"/>
    </row>
    <row r="489" spans="1:9" ht="15.6">
      <c r="A489" s="2"/>
      <c r="B489" s="2"/>
      <c r="C489" s="2"/>
      <c r="D489" s="2"/>
      <c r="E489" s="3"/>
      <c r="F489" s="2"/>
      <c r="G489" s="2"/>
      <c r="H489" s="2"/>
      <c r="I489" s="2"/>
    </row>
    <row r="490" spans="1:9" ht="15.6">
      <c r="A490" s="2"/>
      <c r="B490" s="2"/>
      <c r="C490" s="2"/>
      <c r="D490" s="2"/>
      <c r="E490" s="3"/>
      <c r="F490" s="2"/>
      <c r="G490" s="2"/>
      <c r="H490" s="2"/>
      <c r="I490" s="2"/>
    </row>
    <row r="491" spans="1:9" ht="15.6">
      <c r="A491" s="2"/>
      <c r="B491" s="2"/>
      <c r="C491" s="2"/>
      <c r="D491" s="2"/>
      <c r="E491" s="3"/>
      <c r="F491" s="2"/>
      <c r="G491" s="2"/>
      <c r="H491" s="2"/>
      <c r="I491" s="2"/>
    </row>
    <row r="492" spans="1:9" ht="15.6">
      <c r="A492" s="2"/>
      <c r="B492" s="2"/>
      <c r="C492" s="2"/>
      <c r="D492" s="2"/>
      <c r="E492" s="3"/>
      <c r="F492" s="2"/>
      <c r="G492" s="2"/>
      <c r="H492" s="2"/>
      <c r="I492" s="2"/>
    </row>
    <row r="493" spans="1:9" ht="15.6">
      <c r="A493" s="2"/>
      <c r="B493" s="2"/>
      <c r="C493" s="2"/>
      <c r="D493" s="2"/>
      <c r="E493" s="3"/>
      <c r="F493" s="2"/>
      <c r="G493" s="2"/>
      <c r="H493" s="2"/>
      <c r="I493" s="2"/>
    </row>
    <row r="494" spans="1:9" ht="15.6">
      <c r="A494" s="2"/>
      <c r="B494" s="2"/>
      <c r="C494" s="2"/>
      <c r="D494" s="2"/>
      <c r="E494" s="3"/>
      <c r="F494" s="2"/>
      <c r="G494" s="2"/>
      <c r="H494" s="2"/>
      <c r="I494" s="2"/>
    </row>
    <row r="495" spans="1:9" ht="15.6">
      <c r="A495" s="2"/>
      <c r="B495" s="2"/>
      <c r="C495" s="2"/>
      <c r="D495" s="2"/>
      <c r="E495" s="3"/>
      <c r="F495" s="2"/>
      <c r="G495" s="2"/>
      <c r="H495" s="2"/>
      <c r="I495" s="2"/>
    </row>
    <row r="496" spans="1:9" ht="15.6">
      <c r="A496" s="2"/>
      <c r="B496" s="2"/>
      <c r="C496" s="2"/>
      <c r="D496" s="2"/>
      <c r="E496" s="3"/>
      <c r="F496" s="2"/>
      <c r="G496" s="2"/>
      <c r="H496" s="2"/>
      <c r="I496" s="2"/>
    </row>
    <row r="497" spans="1:9" ht="15.6">
      <c r="A497" s="2"/>
      <c r="B497" s="2"/>
      <c r="C497" s="2"/>
      <c r="D497" s="2"/>
      <c r="E497" s="3"/>
      <c r="F497" s="2"/>
      <c r="G497" s="2"/>
      <c r="H497" s="2"/>
      <c r="I497" s="2"/>
    </row>
    <row r="498" spans="1:9" ht="15.6">
      <c r="A498" s="2"/>
      <c r="B498" s="2"/>
      <c r="C498" s="2"/>
      <c r="D498" s="2"/>
      <c r="E498" s="3"/>
      <c r="F498" s="2"/>
      <c r="G498" s="2"/>
      <c r="H498" s="2"/>
      <c r="I498" s="2"/>
    </row>
    <row r="499" spans="1:9" ht="15.6">
      <c r="A499" s="2"/>
      <c r="B499" s="2"/>
      <c r="C499" s="2"/>
      <c r="D499" s="2"/>
      <c r="E499" s="3"/>
      <c r="F499" s="2"/>
      <c r="G499" s="2"/>
      <c r="H499" s="2"/>
      <c r="I499" s="2"/>
    </row>
    <row r="500" spans="1:9" ht="15.6">
      <c r="A500" s="2"/>
      <c r="B500" s="2"/>
      <c r="C500" s="2"/>
      <c r="D500" s="2"/>
      <c r="E500" s="3"/>
      <c r="F500" s="2"/>
      <c r="G500" s="2"/>
      <c r="H500" s="2"/>
      <c r="I500" s="2"/>
    </row>
    <row r="501" spans="1:9" ht="15.6">
      <c r="A501" s="2"/>
      <c r="B501" s="2"/>
      <c r="C501" s="2"/>
      <c r="D501" s="2"/>
      <c r="E501" s="3"/>
      <c r="F501" s="2"/>
      <c r="G501" s="2"/>
      <c r="H501" s="2"/>
      <c r="I501" s="2"/>
    </row>
    <row r="502" spans="1:9" ht="15.6">
      <c r="A502" s="2"/>
      <c r="B502" s="2"/>
      <c r="C502" s="2"/>
      <c r="D502" s="2"/>
      <c r="E502" s="3"/>
      <c r="F502" s="2"/>
      <c r="G502" s="2"/>
      <c r="H502" s="2"/>
      <c r="I502" s="2"/>
    </row>
    <row r="503" spans="1:9" ht="15.6">
      <c r="A503" s="2"/>
      <c r="B503" s="2"/>
      <c r="C503" s="2"/>
      <c r="D503" s="2"/>
      <c r="E503" s="3"/>
      <c r="F503" s="2"/>
      <c r="G503" s="2"/>
      <c r="H503" s="2"/>
      <c r="I503" s="2"/>
    </row>
    <row r="504" spans="1:9" ht="15.6">
      <c r="A504" s="2"/>
      <c r="B504" s="2"/>
      <c r="C504" s="2"/>
      <c r="D504" s="2"/>
      <c r="E504" s="3"/>
      <c r="F504" s="2"/>
      <c r="G504" s="2"/>
      <c r="H504" s="2"/>
      <c r="I504" s="2"/>
    </row>
    <row r="505" spans="1:9" ht="15.6">
      <c r="A505" s="2"/>
      <c r="B505" s="2"/>
      <c r="C505" s="2"/>
      <c r="D505" s="2"/>
      <c r="E505" s="3"/>
      <c r="F505" s="2"/>
      <c r="G505" s="2"/>
      <c r="H505" s="2"/>
      <c r="I505" s="2"/>
    </row>
    <row r="506" spans="1:9" ht="15.6">
      <c r="A506" s="2"/>
      <c r="B506" s="2"/>
      <c r="C506" s="2"/>
      <c r="D506" s="2"/>
      <c r="E506" s="3"/>
      <c r="F506" s="2"/>
      <c r="G506" s="2"/>
      <c r="H506" s="2"/>
      <c r="I506" s="2"/>
    </row>
    <row r="507" spans="1:9" ht="15.6">
      <c r="A507" s="2"/>
      <c r="B507" s="2"/>
      <c r="C507" s="2"/>
      <c r="D507" s="2"/>
      <c r="E507" s="3"/>
      <c r="F507" s="2"/>
      <c r="G507" s="2"/>
      <c r="H507" s="2"/>
      <c r="I507" s="2"/>
    </row>
    <row r="508" spans="1:9" ht="15.6">
      <c r="A508" s="2"/>
      <c r="B508" s="2"/>
      <c r="C508" s="2"/>
      <c r="D508" s="2"/>
      <c r="E508" s="3"/>
      <c r="F508" s="2"/>
      <c r="G508" s="2"/>
      <c r="H508" s="2"/>
      <c r="I508" s="2"/>
    </row>
    <row r="509" spans="1:9" ht="15.6">
      <c r="A509" s="2"/>
      <c r="B509" s="2"/>
      <c r="C509" s="2"/>
      <c r="D509" s="2"/>
      <c r="E509" s="3"/>
      <c r="F509" s="2"/>
      <c r="G509" s="2"/>
      <c r="H509" s="2"/>
      <c r="I509" s="2"/>
    </row>
    <row r="510" spans="1:9" ht="15.6">
      <c r="A510" s="2"/>
      <c r="B510" s="2"/>
      <c r="C510" s="2"/>
      <c r="D510" s="2"/>
      <c r="E510" s="3"/>
      <c r="F510" s="2"/>
      <c r="G510" s="2"/>
      <c r="H510" s="2"/>
      <c r="I510" s="2"/>
    </row>
    <row r="511" spans="1:9" ht="15.6">
      <c r="A511" s="2"/>
      <c r="B511" s="2"/>
      <c r="C511" s="2"/>
      <c r="D511" s="2"/>
      <c r="E511" s="3"/>
      <c r="F511" s="2"/>
      <c r="G511" s="2"/>
      <c r="H511" s="2"/>
      <c r="I511" s="2"/>
    </row>
    <row r="512" spans="1:9" ht="15.6">
      <c r="A512" s="2"/>
      <c r="B512" s="2"/>
      <c r="C512" s="2"/>
      <c r="D512" s="2"/>
      <c r="E512" s="3"/>
      <c r="F512" s="2"/>
      <c r="G512" s="2"/>
      <c r="H512" s="2"/>
      <c r="I512" s="2"/>
    </row>
    <row r="513" spans="1:9" ht="15.6">
      <c r="A513" s="2"/>
      <c r="B513" s="2"/>
      <c r="C513" s="2"/>
      <c r="D513" s="2"/>
      <c r="E513" s="3"/>
      <c r="F513" s="2"/>
      <c r="G513" s="2"/>
      <c r="H513" s="2"/>
      <c r="I513" s="2"/>
    </row>
    <row r="514" spans="1:9" ht="15.6">
      <c r="A514" s="2"/>
      <c r="B514" s="2"/>
      <c r="C514" s="2"/>
      <c r="D514" s="2"/>
      <c r="E514" s="3"/>
      <c r="F514" s="2"/>
      <c r="G514" s="2"/>
      <c r="H514" s="2"/>
      <c r="I514" s="2"/>
    </row>
    <row r="515" spans="1:9" ht="15.6">
      <c r="A515" s="2"/>
      <c r="B515" s="2"/>
      <c r="C515" s="2"/>
      <c r="D515" s="2"/>
      <c r="E515" s="3"/>
      <c r="F515" s="2"/>
      <c r="G515" s="2"/>
      <c r="H515" s="2"/>
      <c r="I515" s="2"/>
    </row>
    <row r="516" spans="1:9" ht="15.6">
      <c r="A516" s="2"/>
      <c r="B516" s="2"/>
      <c r="C516" s="2"/>
      <c r="D516" s="2"/>
      <c r="E516" s="3"/>
      <c r="F516" s="2"/>
      <c r="G516" s="2"/>
      <c r="H516" s="2"/>
      <c r="I516" s="2"/>
    </row>
    <row r="517" spans="1:9" ht="15.6">
      <c r="A517" s="2"/>
      <c r="B517" s="2"/>
      <c r="C517" s="2"/>
      <c r="D517" s="2"/>
      <c r="E517" s="3"/>
      <c r="F517" s="2"/>
      <c r="G517" s="2"/>
      <c r="H517" s="2"/>
      <c r="I517" s="2"/>
    </row>
    <row r="518" spans="1:9" ht="15.6">
      <c r="A518" s="2"/>
      <c r="B518" s="2"/>
      <c r="C518" s="2"/>
      <c r="D518" s="2"/>
      <c r="E518" s="3"/>
      <c r="F518" s="2"/>
      <c r="G518" s="2"/>
      <c r="H518" s="2"/>
      <c r="I518" s="2"/>
    </row>
    <row r="519" spans="1:9" ht="15.6">
      <c r="A519" s="2"/>
      <c r="B519" s="2"/>
      <c r="C519" s="2"/>
      <c r="D519" s="2"/>
      <c r="E519" s="3"/>
      <c r="F519" s="2"/>
      <c r="G519" s="2"/>
      <c r="H519" s="2"/>
      <c r="I519" s="2"/>
    </row>
    <row r="520" spans="1:9" ht="15.6">
      <c r="A520" s="2"/>
      <c r="B520" s="2"/>
      <c r="C520" s="2"/>
      <c r="D520" s="2"/>
      <c r="E520" s="3"/>
      <c r="F520" s="2"/>
      <c r="G520" s="2"/>
      <c r="H520" s="2"/>
      <c r="I520" s="2"/>
    </row>
    <row r="521" spans="1:9" ht="15.6">
      <c r="A521" s="2"/>
      <c r="B521" s="2"/>
      <c r="C521" s="2"/>
      <c r="D521" s="2"/>
      <c r="E521" s="3"/>
      <c r="F521" s="2"/>
      <c r="G521" s="2"/>
      <c r="H521" s="2"/>
      <c r="I521" s="2"/>
    </row>
    <row r="522" spans="1:9" ht="15.6">
      <c r="A522" s="2"/>
      <c r="B522" s="2"/>
      <c r="C522" s="2"/>
      <c r="D522" s="2"/>
      <c r="E522" s="3"/>
      <c r="F522" s="2"/>
      <c r="G522" s="2"/>
      <c r="H522" s="2"/>
      <c r="I522" s="2"/>
    </row>
    <row r="523" spans="1:9" ht="15.6">
      <c r="A523" s="2"/>
      <c r="B523" s="2"/>
      <c r="C523" s="2"/>
      <c r="D523" s="2"/>
      <c r="E523" s="3"/>
      <c r="F523" s="2"/>
      <c r="G523" s="2"/>
      <c r="H523" s="2"/>
      <c r="I523" s="2"/>
    </row>
    <row r="524" spans="1:9" ht="15.6">
      <c r="A524" s="2"/>
      <c r="B524" s="2"/>
      <c r="C524" s="2"/>
      <c r="D524" s="2"/>
      <c r="E524" s="3"/>
      <c r="F524" s="2"/>
      <c r="G524" s="2"/>
      <c r="H524" s="2"/>
      <c r="I524" s="2"/>
    </row>
    <row r="525" spans="1:9" ht="15.6">
      <c r="A525" s="2"/>
      <c r="B525" s="2"/>
      <c r="C525" s="2"/>
      <c r="D525" s="2"/>
      <c r="E525" s="3"/>
      <c r="F525" s="2"/>
      <c r="G525" s="2"/>
      <c r="H525" s="2"/>
      <c r="I525" s="2"/>
    </row>
    <row r="526" spans="1:9" ht="15.6">
      <c r="A526" s="2"/>
      <c r="B526" s="2"/>
      <c r="C526" s="2"/>
      <c r="D526" s="2"/>
      <c r="E526" s="3"/>
      <c r="F526" s="2"/>
      <c r="G526" s="2"/>
      <c r="H526" s="2"/>
      <c r="I526" s="2"/>
    </row>
    <row r="527" spans="1:9" ht="15.6">
      <c r="A527" s="2"/>
      <c r="B527" s="2"/>
      <c r="C527" s="2"/>
      <c r="D527" s="2"/>
      <c r="E527" s="3"/>
      <c r="F527" s="2"/>
      <c r="G527" s="2"/>
      <c r="H527" s="2"/>
      <c r="I527" s="2"/>
    </row>
    <row r="528" spans="1:9" ht="15.6">
      <c r="A528" s="2"/>
      <c r="B528" s="2"/>
      <c r="C528" s="2"/>
      <c r="D528" s="2"/>
      <c r="E528" s="3"/>
      <c r="F528" s="2"/>
      <c r="G528" s="2"/>
      <c r="H528" s="2"/>
      <c r="I528" s="2"/>
    </row>
    <row r="529" spans="1:9" ht="15.6">
      <c r="A529" s="2"/>
      <c r="B529" s="2"/>
      <c r="C529" s="2"/>
      <c r="D529" s="2"/>
      <c r="E529" s="3"/>
      <c r="F529" s="2"/>
      <c r="G529" s="2"/>
      <c r="H529" s="2"/>
      <c r="I529" s="2"/>
    </row>
    <row r="530" spans="1:9" ht="15.6">
      <c r="A530" s="2"/>
      <c r="B530" s="2"/>
      <c r="C530" s="2"/>
      <c r="D530" s="2"/>
      <c r="E530" s="3"/>
      <c r="F530" s="2"/>
      <c r="G530" s="2"/>
      <c r="H530" s="2"/>
      <c r="I530" s="2"/>
    </row>
    <row r="531" spans="1:9" ht="15.6">
      <c r="A531" s="2"/>
      <c r="B531" s="2"/>
      <c r="C531" s="2"/>
      <c r="D531" s="2"/>
      <c r="E531" s="3"/>
      <c r="F531" s="2"/>
      <c r="G531" s="2"/>
      <c r="H531" s="2"/>
      <c r="I531" s="2"/>
    </row>
    <row r="532" spans="1:9" ht="15.6">
      <c r="A532" s="2"/>
      <c r="B532" s="2"/>
      <c r="C532" s="2"/>
      <c r="D532" s="2"/>
      <c r="E532" s="3"/>
      <c r="F532" s="2"/>
      <c r="G532" s="2"/>
      <c r="H532" s="2"/>
      <c r="I532" s="2"/>
    </row>
    <row r="533" spans="1:9" ht="15.6">
      <c r="A533" s="2"/>
      <c r="B533" s="2"/>
      <c r="C533" s="2"/>
      <c r="D533" s="2"/>
      <c r="E533" s="3"/>
      <c r="F533" s="2"/>
      <c r="G533" s="2"/>
      <c r="H533" s="2"/>
      <c r="I533" s="2"/>
    </row>
    <row r="534" spans="1:9" ht="15.6">
      <c r="A534" s="2"/>
      <c r="B534" s="2"/>
      <c r="C534" s="2"/>
      <c r="D534" s="2"/>
      <c r="E534" s="3"/>
      <c r="F534" s="2"/>
      <c r="G534" s="2"/>
      <c r="H534" s="2"/>
      <c r="I534" s="2"/>
    </row>
    <row r="535" spans="1:9" ht="15.6">
      <c r="A535" s="2"/>
      <c r="B535" s="2"/>
      <c r="C535" s="2"/>
      <c r="D535" s="2"/>
      <c r="E535" s="3"/>
      <c r="F535" s="2"/>
      <c r="G535" s="2"/>
      <c r="H535" s="2"/>
      <c r="I535" s="2"/>
    </row>
    <row r="536" spans="1:9" ht="15.6">
      <c r="A536" s="2"/>
      <c r="B536" s="2"/>
      <c r="C536" s="2"/>
      <c r="D536" s="2"/>
      <c r="E536" s="3"/>
      <c r="F536" s="2"/>
      <c r="G536" s="2"/>
      <c r="H536" s="2"/>
      <c r="I536" s="2"/>
    </row>
    <row r="537" spans="1:9" ht="15.6">
      <c r="A537" s="2"/>
      <c r="B537" s="2"/>
      <c r="C537" s="2"/>
      <c r="D537" s="2"/>
      <c r="E537" s="3"/>
      <c r="F537" s="2"/>
      <c r="G537" s="2"/>
      <c r="H537" s="2"/>
      <c r="I537" s="2"/>
    </row>
    <row r="538" spans="1:9" ht="15.6">
      <c r="A538" s="2"/>
      <c r="B538" s="2"/>
      <c r="C538" s="2"/>
      <c r="D538" s="2"/>
      <c r="E538" s="3"/>
      <c r="F538" s="2"/>
      <c r="G538" s="2"/>
      <c r="H538" s="2"/>
      <c r="I538" s="2"/>
    </row>
    <row r="539" spans="1:9" ht="15.6">
      <c r="A539" s="2"/>
      <c r="B539" s="2"/>
      <c r="C539" s="2"/>
      <c r="D539" s="2"/>
      <c r="E539" s="3"/>
      <c r="F539" s="2"/>
      <c r="G539" s="2"/>
      <c r="H539" s="2"/>
      <c r="I539" s="2"/>
    </row>
    <row r="540" spans="1:9" ht="15.6">
      <c r="A540" s="2"/>
      <c r="B540" s="2"/>
      <c r="C540" s="2"/>
      <c r="D540" s="2"/>
      <c r="E540" s="3"/>
      <c r="F540" s="2"/>
      <c r="G540" s="2"/>
      <c r="H540" s="2"/>
      <c r="I540" s="2"/>
    </row>
    <row r="541" spans="1:9" ht="15.6">
      <c r="A541" s="2"/>
      <c r="B541" s="2"/>
      <c r="C541" s="2"/>
      <c r="D541" s="2"/>
      <c r="E541" s="3"/>
      <c r="F541" s="2"/>
      <c r="G541" s="2"/>
      <c r="H541" s="2"/>
      <c r="I541" s="2"/>
    </row>
    <row r="542" spans="1:9" ht="15.6">
      <c r="A542" s="2"/>
      <c r="B542" s="2"/>
      <c r="C542" s="2"/>
      <c r="D542" s="2"/>
      <c r="E542" s="3"/>
      <c r="F542" s="2"/>
      <c r="G542" s="2"/>
      <c r="H542" s="2"/>
      <c r="I542" s="2"/>
    </row>
    <row r="543" spans="1:9" ht="15.6">
      <c r="A543" s="2"/>
      <c r="B543" s="2"/>
      <c r="C543" s="2"/>
      <c r="D543" s="2"/>
      <c r="E543" s="3"/>
      <c r="F543" s="2"/>
      <c r="G543" s="2"/>
      <c r="H543" s="2"/>
      <c r="I543" s="2"/>
    </row>
    <row r="544" spans="1:9" ht="15.6">
      <c r="A544" s="2"/>
      <c r="B544" s="2"/>
      <c r="C544" s="2"/>
      <c r="D544" s="2"/>
      <c r="E544" s="3"/>
      <c r="F544" s="2"/>
      <c r="G544" s="2"/>
      <c r="H544" s="2"/>
      <c r="I544" s="2"/>
    </row>
    <row r="545" spans="1:9" ht="15.6">
      <c r="A545" s="2"/>
      <c r="B545" s="2"/>
      <c r="C545" s="2"/>
      <c r="D545" s="2"/>
      <c r="E545" s="3"/>
      <c r="F545" s="2"/>
      <c r="G545" s="2"/>
      <c r="H545" s="2"/>
      <c r="I545" s="2"/>
    </row>
    <row r="546" spans="1:9" ht="15.6">
      <c r="A546" s="2"/>
      <c r="B546" s="2"/>
      <c r="C546" s="2"/>
      <c r="D546" s="2"/>
      <c r="E546" s="3"/>
      <c r="F546" s="2"/>
      <c r="G546" s="2"/>
      <c r="H546" s="2"/>
      <c r="I546" s="2"/>
    </row>
    <row r="547" spans="1:9" ht="15.6">
      <c r="A547" s="2"/>
      <c r="B547" s="2"/>
      <c r="C547" s="2"/>
      <c r="D547" s="2"/>
      <c r="E547" s="3"/>
      <c r="F547" s="2"/>
      <c r="G547" s="2"/>
      <c r="H547" s="2"/>
      <c r="I547" s="2"/>
    </row>
    <row r="548" spans="1:9" ht="15.6">
      <c r="A548" s="2"/>
      <c r="B548" s="2"/>
      <c r="C548" s="2"/>
      <c r="D548" s="2"/>
      <c r="E548" s="3"/>
      <c r="F548" s="2"/>
      <c r="G548" s="2"/>
      <c r="H548" s="2"/>
      <c r="I548" s="2"/>
    </row>
    <row r="549" spans="1:9" ht="15.6">
      <c r="A549" s="2"/>
      <c r="B549" s="2"/>
      <c r="C549" s="2"/>
      <c r="D549" s="2"/>
      <c r="E549" s="3"/>
      <c r="F549" s="2"/>
      <c r="G549" s="2"/>
      <c r="H549" s="2"/>
      <c r="I549" s="2"/>
    </row>
    <row r="550" spans="1:9" ht="15.6">
      <c r="A550" s="2"/>
      <c r="B550" s="2"/>
      <c r="C550" s="2"/>
      <c r="D550" s="2"/>
      <c r="E550" s="3"/>
      <c r="F550" s="2"/>
      <c r="G550" s="2"/>
      <c r="H550" s="2"/>
      <c r="I550" s="2"/>
    </row>
    <row r="551" spans="1:9" ht="15.6">
      <c r="A551" s="2"/>
      <c r="B551" s="2"/>
      <c r="C551" s="2"/>
      <c r="D551" s="2"/>
      <c r="E551" s="3"/>
      <c r="F551" s="2"/>
      <c r="G551" s="2"/>
      <c r="H551" s="2"/>
      <c r="I551" s="2"/>
    </row>
    <row r="552" spans="1:9" ht="15.6">
      <c r="A552" s="2"/>
      <c r="B552" s="2"/>
      <c r="C552" s="2"/>
      <c r="D552" s="2"/>
      <c r="E552" s="3"/>
      <c r="F552" s="2"/>
      <c r="G552" s="2"/>
      <c r="H552" s="2"/>
      <c r="I552" s="2"/>
    </row>
    <row r="553" spans="1:9" ht="15.6">
      <c r="A553" s="2"/>
      <c r="B553" s="2"/>
      <c r="C553" s="2"/>
      <c r="D553" s="2"/>
      <c r="E553" s="3"/>
      <c r="F553" s="2"/>
      <c r="G553" s="2"/>
      <c r="H553" s="2"/>
      <c r="I553" s="2"/>
    </row>
    <row r="554" spans="1:9" ht="15.6">
      <c r="A554" s="2"/>
      <c r="B554" s="2"/>
      <c r="C554" s="2"/>
      <c r="D554" s="2"/>
      <c r="E554" s="3"/>
      <c r="F554" s="2"/>
      <c r="G554" s="2"/>
      <c r="H554" s="2"/>
      <c r="I554" s="2"/>
    </row>
    <row r="555" spans="1:9" ht="15.6">
      <c r="A555" s="2"/>
      <c r="B555" s="2"/>
      <c r="C555" s="2"/>
      <c r="D555" s="2"/>
      <c r="E555" s="3"/>
      <c r="F555" s="2"/>
      <c r="G555" s="2"/>
      <c r="H555" s="2"/>
      <c r="I555" s="2"/>
    </row>
    <row r="556" spans="1:9" ht="15.6">
      <c r="A556" s="2"/>
      <c r="B556" s="2"/>
      <c r="C556" s="2"/>
      <c r="D556" s="2"/>
      <c r="E556" s="3"/>
      <c r="F556" s="2"/>
      <c r="G556" s="2"/>
      <c r="H556" s="2"/>
      <c r="I556" s="2"/>
    </row>
    <row r="557" spans="1:9" ht="15.6">
      <c r="A557" s="2"/>
      <c r="B557" s="2"/>
      <c r="C557" s="2"/>
      <c r="D557" s="2"/>
      <c r="E557" s="3"/>
      <c r="F557" s="2"/>
      <c r="G557" s="2"/>
      <c r="H557" s="2"/>
      <c r="I557" s="2"/>
    </row>
    <row r="558" spans="1:9" ht="15.6">
      <c r="A558" s="2"/>
      <c r="B558" s="2"/>
      <c r="C558" s="2"/>
      <c r="D558" s="2"/>
      <c r="E558" s="3"/>
      <c r="F558" s="2"/>
      <c r="G558" s="2"/>
      <c r="H558" s="2"/>
      <c r="I558" s="2"/>
    </row>
    <row r="559" spans="1:9" ht="15.6">
      <c r="A559" s="2"/>
      <c r="B559" s="2"/>
      <c r="C559" s="2"/>
      <c r="D559" s="2"/>
      <c r="E559" s="3"/>
      <c r="F559" s="2"/>
      <c r="G559" s="2"/>
      <c r="H559" s="2"/>
      <c r="I559" s="2"/>
    </row>
    <row r="560" spans="1:9" ht="15.6">
      <c r="A560" s="2"/>
      <c r="B560" s="2"/>
      <c r="C560" s="2"/>
      <c r="D560" s="2"/>
      <c r="E560" s="3"/>
      <c r="F560" s="2"/>
      <c r="G560" s="2"/>
      <c r="H560" s="2"/>
      <c r="I560" s="2"/>
    </row>
    <row r="561" spans="1:9" ht="15.6">
      <c r="A561" s="2"/>
      <c r="B561" s="2"/>
      <c r="C561" s="2"/>
      <c r="D561" s="2"/>
      <c r="E561" s="3"/>
      <c r="F561" s="2"/>
      <c r="G561" s="2"/>
      <c r="H561" s="2"/>
      <c r="I561" s="2"/>
    </row>
    <row r="562" spans="1:9" ht="15.6">
      <c r="A562" s="2"/>
      <c r="B562" s="2"/>
      <c r="C562" s="2"/>
      <c r="D562" s="2"/>
      <c r="E562" s="3"/>
      <c r="F562" s="2"/>
      <c r="G562" s="2"/>
      <c r="H562" s="2"/>
      <c r="I562" s="2"/>
    </row>
    <row r="563" spans="1:9" ht="15.6">
      <c r="A563" s="2"/>
      <c r="B563" s="2"/>
      <c r="C563" s="2"/>
      <c r="D563" s="2"/>
      <c r="E563" s="3"/>
      <c r="F563" s="2"/>
      <c r="G563" s="2"/>
      <c r="H563" s="2"/>
      <c r="I563" s="2"/>
    </row>
    <row r="564" spans="1:9" ht="15.6">
      <c r="A564" s="2"/>
      <c r="B564" s="2"/>
      <c r="C564" s="2"/>
      <c r="D564" s="2"/>
      <c r="E564" s="3"/>
      <c r="F564" s="2"/>
      <c r="G564" s="2"/>
      <c r="H564" s="2"/>
      <c r="I564" s="2"/>
    </row>
    <row r="565" spans="1:9" ht="15.6">
      <c r="A565" s="2"/>
      <c r="B565" s="2"/>
      <c r="C565" s="2"/>
      <c r="D565" s="2"/>
      <c r="E565" s="3"/>
      <c r="F565" s="2"/>
      <c r="G565" s="2"/>
      <c r="H565" s="2"/>
      <c r="I565" s="2"/>
    </row>
    <row r="566" spans="1:9" ht="15.6">
      <c r="A566" s="2"/>
      <c r="B566" s="2"/>
      <c r="C566" s="2"/>
      <c r="D566" s="2"/>
      <c r="E566" s="3"/>
      <c r="F566" s="2"/>
      <c r="G566" s="2"/>
      <c r="H566" s="2"/>
      <c r="I566" s="2"/>
    </row>
    <row r="567" spans="1:9" ht="15.6">
      <c r="A567" s="2"/>
      <c r="B567" s="2"/>
      <c r="C567" s="2"/>
      <c r="D567" s="2"/>
      <c r="E567" s="3"/>
      <c r="F567" s="2"/>
      <c r="G567" s="2"/>
      <c r="H567" s="2"/>
      <c r="I567" s="2"/>
    </row>
    <row r="568" spans="1:9" ht="15.6">
      <c r="A568" s="2"/>
      <c r="B568" s="2"/>
      <c r="C568" s="2"/>
      <c r="D568" s="2"/>
      <c r="E568" s="3"/>
      <c r="F568" s="2"/>
      <c r="G568" s="2"/>
      <c r="H568" s="2"/>
      <c r="I568" s="2"/>
    </row>
    <row r="569" spans="1:9" ht="15.6">
      <c r="A569" s="2"/>
      <c r="B569" s="2"/>
      <c r="C569" s="2"/>
      <c r="D569" s="2"/>
      <c r="E569" s="3"/>
      <c r="F569" s="2"/>
      <c r="G569" s="2"/>
      <c r="H569" s="2"/>
      <c r="I569" s="2"/>
    </row>
    <row r="570" spans="1:9" ht="15.6">
      <c r="A570" s="2"/>
      <c r="B570" s="2"/>
      <c r="C570" s="2"/>
      <c r="D570" s="2"/>
      <c r="E570" s="3"/>
      <c r="F570" s="2"/>
      <c r="G570" s="2"/>
      <c r="H570" s="2"/>
      <c r="I570" s="2"/>
    </row>
    <row r="571" spans="1:9" ht="15.6">
      <c r="A571" s="2"/>
      <c r="B571" s="2"/>
      <c r="C571" s="2"/>
      <c r="D571" s="2"/>
      <c r="E571" s="3"/>
      <c r="F571" s="2"/>
      <c r="G571" s="2"/>
      <c r="H571" s="2"/>
      <c r="I571" s="2"/>
    </row>
    <row r="572" spans="1:9" ht="15.6">
      <c r="A572" s="2"/>
      <c r="B572" s="2"/>
      <c r="C572" s="2"/>
      <c r="D572" s="2"/>
      <c r="E572" s="3"/>
      <c r="F572" s="2"/>
      <c r="G572" s="2"/>
      <c r="H572" s="2"/>
      <c r="I572" s="2"/>
    </row>
    <row r="573" spans="1:9" ht="15.6">
      <c r="A573" s="2"/>
      <c r="B573" s="2"/>
      <c r="C573" s="2"/>
      <c r="D573" s="2"/>
      <c r="E573" s="3"/>
      <c r="F573" s="2"/>
      <c r="G573" s="2"/>
      <c r="H573" s="2"/>
      <c r="I573" s="2"/>
    </row>
    <row r="574" spans="1:9" ht="15.6">
      <c r="A574" s="2"/>
      <c r="B574" s="2"/>
      <c r="C574" s="2"/>
      <c r="D574" s="2"/>
      <c r="E574" s="3"/>
      <c r="F574" s="2"/>
      <c r="G574" s="2"/>
      <c r="H574" s="2"/>
      <c r="I574" s="2"/>
    </row>
    <row r="575" spans="1:9" ht="15.6">
      <c r="A575" s="2"/>
      <c r="B575" s="2"/>
      <c r="C575" s="2"/>
      <c r="D575" s="2"/>
      <c r="E575" s="3"/>
      <c r="F575" s="2"/>
      <c r="G575" s="2"/>
      <c r="H575" s="2"/>
      <c r="I575" s="2"/>
    </row>
    <row r="576" spans="1:9" ht="15.6">
      <c r="A576" s="2"/>
      <c r="B576" s="2"/>
      <c r="C576" s="2"/>
      <c r="D576" s="2"/>
      <c r="E576" s="3"/>
      <c r="F576" s="2"/>
      <c r="G576" s="2"/>
      <c r="H576" s="2"/>
      <c r="I576" s="2"/>
    </row>
    <row r="577" spans="1:9" ht="15.6">
      <c r="A577" s="2"/>
      <c r="B577" s="2"/>
      <c r="C577" s="2"/>
      <c r="D577" s="2"/>
      <c r="E577" s="3"/>
      <c r="F577" s="2"/>
      <c r="G577" s="2"/>
      <c r="H577" s="2"/>
      <c r="I577" s="2"/>
    </row>
    <row r="578" spans="1:9" ht="15.6">
      <c r="A578" s="2"/>
      <c r="B578" s="2"/>
      <c r="C578" s="2"/>
      <c r="D578" s="2"/>
      <c r="E578" s="3"/>
      <c r="F578" s="2"/>
      <c r="G578" s="2"/>
      <c r="H578" s="2"/>
      <c r="I578" s="2"/>
    </row>
    <row r="579" spans="1:9" ht="15.6">
      <c r="A579" s="2"/>
      <c r="B579" s="2"/>
      <c r="C579" s="2"/>
      <c r="D579" s="2"/>
      <c r="E579" s="3"/>
      <c r="F579" s="2"/>
      <c r="G579" s="2"/>
      <c r="H579" s="2"/>
      <c r="I579" s="2"/>
    </row>
    <row r="580" spans="1:9" ht="15.6">
      <c r="A580" s="2"/>
      <c r="B580" s="2"/>
      <c r="C580" s="2"/>
      <c r="D580" s="2"/>
      <c r="E580" s="3"/>
      <c r="F580" s="2"/>
      <c r="G580" s="2"/>
      <c r="H580" s="2"/>
      <c r="I580" s="2"/>
    </row>
    <row r="581" spans="1:9" ht="15.6">
      <c r="A581" s="2"/>
      <c r="B581" s="2"/>
      <c r="C581" s="2"/>
      <c r="D581" s="2"/>
      <c r="E581" s="3"/>
      <c r="F581" s="2"/>
      <c r="G581" s="2"/>
      <c r="H581" s="2"/>
      <c r="I581" s="2"/>
    </row>
    <row r="582" spans="1:9" ht="15.6">
      <c r="A582" s="2"/>
      <c r="B582" s="2"/>
      <c r="C582" s="2"/>
      <c r="D582" s="2"/>
      <c r="E582" s="3"/>
      <c r="F582" s="2"/>
      <c r="G582" s="2"/>
      <c r="H582" s="2"/>
      <c r="I582" s="2"/>
    </row>
    <row r="583" spans="1:9" ht="15.6">
      <c r="A583" s="2"/>
      <c r="B583" s="2"/>
      <c r="C583" s="2"/>
      <c r="D583" s="2"/>
      <c r="E583" s="3"/>
      <c r="F583" s="2"/>
      <c r="G583" s="2"/>
      <c r="H583" s="2"/>
      <c r="I583" s="2"/>
    </row>
    <row r="584" spans="1:9" ht="15.6">
      <c r="A584" s="2"/>
      <c r="B584" s="2"/>
      <c r="C584" s="2"/>
      <c r="D584" s="2"/>
      <c r="E584" s="3"/>
      <c r="F584" s="2"/>
      <c r="G584" s="2"/>
      <c r="H584" s="2"/>
      <c r="I584" s="2"/>
    </row>
    <row r="585" spans="1:9" ht="15.6">
      <c r="A585" s="2"/>
      <c r="B585" s="2"/>
      <c r="C585" s="2"/>
      <c r="D585" s="2"/>
      <c r="E585" s="3"/>
      <c r="F585" s="2"/>
      <c r="G585" s="2"/>
      <c r="H585" s="2"/>
      <c r="I585" s="2"/>
    </row>
    <row r="586" spans="1:9" ht="15.6">
      <c r="A586" s="2"/>
      <c r="B586" s="2"/>
      <c r="C586" s="2"/>
      <c r="D586" s="2"/>
      <c r="E586" s="3"/>
      <c r="F586" s="2"/>
      <c r="G586" s="2"/>
      <c r="H586" s="2"/>
      <c r="I586" s="2"/>
    </row>
    <row r="587" spans="1:9" ht="15.6">
      <c r="A587" s="2"/>
      <c r="B587" s="2"/>
      <c r="C587" s="2"/>
      <c r="D587" s="2"/>
      <c r="E587" s="3"/>
      <c r="F587" s="2"/>
      <c r="G587" s="2"/>
      <c r="H587" s="2"/>
      <c r="I587" s="2"/>
    </row>
    <row r="588" spans="1:9" ht="15.6">
      <c r="A588" s="2"/>
      <c r="B588" s="2"/>
      <c r="C588" s="2"/>
      <c r="D588" s="2"/>
      <c r="E588" s="3"/>
      <c r="F588" s="2"/>
      <c r="G588" s="2"/>
      <c r="H588" s="2"/>
      <c r="I588" s="2"/>
    </row>
    <row r="589" spans="1:9" ht="15.6">
      <c r="A589" s="2"/>
      <c r="B589" s="2"/>
      <c r="C589" s="2"/>
      <c r="D589" s="2"/>
      <c r="E589" s="3"/>
      <c r="F589" s="2"/>
      <c r="G589" s="2"/>
      <c r="H589" s="2"/>
      <c r="I589" s="2"/>
    </row>
    <row r="590" spans="1:9" ht="15.6">
      <c r="A590" s="2"/>
      <c r="B590" s="2"/>
      <c r="C590" s="2"/>
      <c r="D590" s="2"/>
      <c r="E590" s="3"/>
      <c r="F590" s="2"/>
      <c r="G590" s="2"/>
      <c r="H590" s="2"/>
      <c r="I590" s="2"/>
    </row>
    <row r="591" spans="1:9" ht="15.6">
      <c r="A591" s="2"/>
      <c r="B591" s="2"/>
      <c r="C591" s="2"/>
      <c r="D591" s="2"/>
      <c r="E591" s="3"/>
      <c r="F591" s="2"/>
      <c r="G591" s="2"/>
      <c r="H591" s="2"/>
      <c r="I591" s="2"/>
    </row>
    <row r="592" spans="1:9" ht="15.6">
      <c r="A592" s="2"/>
      <c r="B592" s="2"/>
      <c r="C592" s="2"/>
      <c r="D592" s="2"/>
      <c r="E592" s="3"/>
      <c r="F592" s="2"/>
      <c r="G592" s="2"/>
      <c r="H592" s="2"/>
      <c r="I592" s="2"/>
    </row>
    <row r="593" spans="1:9" ht="15.6">
      <c r="A593" s="2"/>
      <c r="B593" s="2"/>
      <c r="C593" s="2"/>
      <c r="D593" s="2"/>
      <c r="E593" s="3"/>
      <c r="F593" s="2"/>
      <c r="G593" s="2"/>
      <c r="H593" s="2"/>
      <c r="I593" s="2"/>
    </row>
    <row r="594" spans="1:9" ht="15.6">
      <c r="A594" s="2"/>
      <c r="B594" s="2"/>
      <c r="C594" s="2"/>
      <c r="D594" s="2"/>
      <c r="E594" s="3"/>
      <c r="F594" s="2"/>
      <c r="G594" s="2"/>
      <c r="H594" s="2"/>
      <c r="I594" s="2"/>
    </row>
    <row r="595" spans="1:9" ht="15.6">
      <c r="A595" s="2"/>
      <c r="B595" s="2"/>
      <c r="C595" s="2"/>
      <c r="D595" s="2"/>
      <c r="E595" s="3"/>
      <c r="F595" s="2"/>
      <c r="G595" s="2"/>
      <c r="H595" s="2"/>
      <c r="I595" s="2"/>
    </row>
    <row r="596" spans="1:9" ht="15.6">
      <c r="A596" s="2"/>
      <c r="B596" s="2"/>
      <c r="C596" s="2"/>
      <c r="D596" s="2"/>
      <c r="E596" s="3"/>
      <c r="F596" s="2"/>
      <c r="G596" s="2"/>
      <c r="H596" s="2"/>
      <c r="I596" s="2"/>
    </row>
    <row r="597" spans="1:9" ht="15.6">
      <c r="A597" s="2"/>
      <c r="B597" s="2"/>
      <c r="C597" s="2"/>
      <c r="D597" s="2"/>
      <c r="E597" s="3"/>
      <c r="F597" s="2"/>
      <c r="G597" s="2"/>
      <c r="H597" s="2"/>
      <c r="I597" s="2"/>
    </row>
    <row r="598" spans="1:9" ht="15.6">
      <c r="A598" s="2"/>
      <c r="B598" s="2"/>
      <c r="C598" s="2"/>
      <c r="D598" s="2"/>
      <c r="E598" s="3"/>
      <c r="F598" s="2"/>
      <c r="G598" s="2"/>
      <c r="H598" s="2"/>
      <c r="I598" s="2"/>
    </row>
    <row r="599" spans="1:9" ht="15.6">
      <c r="A599" s="2"/>
      <c r="B599" s="2"/>
      <c r="C599" s="2"/>
      <c r="D599" s="2"/>
      <c r="E599" s="3"/>
      <c r="F599" s="2"/>
      <c r="G599" s="2"/>
      <c r="H599" s="2"/>
      <c r="I599" s="2"/>
    </row>
    <row r="600" spans="1:9" ht="15.6">
      <c r="A600" s="2"/>
      <c r="B600" s="2"/>
      <c r="C600" s="2"/>
      <c r="D600" s="2"/>
      <c r="E600" s="3"/>
      <c r="F600" s="2"/>
      <c r="G600" s="2"/>
      <c r="H600" s="2"/>
      <c r="I600" s="2"/>
    </row>
    <row r="601" spans="1:9" ht="15.6">
      <c r="A601" s="2"/>
      <c r="B601" s="2"/>
      <c r="C601" s="2"/>
      <c r="D601" s="2"/>
      <c r="E601" s="3"/>
      <c r="F601" s="2"/>
      <c r="G601" s="2"/>
      <c r="H601" s="2"/>
      <c r="I601" s="2"/>
    </row>
    <row r="602" spans="1:9" ht="15.6">
      <c r="A602" s="2"/>
      <c r="B602" s="2"/>
      <c r="C602" s="2"/>
      <c r="D602" s="2"/>
      <c r="E602" s="3"/>
      <c r="F602" s="2"/>
      <c r="G602" s="2"/>
      <c r="H602" s="2"/>
      <c r="I602" s="2"/>
    </row>
    <row r="603" spans="1:9" ht="15.6">
      <c r="A603" s="2"/>
      <c r="B603" s="2"/>
      <c r="C603" s="2"/>
      <c r="D603" s="2"/>
      <c r="E603" s="3"/>
      <c r="F603" s="2"/>
      <c r="G603" s="2"/>
      <c r="H603" s="2"/>
      <c r="I603" s="2"/>
    </row>
    <row r="604" spans="1:9" ht="15.6">
      <c r="A604" s="2"/>
      <c r="B604" s="2"/>
      <c r="C604" s="2"/>
      <c r="D604" s="2"/>
      <c r="E604" s="3"/>
      <c r="F604" s="2"/>
      <c r="G604" s="2"/>
      <c r="H604" s="2"/>
      <c r="I604" s="2"/>
    </row>
    <row r="605" spans="1:9" ht="15.6">
      <c r="A605" s="2"/>
      <c r="B605" s="2"/>
      <c r="C605" s="2"/>
      <c r="D605" s="2"/>
      <c r="E605" s="3"/>
      <c r="F605" s="2"/>
      <c r="G605" s="2"/>
      <c r="H605" s="2"/>
      <c r="I605" s="2"/>
    </row>
    <row r="606" spans="1:9" ht="15.6">
      <c r="A606" s="2"/>
      <c r="B606" s="2"/>
      <c r="C606" s="2"/>
      <c r="D606" s="2"/>
      <c r="E606" s="3"/>
      <c r="F606" s="2"/>
      <c r="G606" s="2"/>
      <c r="H606" s="2"/>
      <c r="I606" s="2"/>
    </row>
    <row r="607" spans="1:9" ht="15.6">
      <c r="A607" s="2"/>
      <c r="B607" s="2"/>
      <c r="C607" s="2"/>
      <c r="D607" s="2"/>
      <c r="E607" s="3"/>
      <c r="F607" s="2"/>
      <c r="G607" s="2"/>
      <c r="H607" s="2"/>
      <c r="I607" s="2"/>
    </row>
    <row r="608" spans="1:9" ht="15.6">
      <c r="A608" s="2"/>
      <c r="B608" s="2"/>
      <c r="C608" s="2"/>
      <c r="D608" s="2"/>
      <c r="E608" s="3"/>
      <c r="F608" s="2"/>
      <c r="G608" s="2"/>
      <c r="H608" s="2"/>
      <c r="I608" s="2"/>
    </row>
    <row r="609" spans="1:9" ht="15.6">
      <c r="A609" s="2"/>
      <c r="B609" s="2"/>
      <c r="C609" s="2"/>
      <c r="D609" s="2"/>
      <c r="E609" s="3"/>
      <c r="F609" s="2"/>
      <c r="G609" s="2"/>
      <c r="H609" s="2"/>
      <c r="I609" s="2"/>
    </row>
    <row r="610" spans="1:9" ht="15.6">
      <c r="A610" s="2"/>
      <c r="B610" s="2"/>
      <c r="C610" s="2"/>
      <c r="D610" s="2"/>
      <c r="E610" s="3"/>
      <c r="F610" s="2"/>
      <c r="G610" s="2"/>
      <c r="H610" s="2"/>
      <c r="I610" s="2"/>
    </row>
    <row r="611" spans="1:9" ht="15.6">
      <c r="A611" s="2"/>
      <c r="B611" s="2"/>
      <c r="C611" s="2"/>
      <c r="D611" s="2"/>
      <c r="E611" s="3"/>
      <c r="F611" s="2"/>
      <c r="G611" s="2"/>
      <c r="H611" s="2"/>
      <c r="I611" s="2"/>
    </row>
    <row r="612" spans="1:9" ht="15.6">
      <c r="A612" s="2"/>
      <c r="B612" s="2"/>
      <c r="C612" s="2"/>
      <c r="D612" s="2"/>
      <c r="E612" s="3"/>
      <c r="F612" s="2"/>
      <c r="G612" s="2"/>
      <c r="H612" s="2"/>
      <c r="I612" s="2"/>
    </row>
    <row r="613" spans="1:9" ht="15.6">
      <c r="A613" s="2"/>
      <c r="B613" s="2"/>
      <c r="C613" s="2"/>
      <c r="D613" s="2"/>
      <c r="E613" s="3"/>
      <c r="F613" s="2"/>
      <c r="G613" s="2"/>
      <c r="H613" s="2"/>
      <c r="I613" s="2"/>
    </row>
    <row r="614" spans="1:9" ht="15.6">
      <c r="A614" s="2"/>
      <c r="B614" s="2"/>
      <c r="C614" s="2"/>
      <c r="D614" s="2"/>
      <c r="E614" s="3"/>
      <c r="F614" s="2"/>
      <c r="G614" s="2"/>
      <c r="H614" s="2"/>
      <c r="I614" s="2"/>
    </row>
    <row r="615" spans="1:9" ht="15.6">
      <c r="A615" s="2"/>
      <c r="B615" s="2"/>
      <c r="C615" s="2"/>
      <c r="D615" s="2"/>
      <c r="E615" s="3"/>
      <c r="F615" s="2"/>
      <c r="G615" s="2"/>
      <c r="H615" s="2"/>
      <c r="I615" s="2"/>
    </row>
    <row r="616" spans="1:9" ht="15.6">
      <c r="A616" s="2"/>
      <c r="B616" s="2"/>
      <c r="C616" s="2"/>
      <c r="D616" s="2"/>
      <c r="E616" s="3"/>
      <c r="F616" s="2"/>
      <c r="G616" s="2"/>
      <c r="H616" s="2"/>
      <c r="I616" s="2"/>
    </row>
    <row r="617" spans="1:9" ht="15.6">
      <c r="A617" s="2"/>
      <c r="B617" s="2"/>
      <c r="C617" s="2"/>
      <c r="D617" s="2"/>
      <c r="E617" s="3"/>
      <c r="F617" s="2"/>
      <c r="G617" s="2"/>
      <c r="H617" s="2"/>
      <c r="I617" s="2"/>
    </row>
    <row r="618" spans="1:9" ht="15.6">
      <c r="A618" s="2"/>
      <c r="B618" s="2"/>
      <c r="C618" s="2"/>
      <c r="D618" s="2"/>
      <c r="E618" s="3"/>
      <c r="F618" s="2"/>
      <c r="G618" s="2"/>
      <c r="H618" s="2"/>
      <c r="I618" s="2"/>
    </row>
    <row r="619" spans="1:9" ht="15.6">
      <c r="A619" s="2"/>
      <c r="B619" s="2"/>
      <c r="C619" s="2"/>
      <c r="D619" s="2"/>
      <c r="E619" s="3"/>
      <c r="F619" s="2"/>
      <c r="G619" s="2"/>
      <c r="H619" s="2"/>
      <c r="I619" s="2"/>
    </row>
    <row r="620" spans="1:9" ht="15.6">
      <c r="A620" s="2"/>
      <c r="B620" s="2"/>
      <c r="C620" s="2"/>
      <c r="D620" s="2"/>
      <c r="E620" s="3"/>
      <c r="F620" s="2"/>
      <c r="G620" s="2"/>
      <c r="H620" s="2"/>
      <c r="I620" s="2"/>
    </row>
    <row r="621" spans="1:9" ht="15.6">
      <c r="A621" s="2"/>
      <c r="B621" s="2"/>
      <c r="C621" s="2"/>
      <c r="D621" s="2"/>
      <c r="E621" s="3"/>
      <c r="F621" s="2"/>
      <c r="G621" s="2"/>
      <c r="H621" s="2"/>
      <c r="I621" s="2"/>
    </row>
    <row r="622" spans="1:9" ht="15.6">
      <c r="A622" s="2"/>
      <c r="B622" s="2"/>
      <c r="C622" s="2"/>
      <c r="D622" s="2"/>
      <c r="E622" s="3"/>
      <c r="F622" s="2"/>
      <c r="G622" s="2"/>
      <c r="H622" s="2"/>
      <c r="I622" s="2"/>
    </row>
    <row r="623" spans="1:9" ht="15.6">
      <c r="A623" s="2"/>
      <c r="B623" s="2"/>
      <c r="C623" s="2"/>
      <c r="D623" s="2"/>
      <c r="E623" s="3"/>
      <c r="F623" s="2"/>
      <c r="G623" s="2"/>
      <c r="H623" s="2"/>
      <c r="I623" s="2"/>
    </row>
    <row r="624" spans="1:9" ht="15.6">
      <c r="A624" s="2"/>
      <c r="B624" s="2"/>
      <c r="C624" s="2"/>
      <c r="D624" s="2"/>
      <c r="E624" s="3"/>
      <c r="F624" s="2"/>
      <c r="G624" s="2"/>
      <c r="H624" s="2"/>
      <c r="I624" s="2"/>
    </row>
    <row r="625" spans="1:9" ht="15.6">
      <c r="A625" s="2"/>
      <c r="B625" s="2"/>
      <c r="C625" s="2"/>
      <c r="D625" s="2"/>
      <c r="E625" s="3"/>
      <c r="F625" s="2"/>
      <c r="G625" s="2"/>
      <c r="H625" s="2"/>
      <c r="I625" s="2"/>
    </row>
    <row r="626" spans="1:9" ht="15.6">
      <c r="A626" s="2"/>
      <c r="B626" s="2"/>
      <c r="C626" s="2"/>
      <c r="D626" s="2"/>
      <c r="E626" s="3"/>
      <c r="F626" s="2"/>
      <c r="G626" s="2"/>
      <c r="H626" s="2"/>
      <c r="I626" s="2"/>
    </row>
    <row r="627" spans="1:9" ht="15.6">
      <c r="A627" s="2"/>
      <c r="B627" s="2"/>
      <c r="C627" s="2"/>
      <c r="D627" s="2"/>
      <c r="E627" s="3"/>
      <c r="F627" s="2"/>
      <c r="G627" s="2"/>
      <c r="H627" s="2"/>
      <c r="I627" s="2"/>
    </row>
    <row r="628" spans="1:9" ht="15.6">
      <c r="A628" s="2"/>
      <c r="B628" s="2"/>
      <c r="C628" s="2"/>
      <c r="D628" s="2"/>
      <c r="E628" s="3"/>
      <c r="F628" s="2"/>
      <c r="G628" s="2"/>
      <c r="H628" s="2"/>
      <c r="I628" s="2"/>
    </row>
    <row r="629" spans="1:9" ht="15.6">
      <c r="A629" s="2"/>
      <c r="B629" s="2"/>
      <c r="C629" s="2"/>
      <c r="D629" s="2"/>
      <c r="E629" s="3"/>
      <c r="F629" s="2"/>
      <c r="G629" s="2"/>
      <c r="H629" s="2"/>
      <c r="I629" s="2"/>
    </row>
    <row r="630" spans="1:9" ht="15.6">
      <c r="A630" s="2"/>
      <c r="B630" s="2"/>
      <c r="C630" s="2"/>
      <c r="D630" s="2"/>
      <c r="E630" s="3"/>
      <c r="F630" s="2"/>
      <c r="G630" s="2"/>
      <c r="H630" s="2"/>
      <c r="I630" s="2"/>
    </row>
    <row r="631" spans="1:9" ht="15.6">
      <c r="A631" s="2"/>
      <c r="B631" s="2"/>
      <c r="C631" s="2"/>
      <c r="D631" s="2"/>
      <c r="E631" s="3"/>
      <c r="F631" s="2"/>
      <c r="G631" s="2"/>
      <c r="H631" s="2"/>
      <c r="I631" s="2"/>
    </row>
    <row r="632" spans="1:9" ht="15.6">
      <c r="A632" s="2"/>
      <c r="B632" s="2"/>
      <c r="C632" s="2"/>
      <c r="D632" s="2"/>
      <c r="E632" s="3"/>
      <c r="F632" s="2"/>
      <c r="G632" s="2"/>
      <c r="H632" s="2"/>
      <c r="I632" s="2"/>
    </row>
    <row r="633" spans="1:9" ht="15.6">
      <c r="A633" s="2"/>
      <c r="B633" s="2"/>
      <c r="C633" s="2"/>
      <c r="D633" s="2"/>
      <c r="E633" s="3"/>
      <c r="F633" s="2"/>
      <c r="G633" s="2"/>
      <c r="H633" s="2"/>
      <c r="I633" s="2"/>
    </row>
    <row r="634" spans="1:9" ht="15.6">
      <c r="A634" s="2"/>
      <c r="B634" s="2"/>
      <c r="C634" s="2"/>
      <c r="D634" s="2"/>
      <c r="E634" s="3"/>
      <c r="F634" s="2"/>
      <c r="G634" s="2"/>
      <c r="H634" s="2"/>
      <c r="I634" s="2"/>
    </row>
    <row r="635" spans="1:9" ht="15.6">
      <c r="A635" s="2"/>
      <c r="B635" s="2"/>
      <c r="C635" s="2"/>
      <c r="D635" s="2"/>
      <c r="E635" s="3"/>
      <c r="F635" s="2"/>
      <c r="G635" s="2"/>
      <c r="H635" s="2"/>
      <c r="I635" s="2"/>
    </row>
    <row r="636" spans="1:9" ht="15.6">
      <c r="A636" s="2"/>
      <c r="B636" s="2"/>
      <c r="C636" s="2"/>
      <c r="D636" s="2"/>
      <c r="E636" s="3"/>
      <c r="F636" s="2"/>
      <c r="G636" s="2"/>
      <c r="H636" s="2"/>
      <c r="I636" s="2"/>
    </row>
    <row r="637" spans="1:9" ht="15.6">
      <c r="A637" s="2"/>
      <c r="B637" s="2"/>
      <c r="C637" s="2"/>
      <c r="D637" s="2"/>
      <c r="E637" s="3"/>
      <c r="F637" s="2"/>
      <c r="G637" s="2"/>
      <c r="H637" s="2"/>
      <c r="I637" s="2"/>
    </row>
    <row r="638" spans="1:9" ht="15.6">
      <c r="A638" s="2"/>
      <c r="B638" s="2"/>
      <c r="C638" s="2"/>
      <c r="D638" s="2"/>
      <c r="E638" s="3"/>
      <c r="F638" s="2"/>
      <c r="G638" s="2"/>
      <c r="H638" s="2"/>
      <c r="I638" s="2"/>
    </row>
    <row r="639" spans="1:9" ht="15.6">
      <c r="A639" s="2"/>
      <c r="B639" s="2"/>
      <c r="C639" s="2"/>
      <c r="D639" s="2"/>
      <c r="E639" s="3"/>
      <c r="F639" s="2"/>
      <c r="G639" s="2"/>
      <c r="H639" s="2"/>
      <c r="I639" s="2"/>
    </row>
    <row r="640" spans="1:9" ht="15.6">
      <c r="A640" s="2"/>
      <c r="B640" s="2"/>
      <c r="C640" s="2"/>
      <c r="D640" s="2"/>
      <c r="E640" s="3"/>
      <c r="F640" s="2"/>
      <c r="G640" s="2"/>
      <c r="H640" s="2"/>
      <c r="I640" s="2"/>
    </row>
    <row r="641" spans="1:9" ht="15.6">
      <c r="A641" s="2"/>
      <c r="B641" s="2"/>
      <c r="C641" s="2"/>
      <c r="D641" s="2"/>
      <c r="E641" s="3"/>
      <c r="F641" s="2"/>
      <c r="G641" s="2"/>
      <c r="H641" s="2"/>
      <c r="I641" s="2"/>
    </row>
    <row r="642" spans="1:9" ht="15.6">
      <c r="A642" s="2"/>
      <c r="B642" s="2"/>
      <c r="C642" s="2"/>
      <c r="D642" s="2"/>
      <c r="E642" s="3"/>
      <c r="F642" s="2"/>
      <c r="G642" s="2"/>
      <c r="H642" s="2"/>
      <c r="I642" s="2"/>
    </row>
    <row r="643" spans="1:9" ht="15.6">
      <c r="A643" s="2"/>
      <c r="B643" s="2"/>
      <c r="C643" s="2"/>
      <c r="D643" s="2"/>
      <c r="E643" s="3"/>
      <c r="F643" s="2"/>
      <c r="G643" s="2"/>
      <c r="H643" s="2"/>
      <c r="I643" s="2"/>
    </row>
    <row r="644" spans="1:9" ht="15.6">
      <c r="A644" s="2"/>
      <c r="B644" s="2"/>
      <c r="C644" s="2"/>
      <c r="D644" s="2"/>
      <c r="E644" s="3"/>
      <c r="F644" s="2"/>
      <c r="G644" s="2"/>
      <c r="H644" s="2"/>
      <c r="I644" s="2"/>
    </row>
    <row r="645" spans="1:9" ht="15.6">
      <c r="A645" s="2"/>
      <c r="B645" s="2"/>
      <c r="C645" s="2"/>
      <c r="D645" s="2"/>
      <c r="E645" s="3"/>
      <c r="F645" s="2"/>
      <c r="G645" s="2"/>
      <c r="H645" s="2"/>
      <c r="I645" s="2"/>
    </row>
    <row r="646" spans="1:9" ht="15.6">
      <c r="A646" s="2"/>
      <c r="B646" s="2"/>
      <c r="C646" s="2"/>
      <c r="D646" s="2"/>
      <c r="E646" s="3"/>
      <c r="F646" s="2"/>
      <c r="G646" s="2"/>
      <c r="H646" s="2"/>
      <c r="I646" s="2"/>
    </row>
    <row r="647" spans="1:9" ht="15.6">
      <c r="A647" s="2"/>
      <c r="B647" s="2"/>
      <c r="C647" s="2"/>
      <c r="D647" s="2"/>
      <c r="E647" s="3"/>
      <c r="F647" s="2"/>
      <c r="G647" s="2"/>
      <c r="H647" s="2"/>
      <c r="I647" s="2"/>
    </row>
    <row r="648" spans="1:9" ht="15.6">
      <c r="A648" s="2"/>
      <c r="B648" s="2"/>
      <c r="C648" s="2"/>
      <c r="D648" s="2"/>
      <c r="E648" s="3"/>
      <c r="F648" s="2"/>
      <c r="G648" s="2"/>
      <c r="H648" s="2"/>
      <c r="I648" s="2"/>
    </row>
    <row r="649" spans="1:9" ht="15.6">
      <c r="A649" s="2"/>
      <c r="B649" s="2"/>
      <c r="C649" s="2"/>
      <c r="D649" s="2"/>
      <c r="E649" s="3"/>
      <c r="F649" s="2"/>
      <c r="G649" s="2"/>
      <c r="H649" s="2"/>
      <c r="I649" s="2"/>
    </row>
    <row r="650" spans="1:9" ht="15.6">
      <c r="A650" s="2"/>
      <c r="B650" s="2"/>
      <c r="C650" s="2"/>
      <c r="D650" s="2"/>
      <c r="E650" s="3"/>
      <c r="F650" s="2"/>
      <c r="G650" s="2"/>
      <c r="H650" s="2"/>
      <c r="I650" s="2"/>
    </row>
    <row r="651" spans="1:9" ht="15.6">
      <c r="A651" s="2"/>
      <c r="B651" s="2"/>
      <c r="C651" s="2"/>
      <c r="D651" s="2"/>
      <c r="E651" s="3"/>
      <c r="F651" s="2"/>
      <c r="G651" s="2"/>
      <c r="H651" s="2"/>
      <c r="I651" s="2"/>
    </row>
    <row r="652" spans="1:9" ht="15.6">
      <c r="A652" s="2"/>
      <c r="B652" s="2"/>
      <c r="C652" s="2"/>
      <c r="D652" s="2"/>
      <c r="E652" s="3"/>
      <c r="F652" s="2"/>
      <c r="G652" s="2"/>
      <c r="H652" s="2"/>
      <c r="I652" s="2"/>
    </row>
    <row r="653" spans="1:9" ht="15.6">
      <c r="A653" s="2"/>
      <c r="B653" s="2"/>
      <c r="C653" s="2"/>
      <c r="D653" s="2"/>
      <c r="E653" s="3"/>
      <c r="F653" s="2"/>
      <c r="G653" s="2"/>
      <c r="H653" s="2"/>
      <c r="I653" s="2"/>
    </row>
    <row r="654" spans="1:9" ht="15.6">
      <c r="A654" s="2"/>
      <c r="B654" s="2"/>
      <c r="C654" s="2"/>
      <c r="D654" s="2"/>
      <c r="E654" s="3"/>
      <c r="F654" s="2"/>
      <c r="G654" s="2"/>
      <c r="H654" s="2"/>
      <c r="I654" s="2"/>
    </row>
    <row r="655" spans="1:9" ht="15.6">
      <c r="A655" s="2"/>
      <c r="B655" s="2"/>
      <c r="C655" s="2"/>
      <c r="D655" s="2"/>
      <c r="E655" s="3"/>
      <c r="F655" s="2"/>
      <c r="G655" s="2"/>
      <c r="H655" s="2"/>
      <c r="I655" s="2"/>
    </row>
    <row r="656" spans="1:9" ht="15.6">
      <c r="A656" s="2"/>
      <c r="B656" s="2"/>
      <c r="C656" s="2"/>
      <c r="D656" s="2"/>
      <c r="E656" s="3"/>
      <c r="F656" s="2"/>
      <c r="G656" s="2"/>
      <c r="H656" s="2"/>
      <c r="I656" s="2"/>
    </row>
    <row r="657" spans="1:9" ht="15.6">
      <c r="A657" s="2"/>
      <c r="B657" s="2"/>
      <c r="C657" s="2"/>
      <c r="D657" s="2"/>
      <c r="E657" s="3"/>
      <c r="F657" s="2"/>
      <c r="G657" s="2"/>
      <c r="H657" s="2"/>
      <c r="I657" s="2"/>
    </row>
    <row r="658" spans="1:9" ht="15.6">
      <c r="A658" s="2"/>
      <c r="B658" s="2"/>
      <c r="C658" s="2"/>
      <c r="D658" s="2"/>
      <c r="E658" s="3"/>
      <c r="F658" s="2"/>
      <c r="G658" s="2"/>
      <c r="H658" s="2"/>
      <c r="I658" s="2"/>
    </row>
    <row r="659" spans="1:9" ht="15.6">
      <c r="A659" s="2"/>
      <c r="B659" s="2"/>
      <c r="C659" s="2"/>
      <c r="D659" s="2"/>
      <c r="E659" s="3"/>
      <c r="F659" s="2"/>
      <c r="G659" s="2"/>
      <c r="H659" s="2"/>
      <c r="I659" s="2"/>
    </row>
    <row r="660" spans="1:9" ht="15.6">
      <c r="A660" s="2"/>
      <c r="B660" s="2"/>
      <c r="C660" s="2"/>
      <c r="D660" s="2"/>
      <c r="E660" s="3"/>
      <c r="F660" s="2"/>
      <c r="G660" s="2"/>
      <c r="H660" s="2"/>
      <c r="I660" s="2"/>
    </row>
    <row r="661" spans="1:9" ht="15.6">
      <c r="A661" s="2"/>
      <c r="B661" s="2"/>
      <c r="C661" s="2"/>
      <c r="D661" s="2"/>
      <c r="E661" s="3"/>
      <c r="F661" s="2"/>
      <c r="G661" s="2"/>
      <c r="H661" s="2"/>
      <c r="I661" s="2"/>
    </row>
    <row r="662" spans="1:9" ht="15.6">
      <c r="A662" s="2"/>
      <c r="B662" s="2"/>
      <c r="C662" s="2"/>
      <c r="D662" s="2"/>
      <c r="E662" s="3"/>
      <c r="F662" s="2"/>
      <c r="G662" s="2"/>
      <c r="H662" s="2"/>
      <c r="I662" s="2"/>
    </row>
    <row r="663" spans="1:9" ht="15.6">
      <c r="A663" s="2"/>
      <c r="B663" s="2"/>
      <c r="C663" s="2"/>
      <c r="D663" s="2"/>
      <c r="E663" s="3"/>
      <c r="F663" s="2"/>
      <c r="G663" s="2"/>
      <c r="H663" s="2"/>
      <c r="I663" s="2"/>
    </row>
    <row r="664" spans="1:9" ht="15.6">
      <c r="A664" s="2"/>
      <c r="B664" s="2"/>
      <c r="C664" s="2"/>
      <c r="D664" s="2"/>
      <c r="E664" s="3"/>
      <c r="F664" s="2"/>
      <c r="G664" s="2"/>
      <c r="H664" s="2"/>
      <c r="I664" s="2"/>
    </row>
    <row r="665" spans="1:9" ht="15.6">
      <c r="A665" s="2"/>
      <c r="B665" s="2"/>
      <c r="C665" s="2"/>
      <c r="D665" s="2"/>
      <c r="E665" s="3"/>
      <c r="F665" s="2"/>
      <c r="G665" s="2"/>
      <c r="H665" s="2"/>
      <c r="I665" s="2"/>
    </row>
    <row r="666" spans="1:9" ht="15.6">
      <c r="A666" s="2"/>
      <c r="B666" s="2"/>
      <c r="C666" s="2"/>
      <c r="D666" s="2"/>
      <c r="E666" s="3"/>
      <c r="F666" s="2"/>
      <c r="G666" s="2"/>
      <c r="H666" s="2"/>
      <c r="I666" s="2"/>
    </row>
    <row r="667" spans="1:9" ht="15.6">
      <c r="A667" s="2"/>
      <c r="B667" s="2"/>
      <c r="C667" s="2"/>
      <c r="D667" s="2"/>
      <c r="E667" s="3"/>
      <c r="F667" s="2"/>
      <c r="G667" s="2"/>
      <c r="H667" s="2"/>
      <c r="I667" s="2"/>
    </row>
    <row r="668" spans="1:9" ht="15.6">
      <c r="A668" s="2"/>
      <c r="B668" s="2"/>
      <c r="C668" s="2"/>
      <c r="D668" s="2"/>
      <c r="E668" s="3"/>
      <c r="F668" s="2"/>
      <c r="G668" s="2"/>
      <c r="H668" s="2"/>
      <c r="I668" s="2"/>
    </row>
    <row r="669" spans="1:9" ht="15.6">
      <c r="A669" s="2"/>
      <c r="B669" s="2"/>
      <c r="C669" s="2"/>
      <c r="D669" s="2"/>
      <c r="E669" s="3"/>
      <c r="F669" s="2"/>
      <c r="G669" s="2"/>
      <c r="H669" s="2"/>
      <c r="I669" s="2"/>
    </row>
    <row r="670" spans="1:9" ht="15.6">
      <c r="A670" s="2"/>
      <c r="B670" s="2"/>
      <c r="C670" s="2"/>
      <c r="D670" s="2"/>
      <c r="E670" s="3"/>
      <c r="F670" s="2"/>
      <c r="G670" s="2"/>
      <c r="H670" s="2"/>
      <c r="I670" s="2"/>
    </row>
    <row r="671" spans="1:9" ht="15.6">
      <c r="A671" s="2"/>
      <c r="B671" s="2"/>
      <c r="C671" s="2"/>
      <c r="D671" s="2"/>
      <c r="E671" s="3"/>
      <c r="F671" s="2"/>
      <c r="G671" s="2"/>
      <c r="H671" s="2"/>
      <c r="I671" s="2"/>
    </row>
    <row r="672" spans="1:9" ht="15.6">
      <c r="A672" s="2"/>
      <c r="B672" s="2"/>
      <c r="C672" s="2"/>
      <c r="D672" s="2"/>
      <c r="E672" s="3"/>
      <c r="F672" s="2"/>
      <c r="G672" s="2"/>
      <c r="H672" s="2"/>
      <c r="I672" s="2"/>
    </row>
    <row r="673" spans="1:9" ht="15.6">
      <c r="A673" s="2"/>
      <c r="B673" s="2"/>
      <c r="C673" s="2"/>
      <c r="D673" s="2"/>
      <c r="E673" s="3"/>
      <c r="F673" s="2"/>
      <c r="G673" s="2"/>
      <c r="H673" s="2"/>
      <c r="I673" s="2"/>
    </row>
    <row r="674" spans="1:9" ht="15.6">
      <c r="A674" s="2"/>
      <c r="B674" s="2"/>
      <c r="C674" s="2"/>
      <c r="D674" s="2"/>
      <c r="E674" s="3"/>
      <c r="F674" s="2"/>
      <c r="G674" s="2"/>
      <c r="H674" s="2"/>
      <c r="I674" s="2"/>
    </row>
    <row r="675" spans="1:9" ht="15.6">
      <c r="A675" s="2"/>
      <c r="B675" s="2"/>
      <c r="C675" s="2"/>
      <c r="D675" s="2"/>
      <c r="E675" s="3"/>
      <c r="F675" s="2"/>
      <c r="G675" s="2"/>
      <c r="H675" s="2"/>
      <c r="I675" s="2"/>
    </row>
    <row r="676" spans="1:9" ht="15.6">
      <c r="A676" s="2"/>
      <c r="B676" s="2"/>
      <c r="C676" s="2"/>
      <c r="D676" s="2"/>
      <c r="E676" s="3"/>
      <c r="F676" s="2"/>
      <c r="G676" s="2"/>
      <c r="H676" s="2"/>
      <c r="I676" s="2"/>
    </row>
    <row r="677" spans="1:9" ht="15.6">
      <c r="A677" s="2"/>
      <c r="B677" s="2"/>
      <c r="C677" s="2"/>
      <c r="D677" s="2"/>
      <c r="E677" s="3"/>
      <c r="F677" s="2"/>
      <c r="G677" s="2"/>
      <c r="H677" s="2"/>
      <c r="I677" s="2"/>
    </row>
    <row r="678" spans="1:9" ht="15.6">
      <c r="A678" s="2"/>
      <c r="B678" s="2"/>
      <c r="C678" s="2"/>
      <c r="D678" s="2"/>
      <c r="E678" s="3"/>
      <c r="F678" s="2"/>
      <c r="G678" s="2"/>
      <c r="H678" s="2"/>
      <c r="I678" s="2"/>
    </row>
    <row r="679" spans="1:9" ht="15.6">
      <c r="A679" s="2"/>
      <c r="B679" s="2"/>
      <c r="C679" s="2"/>
      <c r="D679" s="2"/>
      <c r="E679" s="3"/>
      <c r="F679" s="2"/>
      <c r="G679" s="2"/>
      <c r="H679" s="2"/>
      <c r="I679" s="2"/>
    </row>
    <row r="680" spans="1:9" ht="15.6">
      <c r="A680" s="2"/>
      <c r="B680" s="2"/>
      <c r="C680" s="2"/>
      <c r="D680" s="2"/>
      <c r="E680" s="3"/>
      <c r="F680" s="2"/>
      <c r="G680" s="2"/>
      <c r="H680" s="2"/>
      <c r="I680" s="2"/>
    </row>
    <row r="681" spans="1:9" ht="15.6">
      <c r="A681" s="2"/>
      <c r="B681" s="2"/>
      <c r="C681" s="2"/>
      <c r="D681" s="2"/>
      <c r="E681" s="3"/>
      <c r="F681" s="2"/>
      <c r="G681" s="2"/>
      <c r="H681" s="2"/>
      <c r="I681" s="2"/>
    </row>
    <row r="682" spans="1:9" ht="15.6">
      <c r="A682" s="2"/>
      <c r="B682" s="2"/>
      <c r="C682" s="2"/>
      <c r="D682" s="2"/>
      <c r="E682" s="3"/>
      <c r="F682" s="2"/>
      <c r="G682" s="2"/>
      <c r="H682" s="2"/>
      <c r="I682" s="2"/>
    </row>
    <row r="683" spans="1:9" ht="15.6">
      <c r="A683" s="2"/>
      <c r="B683" s="2"/>
      <c r="C683" s="2"/>
      <c r="D683" s="2"/>
      <c r="E683" s="3"/>
      <c r="F683" s="2"/>
      <c r="G683" s="2"/>
      <c r="H683" s="2"/>
      <c r="I683" s="2"/>
    </row>
    <row r="684" spans="1:9" ht="15.6">
      <c r="A684" s="2"/>
      <c r="B684" s="2"/>
      <c r="C684" s="2"/>
      <c r="D684" s="2"/>
      <c r="E684" s="3"/>
      <c r="F684" s="2"/>
      <c r="G684" s="2"/>
      <c r="H684" s="2"/>
      <c r="I684" s="2"/>
    </row>
    <row r="685" spans="1:9" ht="15.6">
      <c r="A685" s="2"/>
      <c r="B685" s="2"/>
      <c r="C685" s="2"/>
      <c r="D685" s="2"/>
      <c r="E685" s="3"/>
      <c r="F685" s="2"/>
      <c r="G685" s="2"/>
      <c r="H685" s="2"/>
      <c r="I685" s="2"/>
    </row>
    <row r="686" spans="1:9" ht="15.6">
      <c r="A686" s="2"/>
      <c r="B686" s="2"/>
      <c r="C686" s="2"/>
      <c r="D686" s="2"/>
      <c r="E686" s="3"/>
      <c r="F686" s="2"/>
      <c r="G686" s="2"/>
      <c r="H686" s="2"/>
      <c r="I686" s="2"/>
    </row>
    <row r="687" spans="1:9" ht="15.6">
      <c r="A687" s="2"/>
      <c r="B687" s="2"/>
      <c r="C687" s="2"/>
      <c r="D687" s="2"/>
      <c r="E687" s="3"/>
      <c r="F687" s="2"/>
      <c r="G687" s="2"/>
      <c r="H687" s="2"/>
      <c r="I687" s="2"/>
    </row>
    <row r="688" spans="1:9" ht="15.6">
      <c r="A688" s="2"/>
      <c r="B688" s="2"/>
      <c r="C688" s="2"/>
      <c r="D688" s="2"/>
      <c r="E688" s="3"/>
      <c r="F688" s="2"/>
      <c r="G688" s="2"/>
      <c r="H688" s="2"/>
      <c r="I688" s="2"/>
    </row>
    <row r="689" spans="1:9" ht="15.6">
      <c r="A689" s="2"/>
      <c r="B689" s="2"/>
      <c r="C689" s="2"/>
      <c r="D689" s="2"/>
      <c r="E689" s="3"/>
      <c r="F689" s="2"/>
      <c r="G689" s="2"/>
      <c r="H689" s="2"/>
      <c r="I689" s="2"/>
    </row>
    <row r="690" spans="1:9" ht="15.6">
      <c r="A690" s="2"/>
      <c r="B690" s="2"/>
      <c r="C690" s="2"/>
      <c r="D690" s="2"/>
      <c r="E690" s="3"/>
      <c r="F690" s="2"/>
      <c r="G690" s="2"/>
      <c r="H690" s="2"/>
      <c r="I690" s="2"/>
    </row>
    <row r="691" spans="1:9" ht="15.6">
      <c r="A691" s="2"/>
      <c r="B691" s="2"/>
      <c r="C691" s="2"/>
      <c r="D691" s="2"/>
      <c r="E691" s="3"/>
      <c r="F691" s="2"/>
      <c r="G691" s="2"/>
      <c r="H691" s="2"/>
      <c r="I691" s="2"/>
    </row>
    <row r="692" spans="1:9" ht="15.6">
      <c r="A692" s="2"/>
      <c r="B692" s="2"/>
      <c r="C692" s="2"/>
      <c r="D692" s="2"/>
      <c r="E692" s="3"/>
      <c r="F692" s="2"/>
      <c r="G692" s="2"/>
      <c r="H692" s="2"/>
      <c r="I692" s="2"/>
    </row>
    <row r="693" spans="1:9" ht="15.6">
      <c r="A693" s="2"/>
      <c r="B693" s="2"/>
      <c r="C693" s="2"/>
      <c r="D693" s="2"/>
      <c r="E693" s="3"/>
      <c r="F693" s="2"/>
      <c r="G693" s="2"/>
      <c r="H693" s="2"/>
      <c r="I693" s="2"/>
    </row>
    <row r="694" spans="1:9" ht="15.6">
      <c r="A694" s="2"/>
      <c r="B694" s="2"/>
      <c r="C694" s="2"/>
      <c r="D694" s="2"/>
      <c r="E694" s="3"/>
      <c r="F694" s="2"/>
      <c r="G694" s="2"/>
      <c r="H694" s="2"/>
      <c r="I694" s="2"/>
    </row>
    <row r="695" spans="1:9" ht="15.6">
      <c r="A695" s="2"/>
      <c r="B695" s="2"/>
      <c r="C695" s="2"/>
      <c r="D695" s="2"/>
      <c r="E695" s="3"/>
      <c r="F695" s="2"/>
      <c r="G695" s="2"/>
      <c r="H695" s="2"/>
      <c r="I695" s="2"/>
    </row>
    <row r="696" spans="1:9" ht="15.6">
      <c r="A696" s="2"/>
      <c r="B696" s="2"/>
      <c r="C696" s="2"/>
      <c r="D696" s="2"/>
      <c r="E696" s="3"/>
      <c r="F696" s="2"/>
      <c r="G696" s="2"/>
      <c r="H696" s="2"/>
      <c r="I696" s="2"/>
    </row>
    <row r="697" spans="1:9" ht="15.6">
      <c r="A697" s="2"/>
      <c r="B697" s="2"/>
      <c r="C697" s="2"/>
      <c r="D697" s="2"/>
      <c r="E697" s="3"/>
      <c r="F697" s="2"/>
      <c r="G697" s="2"/>
      <c r="H697" s="2"/>
      <c r="I697" s="2"/>
    </row>
    <row r="698" spans="1:9" ht="15.6">
      <c r="A698" s="2"/>
      <c r="B698" s="2"/>
      <c r="C698" s="2"/>
      <c r="D698" s="2"/>
      <c r="E698" s="3"/>
      <c r="F698" s="2"/>
      <c r="G698" s="2"/>
      <c r="H698" s="2"/>
      <c r="I698" s="2"/>
    </row>
    <row r="699" spans="1:9" ht="15.6">
      <c r="A699" s="2"/>
      <c r="B699" s="2"/>
      <c r="C699" s="2"/>
      <c r="D699" s="2"/>
      <c r="E699" s="3"/>
      <c r="F699" s="2"/>
      <c r="G699" s="2"/>
      <c r="H699" s="2"/>
      <c r="I699" s="2"/>
    </row>
    <row r="700" spans="1:9" ht="15.6">
      <c r="A700" s="2"/>
      <c r="B700" s="2"/>
      <c r="C700" s="2"/>
      <c r="D700" s="2"/>
      <c r="E700" s="3"/>
      <c r="F700" s="2"/>
      <c r="G700" s="2"/>
      <c r="H700" s="2"/>
      <c r="I700" s="2"/>
    </row>
    <row r="701" spans="1:9" ht="15.6">
      <c r="A701" s="2"/>
      <c r="B701" s="2"/>
      <c r="C701" s="2"/>
      <c r="D701" s="2"/>
      <c r="E701" s="3"/>
      <c r="F701" s="2"/>
      <c r="G701" s="2"/>
      <c r="H701" s="2"/>
      <c r="I701" s="2"/>
    </row>
    <row r="702" spans="1:9" ht="15.6">
      <c r="A702" s="2"/>
      <c r="B702" s="2"/>
      <c r="C702" s="2"/>
      <c r="D702" s="2"/>
      <c r="E702" s="3"/>
      <c r="F702" s="2"/>
      <c r="G702" s="2"/>
      <c r="H702" s="2"/>
      <c r="I702" s="2"/>
    </row>
    <row r="703" spans="1:9" ht="15.6">
      <c r="A703" s="2"/>
      <c r="B703" s="2"/>
      <c r="C703" s="2"/>
      <c r="D703" s="2"/>
      <c r="E703" s="3"/>
      <c r="F703" s="2"/>
      <c r="G703" s="2"/>
      <c r="H703" s="2"/>
      <c r="I703" s="2"/>
    </row>
    <row r="704" spans="1:9" ht="15.6">
      <c r="A704" s="2"/>
      <c r="B704" s="2"/>
      <c r="C704" s="2"/>
      <c r="D704" s="2"/>
      <c r="E704" s="3"/>
      <c r="F704" s="2"/>
      <c r="G704" s="2"/>
      <c r="H704" s="2"/>
      <c r="I704" s="2"/>
    </row>
    <row r="705" spans="1:9" ht="15.6">
      <c r="A705" s="2"/>
      <c r="B705" s="2"/>
      <c r="C705" s="2"/>
      <c r="D705" s="2"/>
      <c r="E705" s="3"/>
      <c r="F705" s="2"/>
      <c r="G705" s="2"/>
      <c r="H705" s="2"/>
      <c r="I705" s="2"/>
    </row>
    <row r="706" spans="1:9" ht="15.6">
      <c r="A706" s="2"/>
      <c r="B706" s="2"/>
      <c r="C706" s="2"/>
      <c r="D706" s="2"/>
      <c r="E706" s="3"/>
      <c r="F706" s="2"/>
      <c r="G706" s="2"/>
      <c r="H706" s="2"/>
      <c r="I706" s="2"/>
    </row>
    <row r="707" spans="1:9" ht="15.6">
      <c r="A707" s="2"/>
      <c r="B707" s="2"/>
      <c r="C707" s="2"/>
      <c r="D707" s="2"/>
      <c r="E707" s="3"/>
      <c r="F707" s="2"/>
      <c r="G707" s="2"/>
      <c r="H707" s="2"/>
      <c r="I707" s="2"/>
    </row>
    <row r="708" spans="1:9" ht="15.6">
      <c r="A708" s="2"/>
      <c r="B708" s="2"/>
      <c r="C708" s="2"/>
      <c r="D708" s="2"/>
      <c r="E708" s="3"/>
      <c r="F708" s="2"/>
      <c r="G708" s="2"/>
      <c r="H708" s="2"/>
      <c r="I708" s="2"/>
    </row>
    <row r="709" spans="1:9" ht="15.6">
      <c r="A709" s="2"/>
      <c r="B709" s="2"/>
      <c r="C709" s="2"/>
      <c r="D709" s="2"/>
      <c r="E709" s="3"/>
      <c r="F709" s="2"/>
      <c r="G709" s="2"/>
      <c r="H709" s="2"/>
      <c r="I709" s="2"/>
    </row>
    <row r="710" spans="1:9" ht="15.6">
      <c r="A710" s="2"/>
      <c r="B710" s="2"/>
      <c r="C710" s="2"/>
      <c r="D710" s="2"/>
      <c r="E710" s="3"/>
      <c r="F710" s="2"/>
      <c r="G710" s="2"/>
      <c r="H710" s="2"/>
      <c r="I710" s="2"/>
    </row>
    <row r="711" spans="1:9" ht="15.6">
      <c r="A711" s="2"/>
      <c r="B711" s="2"/>
      <c r="C711" s="2"/>
      <c r="D711" s="2"/>
      <c r="E711" s="3"/>
      <c r="F711" s="2"/>
      <c r="G711" s="2"/>
      <c r="H711" s="2"/>
      <c r="I711" s="2"/>
    </row>
    <row r="712" spans="1:9" ht="15.6">
      <c r="A712" s="2"/>
      <c r="B712" s="2"/>
      <c r="C712" s="2"/>
      <c r="D712" s="2"/>
      <c r="E712" s="3"/>
      <c r="F712" s="2"/>
      <c r="G712" s="2"/>
      <c r="H712" s="2"/>
      <c r="I712" s="2"/>
    </row>
    <row r="713" spans="1:9" ht="15.6">
      <c r="A713" s="2"/>
      <c r="B713" s="2"/>
      <c r="C713" s="2"/>
      <c r="D713" s="2"/>
      <c r="E713" s="3"/>
      <c r="F713" s="2"/>
      <c r="G713" s="2"/>
      <c r="H713" s="2"/>
      <c r="I713" s="2"/>
    </row>
    <row r="714" spans="1:9" ht="15.6">
      <c r="A714" s="2"/>
      <c r="B714" s="2"/>
      <c r="C714" s="2"/>
      <c r="D714" s="2"/>
      <c r="E714" s="3"/>
      <c r="F714" s="2"/>
      <c r="G714" s="2"/>
      <c r="H714" s="2"/>
      <c r="I714" s="2"/>
    </row>
    <row r="715" spans="1:9" ht="15.6">
      <c r="A715" s="2"/>
      <c r="B715" s="2"/>
      <c r="C715" s="2"/>
      <c r="D715" s="2"/>
      <c r="E715" s="3"/>
      <c r="F715" s="2"/>
      <c r="G715" s="2"/>
      <c r="H715" s="2"/>
      <c r="I715" s="2"/>
    </row>
    <row r="716" spans="1:9" ht="15.6">
      <c r="A716" s="2"/>
      <c r="B716" s="2"/>
      <c r="C716" s="2"/>
      <c r="D716" s="2"/>
      <c r="E716" s="3"/>
      <c r="F716" s="2"/>
      <c r="G716" s="2"/>
      <c r="H716" s="2"/>
      <c r="I716" s="2"/>
    </row>
    <row r="717" spans="1:9" ht="15.6">
      <c r="A717" s="2"/>
      <c r="B717" s="2"/>
      <c r="C717" s="2"/>
      <c r="D717" s="2"/>
      <c r="E717" s="3"/>
      <c r="F717" s="2"/>
      <c r="G717" s="2"/>
      <c r="H717" s="2"/>
      <c r="I717" s="2"/>
    </row>
    <row r="718" spans="1:9" ht="15.6">
      <c r="A718" s="2"/>
      <c r="B718" s="2"/>
      <c r="C718" s="2"/>
      <c r="D718" s="2"/>
      <c r="E718" s="3"/>
      <c r="F718" s="2"/>
      <c r="G718" s="2"/>
      <c r="H718" s="2"/>
      <c r="I718" s="2"/>
    </row>
    <row r="719" spans="1:9" ht="15.6">
      <c r="A719" s="2"/>
      <c r="B719" s="2"/>
      <c r="C719" s="2"/>
      <c r="D719" s="2"/>
      <c r="E719" s="3"/>
      <c r="F719" s="2"/>
      <c r="G719" s="2"/>
      <c r="H719" s="2"/>
      <c r="I719" s="2"/>
    </row>
    <row r="720" spans="1:9" ht="15.6">
      <c r="A720" s="2"/>
      <c r="B720" s="2"/>
      <c r="C720" s="2"/>
      <c r="D720" s="2"/>
      <c r="E720" s="3"/>
      <c r="F720" s="2"/>
      <c r="G720" s="2"/>
      <c r="H720" s="2"/>
      <c r="I720" s="2"/>
    </row>
    <row r="721" spans="1:9" ht="15.6">
      <c r="A721" s="2"/>
      <c r="B721" s="2"/>
      <c r="C721" s="2"/>
      <c r="D721" s="2"/>
      <c r="E721" s="3"/>
      <c r="F721" s="2"/>
      <c r="G721" s="2"/>
      <c r="H721" s="2"/>
      <c r="I721" s="2"/>
    </row>
    <row r="722" spans="1:9" ht="15.6">
      <c r="A722" s="2"/>
      <c r="B722" s="2"/>
      <c r="C722" s="2"/>
      <c r="D722" s="2"/>
      <c r="E722" s="3"/>
      <c r="F722" s="2"/>
      <c r="G722" s="2"/>
      <c r="H722" s="2"/>
      <c r="I722" s="2"/>
    </row>
    <row r="723" spans="1:9" ht="15.6">
      <c r="A723" s="2"/>
      <c r="B723" s="2"/>
      <c r="C723" s="2"/>
      <c r="D723" s="2"/>
      <c r="E723" s="3"/>
      <c r="F723" s="2"/>
      <c r="G723" s="2"/>
      <c r="H723" s="2"/>
      <c r="I723" s="2"/>
    </row>
    <row r="724" spans="1:9" ht="15.6">
      <c r="A724" s="2"/>
      <c r="B724" s="2"/>
      <c r="C724" s="2"/>
      <c r="D724" s="2"/>
      <c r="E724" s="3"/>
      <c r="F724" s="2"/>
      <c r="G724" s="2"/>
      <c r="H724" s="2"/>
      <c r="I724" s="2"/>
    </row>
    <row r="725" spans="1:9" ht="15.6">
      <c r="A725" s="2"/>
      <c r="B725" s="2"/>
      <c r="C725" s="2"/>
      <c r="D725" s="2"/>
      <c r="E725" s="3"/>
      <c r="F725" s="2"/>
      <c r="G725" s="2"/>
      <c r="H725" s="2"/>
      <c r="I725" s="2"/>
    </row>
    <row r="726" spans="1:9" ht="15.6">
      <c r="A726" s="2"/>
      <c r="B726" s="2"/>
      <c r="C726" s="2"/>
      <c r="D726" s="2"/>
      <c r="E726" s="3"/>
      <c r="F726" s="2"/>
      <c r="G726" s="2"/>
      <c r="H726" s="2"/>
      <c r="I726" s="2"/>
    </row>
    <row r="727" spans="1:9" ht="15.6">
      <c r="A727" s="2"/>
      <c r="B727" s="2"/>
      <c r="C727" s="2"/>
      <c r="D727" s="2"/>
      <c r="E727" s="3"/>
      <c r="F727" s="2"/>
      <c r="G727" s="2"/>
      <c r="H727" s="2"/>
      <c r="I727" s="2"/>
    </row>
    <row r="728" spans="1:9" ht="15.6">
      <c r="A728" s="2"/>
      <c r="B728" s="2"/>
      <c r="C728" s="2"/>
      <c r="D728" s="2"/>
      <c r="E728" s="3"/>
      <c r="F728" s="2"/>
      <c r="G728" s="2"/>
      <c r="H728" s="2"/>
      <c r="I728" s="2"/>
    </row>
    <row r="729" spans="1:9" ht="15.6">
      <c r="A729" s="2"/>
      <c r="B729" s="2"/>
      <c r="C729" s="2"/>
      <c r="D729" s="2"/>
      <c r="E729" s="3"/>
      <c r="F729" s="2"/>
      <c r="G729" s="2"/>
      <c r="H729" s="2"/>
      <c r="I729" s="2"/>
    </row>
    <row r="730" spans="1:9" ht="15.6">
      <c r="A730" s="2"/>
      <c r="B730" s="2"/>
      <c r="C730" s="2"/>
      <c r="D730" s="2"/>
      <c r="E730" s="3"/>
      <c r="F730" s="2"/>
      <c r="G730" s="2"/>
      <c r="H730" s="2"/>
      <c r="I730" s="2"/>
    </row>
    <row r="731" spans="1:9" ht="15.6">
      <c r="A731" s="2"/>
      <c r="B731" s="2"/>
      <c r="C731" s="2"/>
      <c r="D731" s="2"/>
      <c r="E731" s="3"/>
      <c r="F731" s="2"/>
      <c r="G731" s="2"/>
      <c r="H731" s="2"/>
      <c r="I731" s="2"/>
    </row>
    <row r="732" spans="1:9" ht="15.6">
      <c r="A732" s="2"/>
      <c r="B732" s="2"/>
      <c r="C732" s="2"/>
      <c r="D732" s="2"/>
      <c r="E732" s="3"/>
      <c r="F732" s="2"/>
      <c r="G732" s="2"/>
      <c r="H732" s="2"/>
      <c r="I732" s="2"/>
    </row>
    <row r="733" spans="1:9" ht="15.6">
      <c r="A733" s="2"/>
      <c r="B733" s="2"/>
      <c r="C733" s="2"/>
      <c r="D733" s="2"/>
      <c r="E733" s="3"/>
      <c r="F733" s="2"/>
      <c r="G733" s="2"/>
      <c r="H733" s="2"/>
      <c r="I733" s="2"/>
    </row>
    <row r="734" spans="1:9" ht="15.6">
      <c r="A734" s="2"/>
      <c r="B734" s="2"/>
      <c r="C734" s="2"/>
      <c r="D734" s="2"/>
      <c r="E734" s="3"/>
      <c r="F734" s="2"/>
      <c r="G734" s="2"/>
      <c r="H734" s="2"/>
      <c r="I734" s="2"/>
    </row>
    <row r="735" spans="1:9" ht="15.6">
      <c r="A735" s="2"/>
      <c r="B735" s="2"/>
      <c r="C735" s="2"/>
      <c r="D735" s="2"/>
      <c r="E735" s="3"/>
      <c r="F735" s="2"/>
      <c r="G735" s="2"/>
      <c r="H735" s="2"/>
      <c r="I735" s="2"/>
    </row>
    <row r="736" spans="1:9" ht="15.6">
      <c r="A736" s="2"/>
      <c r="B736" s="2"/>
      <c r="C736" s="2"/>
      <c r="D736" s="2"/>
      <c r="E736" s="3"/>
      <c r="F736" s="2"/>
      <c r="G736" s="2"/>
      <c r="H736" s="2"/>
      <c r="I736" s="2"/>
    </row>
    <row r="737" spans="1:9" ht="15.6">
      <c r="A737" s="2"/>
      <c r="B737" s="2"/>
      <c r="C737" s="2"/>
      <c r="D737" s="2"/>
      <c r="E737" s="3"/>
      <c r="F737" s="2"/>
      <c r="G737" s="2"/>
      <c r="H737" s="2"/>
      <c r="I737" s="2"/>
    </row>
    <row r="738" spans="1:9" ht="15.6">
      <c r="A738" s="2"/>
      <c r="B738" s="2"/>
      <c r="C738" s="2"/>
      <c r="D738" s="2"/>
      <c r="E738" s="3"/>
      <c r="F738" s="2"/>
      <c r="G738" s="2"/>
      <c r="H738" s="2"/>
      <c r="I738" s="2"/>
    </row>
    <row r="739" spans="1:9" ht="15.6">
      <c r="A739" s="2"/>
      <c r="B739" s="2"/>
      <c r="C739" s="2"/>
      <c r="D739" s="2"/>
      <c r="E739" s="3"/>
      <c r="F739" s="2"/>
      <c r="G739" s="2"/>
      <c r="H739" s="2"/>
      <c r="I739" s="2"/>
    </row>
    <row r="740" spans="1:9" ht="15.6">
      <c r="A740" s="2"/>
      <c r="B740" s="2"/>
      <c r="C740" s="2"/>
      <c r="D740" s="2"/>
      <c r="E740" s="3"/>
      <c r="F740" s="2"/>
      <c r="G740" s="2"/>
      <c r="H740" s="2"/>
      <c r="I740" s="2"/>
    </row>
    <row r="741" spans="1:9" ht="15.6">
      <c r="A741" s="2"/>
      <c r="B741" s="2"/>
      <c r="C741" s="2"/>
      <c r="D741" s="2"/>
      <c r="E741" s="3"/>
      <c r="F741" s="2"/>
      <c r="G741" s="2"/>
      <c r="H741" s="2"/>
      <c r="I741" s="2"/>
    </row>
    <row r="742" spans="1:9" ht="15.6">
      <c r="A742" s="2"/>
      <c r="B742" s="2"/>
      <c r="C742" s="2"/>
      <c r="D742" s="2"/>
      <c r="E742" s="3"/>
      <c r="F742" s="2"/>
      <c r="G742" s="2"/>
      <c r="H742" s="2"/>
      <c r="I742" s="2"/>
    </row>
    <row r="743" spans="1:9" ht="15.6">
      <c r="A743" s="2"/>
      <c r="B743" s="2"/>
      <c r="C743" s="2"/>
      <c r="D743" s="2"/>
      <c r="E743" s="3"/>
      <c r="F743" s="2"/>
      <c r="G743" s="2"/>
      <c r="H743" s="2"/>
      <c r="I743" s="2"/>
    </row>
    <row r="744" spans="1:9" ht="15.6">
      <c r="A744" s="2"/>
      <c r="B744" s="2"/>
      <c r="C744" s="2"/>
      <c r="D744" s="2"/>
      <c r="E744" s="3"/>
      <c r="F744" s="2"/>
      <c r="G744" s="2"/>
      <c r="H744" s="2"/>
      <c r="I744" s="2"/>
    </row>
    <row r="745" spans="1:9" ht="15.6">
      <c r="A745" s="2"/>
      <c r="B745" s="2"/>
      <c r="C745" s="2"/>
      <c r="D745" s="2"/>
      <c r="E745" s="3"/>
      <c r="F745" s="2"/>
      <c r="G745" s="2"/>
      <c r="H745" s="2"/>
      <c r="I745" s="2"/>
    </row>
    <row r="746" spans="1:9" ht="15.6">
      <c r="A746" s="2"/>
      <c r="B746" s="2"/>
      <c r="C746" s="2"/>
      <c r="D746" s="2"/>
      <c r="E746" s="3"/>
      <c r="F746" s="2"/>
      <c r="G746" s="2"/>
      <c r="H746" s="2"/>
      <c r="I746" s="2"/>
    </row>
    <row r="747" spans="1:9" ht="15.6">
      <c r="A747" s="2"/>
      <c r="B747" s="2"/>
      <c r="C747" s="2"/>
      <c r="D747" s="2"/>
      <c r="E747" s="3"/>
      <c r="F747" s="2"/>
      <c r="G747" s="2"/>
      <c r="H747" s="2"/>
      <c r="I747" s="2"/>
    </row>
    <row r="748" spans="1:9" ht="15.6">
      <c r="A748" s="2"/>
      <c r="B748" s="2"/>
      <c r="C748" s="2"/>
      <c r="D748" s="2"/>
      <c r="E748" s="3"/>
      <c r="F748" s="2"/>
      <c r="G748" s="2"/>
      <c r="H748" s="2"/>
      <c r="I748" s="2"/>
    </row>
    <row r="749" spans="1:9" ht="15.6">
      <c r="A749" s="2"/>
      <c r="B749" s="2"/>
      <c r="C749" s="2"/>
      <c r="D749" s="2"/>
      <c r="E749" s="3"/>
      <c r="F749" s="2"/>
      <c r="G749" s="2"/>
      <c r="H749" s="2"/>
      <c r="I749" s="2"/>
    </row>
    <row r="750" spans="1:9" ht="15.6">
      <c r="A750" s="2"/>
      <c r="B750" s="2"/>
      <c r="C750" s="2"/>
      <c r="D750" s="2"/>
      <c r="E750" s="3"/>
      <c r="F750" s="2"/>
      <c r="G750" s="2"/>
      <c r="H750" s="2"/>
      <c r="I750" s="2"/>
    </row>
    <row r="751" spans="1:9" ht="15.6">
      <c r="A751" s="2"/>
      <c r="B751" s="2"/>
      <c r="C751" s="2"/>
      <c r="D751" s="2"/>
      <c r="E751" s="3"/>
      <c r="F751" s="2"/>
      <c r="G751" s="2"/>
      <c r="H751" s="2"/>
      <c r="I751" s="2"/>
    </row>
    <row r="752" spans="1:9" ht="15.6">
      <c r="A752" s="2"/>
      <c r="B752" s="2"/>
      <c r="C752" s="2"/>
      <c r="D752" s="2"/>
      <c r="E752" s="3"/>
      <c r="F752" s="2"/>
      <c r="G752" s="2"/>
      <c r="H752" s="2"/>
      <c r="I752" s="2"/>
    </row>
    <row r="753" spans="1:9" ht="15.6">
      <c r="A753" s="2"/>
      <c r="B753" s="2"/>
      <c r="C753" s="2"/>
      <c r="D753" s="2"/>
      <c r="E753" s="3"/>
      <c r="F753" s="2"/>
      <c r="G753" s="2"/>
      <c r="H753" s="2"/>
      <c r="I753" s="2"/>
    </row>
    <row r="754" spans="1:9" ht="15.6">
      <c r="A754" s="2"/>
      <c r="B754" s="2"/>
      <c r="C754" s="2"/>
      <c r="D754" s="2"/>
      <c r="E754" s="3"/>
      <c r="F754" s="2"/>
      <c r="G754" s="2"/>
      <c r="H754" s="2"/>
      <c r="I754" s="2"/>
    </row>
    <row r="755" spans="1:9" ht="15.6">
      <c r="A755" s="2"/>
      <c r="B755" s="2"/>
      <c r="C755" s="2"/>
      <c r="D755" s="2"/>
      <c r="E755" s="3"/>
      <c r="F755" s="2"/>
      <c r="G755" s="2"/>
      <c r="H755" s="2"/>
      <c r="I755" s="2"/>
    </row>
    <row r="756" spans="1:9" ht="15.6">
      <c r="A756" s="2"/>
      <c r="B756" s="2"/>
      <c r="C756" s="2"/>
      <c r="D756" s="2"/>
      <c r="E756" s="3"/>
      <c r="F756" s="2"/>
      <c r="G756" s="2"/>
      <c r="H756" s="2"/>
      <c r="I756" s="2"/>
    </row>
    <row r="757" spans="1:9" ht="15.6">
      <c r="A757" s="2"/>
      <c r="B757" s="2"/>
      <c r="C757" s="2"/>
      <c r="D757" s="2"/>
      <c r="E757" s="3"/>
      <c r="F757" s="2"/>
      <c r="G757" s="2"/>
      <c r="H757" s="2"/>
      <c r="I757" s="2"/>
    </row>
    <row r="758" spans="1:9" ht="15.6">
      <c r="A758" s="2"/>
      <c r="B758" s="2"/>
      <c r="C758" s="2"/>
      <c r="D758" s="2"/>
      <c r="E758" s="3"/>
      <c r="F758" s="2"/>
      <c r="G758" s="2"/>
      <c r="H758" s="2"/>
      <c r="I758" s="2"/>
    </row>
    <row r="759" spans="1:9" ht="15.6">
      <c r="A759" s="2"/>
      <c r="B759" s="2"/>
      <c r="C759" s="2"/>
      <c r="D759" s="2"/>
      <c r="E759" s="3"/>
      <c r="F759" s="2"/>
      <c r="G759" s="2"/>
      <c r="H759" s="2"/>
      <c r="I759" s="2"/>
    </row>
    <row r="760" spans="1:9" ht="15.6">
      <c r="A760" s="2"/>
      <c r="B760" s="2"/>
      <c r="C760" s="2"/>
      <c r="D760" s="2"/>
      <c r="E760" s="3"/>
      <c r="F760" s="2"/>
      <c r="G760" s="2"/>
      <c r="H760" s="2"/>
      <c r="I760" s="2"/>
    </row>
    <row r="761" spans="1:9" ht="15.6">
      <c r="A761" s="2"/>
      <c r="B761" s="2"/>
      <c r="C761" s="2"/>
      <c r="D761" s="2"/>
      <c r="E761" s="3"/>
      <c r="F761" s="2"/>
      <c r="G761" s="2"/>
      <c r="H761" s="2"/>
      <c r="I761" s="2"/>
    </row>
    <row r="762" spans="1:9" ht="15.6">
      <c r="A762" s="2"/>
      <c r="B762" s="2"/>
      <c r="C762" s="2"/>
      <c r="D762" s="2"/>
      <c r="E762" s="3"/>
      <c r="F762" s="2"/>
      <c r="G762" s="2"/>
      <c r="H762" s="2"/>
      <c r="I762" s="2"/>
    </row>
    <row r="763" spans="1:9" ht="15.6">
      <c r="A763" s="2"/>
      <c r="B763" s="2"/>
      <c r="C763" s="2"/>
      <c r="D763" s="2"/>
      <c r="E763" s="3"/>
      <c r="F763" s="2"/>
      <c r="G763" s="2"/>
      <c r="H763" s="2"/>
      <c r="I763" s="2"/>
    </row>
    <row r="764" spans="1:9" ht="15.6">
      <c r="A764" s="2"/>
      <c r="B764" s="2"/>
      <c r="C764" s="2"/>
      <c r="D764" s="2"/>
      <c r="E764" s="3"/>
      <c r="F764" s="2"/>
      <c r="G764" s="2"/>
      <c r="H764" s="2"/>
      <c r="I764" s="2"/>
    </row>
    <row r="765" spans="1:9" ht="15.6">
      <c r="A765" s="2"/>
      <c r="B765" s="2"/>
      <c r="C765" s="2"/>
      <c r="D765" s="2"/>
      <c r="E765" s="3"/>
      <c r="F765" s="2"/>
      <c r="G765" s="2"/>
      <c r="H765" s="2"/>
      <c r="I765" s="2"/>
    </row>
    <row r="766" spans="1:9" ht="15.6">
      <c r="A766" s="2"/>
      <c r="B766" s="2"/>
      <c r="C766" s="2"/>
      <c r="D766" s="2"/>
      <c r="E766" s="3"/>
      <c r="F766" s="2"/>
      <c r="G766" s="2"/>
      <c r="H766" s="2"/>
      <c r="I766" s="2"/>
    </row>
    <row r="767" spans="1:9" ht="15.6">
      <c r="A767" s="2"/>
      <c r="B767" s="2"/>
      <c r="C767" s="2"/>
      <c r="D767" s="2"/>
      <c r="E767" s="3"/>
      <c r="F767" s="2"/>
      <c r="G767" s="2"/>
      <c r="H767" s="2"/>
      <c r="I767" s="2"/>
    </row>
    <row r="768" spans="1:9" ht="15.6">
      <c r="A768" s="2"/>
      <c r="B768" s="2"/>
      <c r="C768" s="2"/>
      <c r="D768" s="2"/>
      <c r="E768" s="3"/>
      <c r="F768" s="2"/>
      <c r="G768" s="2"/>
      <c r="H768" s="2"/>
      <c r="I768" s="2"/>
    </row>
    <row r="769" spans="1:9" ht="15.6">
      <c r="A769" s="2"/>
      <c r="B769" s="2"/>
      <c r="C769" s="2"/>
      <c r="D769" s="2"/>
      <c r="E769" s="3"/>
      <c r="F769" s="2"/>
      <c r="G769" s="2"/>
      <c r="H769" s="2"/>
      <c r="I769" s="2"/>
    </row>
    <row r="770" spans="1:9" ht="15.6">
      <c r="A770" s="2"/>
      <c r="B770" s="2"/>
      <c r="C770" s="2"/>
      <c r="D770" s="2"/>
      <c r="E770" s="3"/>
      <c r="F770" s="2"/>
      <c r="G770" s="2"/>
      <c r="H770" s="2"/>
      <c r="I770" s="2"/>
    </row>
    <row r="771" spans="1:9" ht="15.6">
      <c r="A771" s="2"/>
      <c r="B771" s="2"/>
      <c r="C771" s="2"/>
      <c r="D771" s="2"/>
      <c r="E771" s="3"/>
      <c r="F771" s="2"/>
      <c r="G771" s="2"/>
      <c r="H771" s="2"/>
      <c r="I771" s="2"/>
    </row>
    <row r="772" spans="1:9" ht="15.6">
      <c r="A772" s="2"/>
      <c r="B772" s="2"/>
      <c r="C772" s="2"/>
      <c r="D772" s="2"/>
      <c r="E772" s="3"/>
      <c r="F772" s="2"/>
      <c r="G772" s="2"/>
      <c r="H772" s="2"/>
      <c r="I772" s="2"/>
    </row>
    <row r="773" spans="1:9" ht="15.6">
      <c r="A773" s="2"/>
      <c r="B773" s="2"/>
      <c r="C773" s="2"/>
      <c r="D773" s="2"/>
      <c r="E773" s="3"/>
      <c r="F773" s="2"/>
      <c r="G773" s="2"/>
      <c r="H773" s="2"/>
      <c r="I773" s="2"/>
    </row>
    <row r="774" spans="1:9" ht="15.6">
      <c r="A774" s="2"/>
      <c r="B774" s="2"/>
      <c r="C774" s="2"/>
      <c r="D774" s="2"/>
      <c r="E774" s="3"/>
      <c r="F774" s="2"/>
      <c r="G774" s="2"/>
      <c r="H774" s="2"/>
      <c r="I774" s="2"/>
    </row>
    <row r="775" spans="1:9" ht="15.6">
      <c r="A775" s="2"/>
      <c r="B775" s="2"/>
      <c r="C775" s="2"/>
      <c r="D775" s="2"/>
      <c r="E775" s="3"/>
      <c r="F775" s="2"/>
      <c r="G775" s="2"/>
      <c r="H775" s="2"/>
      <c r="I775" s="2"/>
    </row>
    <row r="776" spans="1:9" ht="15.6">
      <c r="A776" s="2"/>
      <c r="B776" s="2"/>
      <c r="C776" s="2"/>
      <c r="D776" s="2"/>
      <c r="E776" s="3"/>
      <c r="F776" s="2"/>
      <c r="G776" s="2"/>
      <c r="H776" s="2"/>
      <c r="I776" s="2"/>
    </row>
    <row r="777" spans="1:9" ht="15.6">
      <c r="A777" s="2"/>
      <c r="B777" s="2"/>
      <c r="C777" s="2"/>
      <c r="D777" s="2"/>
      <c r="E777" s="3"/>
      <c r="F777" s="2"/>
      <c r="G777" s="2"/>
      <c r="H777" s="2"/>
      <c r="I777" s="2"/>
    </row>
    <row r="778" spans="1:9" ht="15.6">
      <c r="A778" s="2"/>
      <c r="B778" s="2"/>
      <c r="C778" s="2"/>
      <c r="D778" s="2"/>
      <c r="E778" s="3"/>
      <c r="F778" s="2"/>
      <c r="G778" s="2"/>
      <c r="H778" s="2"/>
      <c r="I778" s="2"/>
    </row>
    <row r="779" spans="1:9" ht="15.6">
      <c r="A779" s="2"/>
      <c r="B779" s="2"/>
      <c r="C779" s="2"/>
      <c r="D779" s="2"/>
      <c r="E779" s="3"/>
      <c r="F779" s="2"/>
      <c r="G779" s="2"/>
      <c r="H779" s="2"/>
      <c r="I779" s="2"/>
    </row>
    <row r="780" spans="1:9" ht="15.6">
      <c r="A780" s="2"/>
      <c r="B780" s="2"/>
      <c r="C780" s="2"/>
      <c r="D780" s="2"/>
      <c r="E780" s="3"/>
      <c r="F780" s="2"/>
      <c r="G780" s="2"/>
      <c r="H780" s="2"/>
      <c r="I780" s="2"/>
    </row>
    <row r="781" spans="1:9" ht="15.6">
      <c r="A781" s="2"/>
      <c r="B781" s="2"/>
      <c r="C781" s="2"/>
      <c r="D781" s="2"/>
      <c r="E781" s="3"/>
      <c r="F781" s="2"/>
      <c r="G781" s="2"/>
      <c r="H781" s="2"/>
      <c r="I781" s="2"/>
    </row>
    <row r="782" spans="1:9" ht="15.6">
      <c r="A782" s="2"/>
      <c r="B782" s="2"/>
      <c r="C782" s="2"/>
      <c r="D782" s="2"/>
      <c r="E782" s="3"/>
      <c r="F782" s="2"/>
      <c r="G782" s="2"/>
      <c r="H782" s="2"/>
      <c r="I782" s="2"/>
    </row>
    <row r="783" spans="1:9" ht="15.6">
      <c r="A783" s="2"/>
      <c r="B783" s="2"/>
      <c r="C783" s="2"/>
      <c r="D783" s="2"/>
      <c r="E783" s="3"/>
      <c r="F783" s="2"/>
      <c r="G783" s="2"/>
      <c r="H783" s="2"/>
      <c r="I783" s="2"/>
    </row>
    <row r="784" spans="1:9" ht="15.6">
      <c r="A784" s="2"/>
      <c r="B784" s="2"/>
      <c r="C784" s="2"/>
      <c r="D784" s="2"/>
      <c r="E784" s="3"/>
      <c r="F784" s="2"/>
      <c r="G784" s="2"/>
      <c r="H784" s="2"/>
      <c r="I784" s="2"/>
    </row>
    <row r="785" spans="1:9" ht="15.6">
      <c r="A785" s="2"/>
      <c r="B785" s="2"/>
      <c r="C785" s="2"/>
      <c r="D785" s="2"/>
      <c r="E785" s="3"/>
      <c r="F785" s="2"/>
      <c r="G785" s="2"/>
      <c r="H785" s="2"/>
      <c r="I785" s="2"/>
    </row>
    <row r="786" spans="1:9" ht="15.6">
      <c r="A786" s="2"/>
      <c r="B786" s="2"/>
      <c r="C786" s="2"/>
      <c r="D786" s="2"/>
      <c r="E786" s="3"/>
      <c r="F786" s="2"/>
      <c r="G786" s="2"/>
      <c r="H786" s="2"/>
      <c r="I786" s="2"/>
    </row>
    <row r="787" spans="1:9" ht="15.6">
      <c r="A787" s="2"/>
      <c r="B787" s="2"/>
      <c r="C787" s="2"/>
      <c r="D787" s="2"/>
      <c r="E787" s="3"/>
      <c r="F787" s="2"/>
      <c r="G787" s="2"/>
      <c r="H787" s="2"/>
      <c r="I787" s="2"/>
    </row>
    <row r="788" spans="1:9" ht="15.6">
      <c r="A788" s="2"/>
      <c r="B788" s="2"/>
      <c r="C788" s="2"/>
      <c r="D788" s="2"/>
      <c r="E788" s="3"/>
      <c r="F788" s="2"/>
      <c r="G788" s="2"/>
      <c r="H788" s="2"/>
      <c r="I788" s="2"/>
    </row>
    <row r="789" spans="1:9" ht="15.6">
      <c r="A789" s="2"/>
      <c r="B789" s="2"/>
      <c r="C789" s="2"/>
      <c r="D789" s="2"/>
      <c r="E789" s="3"/>
      <c r="F789" s="2"/>
      <c r="G789" s="2"/>
      <c r="H789" s="2"/>
      <c r="I789" s="2"/>
    </row>
    <row r="790" spans="1:9" ht="15.6">
      <c r="A790" s="2"/>
      <c r="B790" s="2"/>
      <c r="C790" s="2"/>
      <c r="D790" s="2"/>
      <c r="E790" s="3"/>
      <c r="F790" s="2"/>
      <c r="G790" s="2"/>
      <c r="H790" s="2"/>
      <c r="I790" s="2"/>
    </row>
    <row r="791" spans="1:9" ht="15.6">
      <c r="A791" s="2"/>
      <c r="B791" s="2"/>
      <c r="C791" s="2"/>
      <c r="D791" s="2"/>
      <c r="E791" s="3"/>
      <c r="F791" s="2"/>
      <c r="G791" s="2"/>
      <c r="H791" s="2"/>
      <c r="I791" s="2"/>
    </row>
    <row r="792" spans="1:9" ht="15.6">
      <c r="A792" s="2"/>
      <c r="B792" s="2"/>
      <c r="C792" s="2"/>
      <c r="D792" s="2"/>
      <c r="E792" s="3"/>
      <c r="F792" s="2"/>
      <c r="G792" s="2"/>
      <c r="H792" s="2"/>
      <c r="I792" s="2"/>
    </row>
    <row r="793" spans="1:9" ht="15.6">
      <c r="A793" s="2"/>
      <c r="B793" s="2"/>
      <c r="C793" s="2"/>
      <c r="D793" s="2"/>
      <c r="E793" s="3"/>
      <c r="F793" s="2"/>
      <c r="G793" s="2"/>
      <c r="H793" s="2"/>
      <c r="I793" s="2"/>
    </row>
    <row r="794" spans="1:9" ht="15.6">
      <c r="A794" s="2"/>
      <c r="B794" s="2"/>
      <c r="C794" s="2"/>
      <c r="D794" s="2"/>
      <c r="E794" s="3"/>
      <c r="F794" s="2"/>
      <c r="G794" s="2"/>
      <c r="H794" s="2"/>
      <c r="I794" s="2"/>
    </row>
    <row r="795" spans="1:9" ht="15.6">
      <c r="A795" s="2"/>
      <c r="B795" s="2"/>
      <c r="C795" s="2"/>
      <c r="D795" s="2"/>
      <c r="E795" s="3"/>
      <c r="F795" s="2"/>
      <c r="G795" s="2"/>
      <c r="H795" s="2"/>
      <c r="I795" s="2"/>
    </row>
    <row r="796" spans="1:9" ht="15.6">
      <c r="A796" s="2"/>
      <c r="B796" s="2"/>
      <c r="C796" s="2"/>
      <c r="D796" s="2"/>
      <c r="E796" s="3"/>
      <c r="F796" s="2"/>
      <c r="G796" s="2"/>
      <c r="H796" s="2"/>
      <c r="I796" s="2"/>
    </row>
    <row r="797" spans="1:9" ht="15.6">
      <c r="A797" s="2"/>
      <c r="B797" s="2"/>
      <c r="C797" s="2"/>
      <c r="D797" s="2"/>
      <c r="E797" s="3"/>
      <c r="F797" s="2"/>
      <c r="G797" s="2"/>
      <c r="H797" s="2"/>
      <c r="I797" s="2"/>
    </row>
    <row r="798" spans="1:9" ht="15.6">
      <c r="A798" s="2"/>
      <c r="B798" s="2"/>
      <c r="C798" s="2"/>
      <c r="D798" s="2"/>
      <c r="E798" s="3"/>
      <c r="F798" s="2"/>
      <c r="G798" s="2"/>
      <c r="H798" s="2"/>
      <c r="I798" s="2"/>
    </row>
    <row r="799" spans="1:9" ht="15.6">
      <c r="A799" s="2"/>
      <c r="B799" s="2"/>
      <c r="C799" s="2"/>
      <c r="D799" s="2"/>
      <c r="E799" s="3"/>
      <c r="F799" s="2"/>
      <c r="G799" s="2"/>
      <c r="H799" s="2"/>
      <c r="I799" s="2"/>
    </row>
    <row r="800" spans="1:9" ht="15.6">
      <c r="A800" s="2"/>
      <c r="B800" s="2"/>
      <c r="C800" s="2"/>
      <c r="D800" s="2"/>
      <c r="E800" s="3"/>
      <c r="F800" s="2"/>
      <c r="G800" s="2"/>
      <c r="H800" s="2"/>
      <c r="I800" s="2"/>
    </row>
    <row r="801" spans="1:9" ht="15.6">
      <c r="A801" s="2"/>
      <c r="B801" s="2"/>
      <c r="C801" s="2"/>
      <c r="D801" s="2"/>
      <c r="E801" s="3"/>
      <c r="F801" s="2"/>
      <c r="G801" s="2"/>
      <c r="H801" s="2"/>
      <c r="I801" s="2"/>
    </row>
    <row r="802" spans="1:9" ht="15.6">
      <c r="A802" s="2"/>
      <c r="B802" s="2"/>
      <c r="C802" s="2"/>
      <c r="D802" s="2"/>
      <c r="E802" s="3"/>
      <c r="F802" s="2"/>
      <c r="G802" s="2"/>
      <c r="H802" s="2"/>
      <c r="I802" s="2"/>
    </row>
    <row r="803" spans="1:9" ht="15.6">
      <c r="A803" s="2"/>
      <c r="B803" s="2"/>
      <c r="C803" s="2"/>
      <c r="D803" s="2"/>
      <c r="E803" s="3"/>
      <c r="F803" s="2"/>
      <c r="G803" s="2"/>
      <c r="H803" s="2"/>
      <c r="I803" s="2"/>
    </row>
    <row r="804" spans="1:9" ht="15.6">
      <c r="A804" s="2"/>
      <c r="B804" s="2"/>
      <c r="C804" s="2"/>
      <c r="D804" s="2"/>
      <c r="E804" s="3"/>
      <c r="F804" s="2"/>
      <c r="G804" s="2"/>
      <c r="H804" s="2"/>
      <c r="I804" s="2"/>
    </row>
    <row r="805" spans="1:9" ht="15.6">
      <c r="A805" s="2"/>
      <c r="B805" s="2"/>
      <c r="C805" s="2"/>
      <c r="D805" s="2"/>
      <c r="E805" s="3"/>
      <c r="F805" s="2"/>
      <c r="G805" s="2"/>
      <c r="H805" s="2"/>
      <c r="I805" s="2"/>
    </row>
    <row r="806" spans="1:9" ht="15.6">
      <c r="A806" s="2"/>
      <c r="B806" s="2"/>
      <c r="C806" s="2"/>
      <c r="D806" s="2"/>
      <c r="E806" s="3"/>
      <c r="F806" s="2"/>
      <c r="G806" s="2"/>
      <c r="H806" s="2"/>
      <c r="I806" s="2"/>
    </row>
    <row r="807" spans="1:9" ht="15.6">
      <c r="A807" s="2"/>
      <c r="B807" s="2"/>
      <c r="C807" s="2"/>
      <c r="D807" s="2"/>
      <c r="E807" s="3"/>
      <c r="F807" s="2"/>
      <c r="G807" s="2"/>
      <c r="H807" s="2"/>
      <c r="I807" s="2"/>
    </row>
    <row r="808" spans="1:9" ht="15.6">
      <c r="A808" s="2"/>
      <c r="B808" s="2"/>
      <c r="C808" s="2"/>
      <c r="D808" s="2"/>
      <c r="E808" s="3"/>
      <c r="F808" s="2"/>
      <c r="G808" s="2"/>
      <c r="H808" s="2"/>
      <c r="I808" s="2"/>
    </row>
    <row r="809" spans="1:9" ht="15.6">
      <c r="A809" s="2"/>
      <c r="B809" s="2"/>
      <c r="C809" s="2"/>
      <c r="D809" s="2"/>
      <c r="E809" s="3"/>
      <c r="F809" s="2"/>
      <c r="G809" s="2"/>
      <c r="H809" s="2"/>
      <c r="I809" s="2"/>
    </row>
    <row r="810" spans="1:9" ht="15.6">
      <c r="A810" s="2"/>
      <c r="B810" s="2"/>
      <c r="C810" s="2"/>
      <c r="D810" s="2"/>
      <c r="E810" s="3"/>
      <c r="F810" s="2"/>
      <c r="G810" s="2"/>
      <c r="H810" s="2"/>
      <c r="I810" s="2"/>
    </row>
    <row r="811" spans="1:9" ht="15.6">
      <c r="A811" s="2"/>
      <c r="B811" s="2"/>
      <c r="C811" s="2"/>
      <c r="D811" s="2"/>
      <c r="E811" s="3"/>
      <c r="F811" s="2"/>
      <c r="G811" s="2"/>
      <c r="H811" s="2"/>
      <c r="I811" s="2"/>
    </row>
    <row r="812" spans="1:9" ht="15.6">
      <c r="A812" s="2"/>
      <c r="B812" s="2"/>
      <c r="C812" s="2"/>
      <c r="D812" s="2"/>
      <c r="E812" s="3"/>
      <c r="F812" s="2"/>
      <c r="G812" s="2"/>
      <c r="H812" s="2"/>
      <c r="I812" s="2"/>
    </row>
    <row r="813" spans="1:9" ht="15.6">
      <c r="A813" s="2"/>
      <c r="B813" s="2"/>
      <c r="C813" s="2"/>
      <c r="D813" s="2"/>
      <c r="E813" s="3"/>
      <c r="F813" s="2"/>
      <c r="G813" s="2"/>
      <c r="H813" s="2"/>
      <c r="I813" s="2"/>
    </row>
    <row r="814" spans="1:9" ht="15.6">
      <c r="A814" s="2"/>
      <c r="B814" s="2"/>
      <c r="C814" s="2"/>
      <c r="D814" s="2"/>
      <c r="E814" s="3"/>
      <c r="F814" s="2"/>
      <c r="G814" s="2"/>
      <c r="H814" s="2"/>
      <c r="I814" s="2"/>
    </row>
    <row r="815" spans="1:9" ht="15.6">
      <c r="A815" s="2"/>
      <c r="B815" s="2"/>
      <c r="C815" s="2"/>
      <c r="D815" s="2"/>
      <c r="E815" s="3"/>
      <c r="F815" s="2"/>
      <c r="G815" s="2"/>
      <c r="H815" s="2"/>
      <c r="I815" s="2"/>
    </row>
    <row r="816" spans="1:9" ht="15.6">
      <c r="A816" s="2"/>
      <c r="B816" s="2"/>
      <c r="C816" s="2"/>
      <c r="D816" s="2"/>
      <c r="E816" s="3"/>
      <c r="F816" s="2"/>
      <c r="G816" s="2"/>
      <c r="H816" s="2"/>
      <c r="I816" s="2"/>
    </row>
    <row r="817" spans="1:9" ht="15.6">
      <c r="A817" s="2"/>
      <c r="B817" s="2"/>
      <c r="C817" s="2"/>
      <c r="D817" s="2"/>
      <c r="E817" s="3"/>
      <c r="F817" s="2"/>
      <c r="G817" s="2"/>
      <c r="H817" s="2"/>
      <c r="I817" s="2"/>
    </row>
    <row r="818" spans="1:9" ht="15.6">
      <c r="A818" s="2"/>
      <c r="B818" s="2"/>
      <c r="C818" s="2"/>
      <c r="D818" s="2"/>
      <c r="E818" s="3"/>
      <c r="F818" s="2"/>
      <c r="G818" s="2"/>
      <c r="H818" s="2"/>
      <c r="I818" s="2"/>
    </row>
    <row r="819" spans="1:9" ht="15.6">
      <c r="A819" s="2"/>
      <c r="B819" s="2"/>
      <c r="C819" s="2"/>
      <c r="D819" s="2"/>
      <c r="E819" s="3"/>
      <c r="F819" s="2"/>
      <c r="G819" s="2"/>
      <c r="H819" s="2"/>
      <c r="I819" s="2"/>
    </row>
    <row r="820" spans="1:9" ht="15.6">
      <c r="A820" s="2"/>
      <c r="B820" s="2"/>
      <c r="C820" s="2"/>
      <c r="D820" s="2"/>
      <c r="E820" s="3"/>
      <c r="F820" s="2"/>
      <c r="G820" s="2"/>
      <c r="H820" s="2"/>
      <c r="I820" s="2"/>
    </row>
    <row r="821" spans="1:9" ht="15.6">
      <c r="A821" s="2"/>
      <c r="B821" s="2"/>
      <c r="C821" s="2"/>
      <c r="D821" s="2"/>
      <c r="E821" s="3"/>
      <c r="F821" s="2"/>
      <c r="G821" s="2"/>
      <c r="H821" s="2"/>
      <c r="I821" s="2"/>
    </row>
    <row r="822" spans="1:9" ht="15.6">
      <c r="A822" s="2"/>
      <c r="B822" s="2"/>
      <c r="C822" s="2"/>
      <c r="D822" s="2"/>
      <c r="E822" s="3"/>
      <c r="F822" s="2"/>
      <c r="G822" s="2"/>
      <c r="H822" s="2"/>
      <c r="I822" s="2"/>
    </row>
    <row r="823" spans="1:9" ht="15.6">
      <c r="A823" s="2"/>
      <c r="B823" s="2"/>
      <c r="C823" s="2"/>
      <c r="D823" s="2"/>
      <c r="E823" s="3"/>
      <c r="F823" s="2"/>
      <c r="G823" s="2"/>
      <c r="H823" s="2"/>
      <c r="I823" s="2"/>
    </row>
    <row r="824" spans="1:9" ht="15.6">
      <c r="A824" s="2"/>
      <c r="B824" s="2"/>
      <c r="C824" s="2"/>
      <c r="D824" s="2"/>
      <c r="E824" s="3"/>
      <c r="F824" s="2"/>
      <c r="G824" s="2"/>
      <c r="H824" s="2"/>
      <c r="I824" s="2"/>
    </row>
    <row r="825" spans="1:9" ht="15.6">
      <c r="A825" s="2"/>
      <c r="B825" s="2"/>
      <c r="C825" s="2"/>
      <c r="D825" s="2"/>
      <c r="E825" s="3"/>
      <c r="F825" s="2"/>
      <c r="G825" s="2"/>
      <c r="H825" s="2"/>
      <c r="I825" s="2"/>
    </row>
    <row r="826" spans="1:9" ht="15.6">
      <c r="A826" s="2"/>
      <c r="B826" s="2"/>
      <c r="C826" s="2"/>
      <c r="D826" s="2"/>
      <c r="E826" s="3"/>
      <c r="F826" s="2"/>
      <c r="G826" s="2"/>
      <c r="H826" s="2"/>
      <c r="I826" s="2"/>
    </row>
    <row r="827" spans="1:9" ht="15.6">
      <c r="A827" s="2"/>
      <c r="B827" s="2"/>
      <c r="C827" s="2"/>
      <c r="D827" s="2"/>
      <c r="E827" s="3"/>
      <c r="F827" s="2"/>
      <c r="G827" s="2"/>
      <c r="H827" s="2"/>
      <c r="I827" s="2"/>
    </row>
    <row r="828" spans="1:9" ht="15.6">
      <c r="A828" s="2"/>
      <c r="B828" s="2"/>
      <c r="C828" s="2"/>
      <c r="D828" s="2"/>
      <c r="E828" s="3"/>
      <c r="F828" s="2"/>
      <c r="G828" s="2"/>
      <c r="H828" s="2"/>
      <c r="I828" s="2"/>
    </row>
    <row r="829" spans="1:9" ht="15.6">
      <c r="A829" s="2"/>
      <c r="B829" s="2"/>
      <c r="C829" s="2"/>
      <c r="D829" s="2"/>
      <c r="E829" s="3"/>
      <c r="F829" s="2"/>
      <c r="G829" s="2"/>
      <c r="H829" s="2"/>
      <c r="I829" s="2"/>
    </row>
    <row r="830" spans="1:9" ht="15.6">
      <c r="A830" s="2"/>
      <c r="B830" s="2"/>
      <c r="C830" s="2"/>
      <c r="D830" s="2"/>
      <c r="E830" s="3"/>
      <c r="F830" s="2"/>
      <c r="G830" s="2"/>
      <c r="H830" s="2"/>
      <c r="I830" s="2"/>
    </row>
    <row r="831" spans="1:9" ht="15.6">
      <c r="A831" s="2"/>
      <c r="B831" s="2"/>
      <c r="C831" s="2"/>
      <c r="D831" s="2"/>
      <c r="E831" s="3"/>
      <c r="F831" s="2"/>
      <c r="G831" s="2"/>
      <c r="H831" s="2"/>
      <c r="I831" s="2"/>
    </row>
    <row r="832" spans="1:9" ht="15.6">
      <c r="A832" s="2"/>
      <c r="B832" s="2"/>
      <c r="C832" s="2"/>
      <c r="D832" s="2"/>
      <c r="E832" s="3"/>
      <c r="F832" s="2"/>
      <c r="G832" s="2"/>
      <c r="H832" s="2"/>
      <c r="I832" s="2"/>
    </row>
    <row r="833" spans="1:9" ht="15.6">
      <c r="A833" s="2"/>
      <c r="B833" s="2"/>
      <c r="C833" s="2"/>
      <c r="D833" s="2"/>
      <c r="E833" s="3"/>
      <c r="F833" s="2"/>
      <c r="G833" s="2"/>
      <c r="H833" s="2"/>
      <c r="I833" s="2"/>
    </row>
    <row r="834" spans="1:9" ht="15.6">
      <c r="A834" s="2"/>
      <c r="B834" s="2"/>
      <c r="C834" s="2"/>
      <c r="D834" s="2"/>
      <c r="E834" s="3"/>
      <c r="F834" s="2"/>
      <c r="G834" s="2"/>
      <c r="H834" s="2"/>
      <c r="I834" s="2"/>
    </row>
    <row r="835" spans="1:9" ht="15.6">
      <c r="A835" s="2"/>
      <c r="B835" s="2"/>
      <c r="C835" s="2"/>
      <c r="D835" s="2"/>
      <c r="E835" s="3"/>
      <c r="F835" s="2"/>
      <c r="G835" s="2"/>
      <c r="H835" s="2"/>
      <c r="I835" s="2"/>
    </row>
    <row r="836" spans="1:9" ht="15.6">
      <c r="A836" s="2"/>
      <c r="B836" s="2"/>
      <c r="C836" s="2"/>
      <c r="D836" s="2"/>
      <c r="E836" s="3"/>
      <c r="F836" s="2"/>
      <c r="G836" s="2"/>
      <c r="H836" s="2"/>
      <c r="I836" s="2"/>
    </row>
    <row r="837" spans="1:9" ht="15.6">
      <c r="A837" s="2"/>
      <c r="B837" s="2"/>
      <c r="C837" s="2"/>
      <c r="D837" s="2"/>
      <c r="E837" s="3"/>
      <c r="F837" s="2"/>
      <c r="G837" s="2"/>
      <c r="H837" s="2"/>
      <c r="I837" s="2"/>
    </row>
    <row r="838" spans="1:9" ht="15.6">
      <c r="A838" s="2"/>
      <c r="B838" s="2"/>
      <c r="C838" s="2"/>
      <c r="D838" s="2"/>
      <c r="E838" s="3"/>
      <c r="F838" s="2"/>
      <c r="G838" s="2"/>
      <c r="H838" s="2"/>
      <c r="I838" s="2"/>
    </row>
    <row r="839" spans="1:9" ht="15.6">
      <c r="A839" s="2"/>
      <c r="B839" s="2"/>
      <c r="C839" s="2"/>
      <c r="D839" s="2"/>
      <c r="E839" s="3"/>
      <c r="F839" s="2"/>
      <c r="G839" s="2"/>
      <c r="H839" s="2"/>
      <c r="I839" s="2"/>
    </row>
    <row r="840" spans="1:9" ht="15.6">
      <c r="A840" s="2"/>
      <c r="B840" s="2"/>
      <c r="C840" s="2"/>
      <c r="D840" s="2"/>
      <c r="E840" s="3"/>
      <c r="F840" s="2"/>
      <c r="G840" s="2"/>
      <c r="H840" s="2"/>
      <c r="I840" s="2"/>
    </row>
    <row r="841" spans="1:9" ht="15.6">
      <c r="A841" s="2"/>
      <c r="B841" s="2"/>
      <c r="C841" s="2"/>
      <c r="D841" s="2"/>
      <c r="E841" s="3"/>
      <c r="F841" s="2"/>
      <c r="G841" s="2"/>
      <c r="H841" s="2"/>
      <c r="I841" s="2"/>
    </row>
    <row r="842" spans="1:9" ht="15.6">
      <c r="A842" s="2"/>
      <c r="B842" s="2"/>
      <c r="C842" s="2"/>
      <c r="D842" s="2"/>
      <c r="E842" s="3"/>
      <c r="F842" s="2"/>
      <c r="G842" s="2"/>
      <c r="H842" s="2"/>
      <c r="I842" s="2"/>
    </row>
    <row r="843" spans="1:9" ht="15.6">
      <c r="A843" s="2"/>
      <c r="B843" s="2"/>
      <c r="C843" s="2"/>
      <c r="D843" s="2"/>
      <c r="E843" s="3"/>
      <c r="F843" s="2"/>
      <c r="G843" s="2"/>
      <c r="H843" s="2"/>
      <c r="I843" s="2"/>
    </row>
    <row r="844" spans="1:9" ht="15.6">
      <c r="A844" s="2"/>
      <c r="B844" s="2"/>
      <c r="C844" s="2"/>
      <c r="D844" s="2"/>
      <c r="E844" s="3"/>
      <c r="F844" s="2"/>
      <c r="G844" s="2"/>
      <c r="H844" s="2"/>
      <c r="I844" s="2"/>
    </row>
    <row r="845" spans="1:9" ht="15.6">
      <c r="A845" s="2"/>
      <c r="B845" s="2"/>
      <c r="C845" s="2"/>
      <c r="D845" s="2"/>
      <c r="E845" s="3"/>
      <c r="F845" s="2"/>
      <c r="G845" s="2"/>
      <c r="H845" s="2"/>
      <c r="I845" s="2"/>
    </row>
    <row r="846" spans="1:9" ht="15.6">
      <c r="A846" s="2"/>
      <c r="B846" s="2"/>
      <c r="C846" s="2"/>
      <c r="D846" s="2"/>
      <c r="E846" s="3"/>
      <c r="F846" s="2"/>
      <c r="G846" s="2"/>
      <c r="H846" s="2"/>
      <c r="I846" s="2"/>
    </row>
    <row r="847" spans="1:9" ht="15.6">
      <c r="A847" s="2"/>
      <c r="B847" s="2"/>
      <c r="C847" s="2"/>
      <c r="D847" s="2"/>
      <c r="E847" s="3"/>
      <c r="F847" s="2"/>
      <c r="G847" s="2"/>
      <c r="H847" s="2"/>
      <c r="I847" s="2"/>
    </row>
    <row r="848" spans="1:9" ht="15.6">
      <c r="A848" s="2"/>
      <c r="B848" s="2"/>
      <c r="C848" s="2"/>
      <c r="D848" s="2"/>
      <c r="E848" s="3"/>
      <c r="F848" s="2"/>
      <c r="G848" s="2"/>
      <c r="H848" s="2"/>
      <c r="I848" s="2"/>
    </row>
    <row r="849" spans="1:9" ht="15.6">
      <c r="A849" s="2"/>
      <c r="B849" s="2"/>
      <c r="C849" s="2"/>
      <c r="D849" s="2"/>
      <c r="E849" s="3"/>
      <c r="F849" s="2"/>
      <c r="G849" s="2"/>
      <c r="H849" s="2"/>
      <c r="I849" s="2"/>
    </row>
    <row r="850" spans="1:9" ht="15.6">
      <c r="A850" s="2"/>
      <c r="B850" s="2"/>
      <c r="C850" s="2"/>
      <c r="D850" s="2"/>
      <c r="E850" s="3"/>
      <c r="F850" s="2"/>
      <c r="G850" s="2"/>
      <c r="H850" s="2"/>
      <c r="I850" s="2"/>
    </row>
    <row r="851" spans="1:9" ht="15.6">
      <c r="A851" s="2"/>
      <c r="B851" s="2"/>
      <c r="C851" s="2"/>
      <c r="D851" s="2"/>
      <c r="E851" s="3"/>
      <c r="F851" s="2"/>
      <c r="G851" s="2"/>
      <c r="H851" s="2"/>
      <c r="I851" s="2"/>
    </row>
    <row r="852" spans="1:9" ht="15.6">
      <c r="A852" s="2"/>
      <c r="B852" s="2"/>
      <c r="C852" s="2"/>
      <c r="D852" s="2"/>
      <c r="E852" s="3"/>
      <c r="F852" s="2"/>
      <c r="G852" s="2"/>
      <c r="H852" s="2"/>
      <c r="I852" s="2"/>
    </row>
    <row r="853" spans="1:9" ht="15.6">
      <c r="A853" s="2"/>
      <c r="B853" s="2"/>
      <c r="C853" s="2"/>
      <c r="D853" s="2"/>
      <c r="E853" s="3"/>
      <c r="F853" s="2"/>
      <c r="G853" s="2"/>
      <c r="H853" s="2"/>
      <c r="I853" s="2"/>
    </row>
    <row r="854" spans="1:9" ht="15.6">
      <c r="A854" s="2"/>
      <c r="B854" s="2"/>
      <c r="C854" s="2"/>
      <c r="D854" s="2"/>
      <c r="E854" s="3"/>
      <c r="F854" s="2"/>
      <c r="G854" s="2"/>
      <c r="H854" s="2"/>
      <c r="I854" s="2"/>
    </row>
    <row r="855" spans="1:9" ht="15.6">
      <c r="A855" s="2"/>
      <c r="B855" s="2"/>
      <c r="C855" s="2"/>
      <c r="D855" s="2"/>
      <c r="E855" s="3"/>
      <c r="F855" s="2"/>
      <c r="G855" s="2"/>
      <c r="H855" s="2"/>
      <c r="I855" s="2"/>
    </row>
    <row r="856" spans="1:9" ht="15.6">
      <c r="A856" s="2"/>
      <c r="B856" s="2"/>
      <c r="C856" s="2"/>
      <c r="D856" s="2"/>
      <c r="E856" s="3"/>
      <c r="F856" s="2"/>
      <c r="G856" s="2"/>
      <c r="H856" s="2"/>
      <c r="I856" s="2"/>
    </row>
    <row r="857" spans="1:9" ht="15.6">
      <c r="A857" s="2"/>
      <c r="B857" s="2"/>
      <c r="C857" s="2"/>
      <c r="D857" s="2"/>
      <c r="E857" s="3"/>
      <c r="F857" s="2"/>
      <c r="G857" s="2"/>
      <c r="H857" s="2"/>
      <c r="I857" s="2"/>
    </row>
    <row r="858" spans="1:9" ht="15.6">
      <c r="A858" s="2"/>
      <c r="B858" s="2"/>
      <c r="C858" s="2"/>
      <c r="D858" s="2"/>
      <c r="E858" s="3"/>
      <c r="F858" s="2"/>
      <c r="G858" s="2"/>
      <c r="H858" s="2"/>
      <c r="I858" s="2"/>
    </row>
    <row r="859" spans="1:9" ht="15.6">
      <c r="A859" s="2"/>
      <c r="B859" s="2"/>
      <c r="C859" s="2"/>
      <c r="D859" s="2"/>
      <c r="E859" s="3"/>
      <c r="F859" s="2"/>
      <c r="G859" s="2"/>
      <c r="H859" s="2"/>
      <c r="I859" s="2"/>
    </row>
    <row r="860" spans="1:9" ht="15.6">
      <c r="A860" s="2"/>
      <c r="B860" s="2"/>
      <c r="C860" s="2"/>
      <c r="D860" s="2"/>
      <c r="E860" s="3"/>
      <c r="F860" s="2"/>
      <c r="G860" s="2"/>
      <c r="H860" s="2"/>
      <c r="I860" s="2"/>
    </row>
    <row r="861" spans="1:9" ht="15.6">
      <c r="A861" s="2"/>
      <c r="B861" s="2"/>
      <c r="C861" s="2"/>
      <c r="D861" s="2"/>
      <c r="E861" s="3"/>
      <c r="F861" s="2"/>
      <c r="G861" s="2"/>
      <c r="H861" s="2"/>
      <c r="I861" s="2"/>
    </row>
    <row r="862" spans="1:9" ht="15.6">
      <c r="A862" s="2"/>
      <c r="B862" s="2"/>
      <c r="C862" s="2"/>
      <c r="D862" s="2"/>
      <c r="E862" s="3"/>
      <c r="F862" s="2"/>
      <c r="G862" s="2"/>
      <c r="H862" s="2"/>
      <c r="I862" s="2"/>
    </row>
    <row r="863" spans="1:9" ht="15.6">
      <c r="A863" s="2"/>
      <c r="B863" s="2"/>
      <c r="C863" s="2"/>
      <c r="D863" s="2"/>
      <c r="E863" s="3"/>
      <c r="F863" s="2"/>
      <c r="G863" s="2"/>
      <c r="H863" s="2"/>
      <c r="I863" s="2"/>
    </row>
    <row r="864" spans="1:9" ht="15.6">
      <c r="A864" s="2"/>
      <c r="B864" s="2"/>
      <c r="C864" s="2"/>
      <c r="D864" s="2"/>
      <c r="E864" s="3"/>
      <c r="F864" s="2"/>
      <c r="G864" s="2"/>
      <c r="H864" s="2"/>
      <c r="I864" s="2"/>
    </row>
    <row r="865" spans="1:9" ht="15.6">
      <c r="A865" s="2"/>
      <c r="B865" s="2"/>
      <c r="C865" s="2"/>
      <c r="D865" s="2"/>
      <c r="E865" s="3"/>
      <c r="F865" s="2"/>
      <c r="G865" s="2"/>
      <c r="H865" s="2"/>
      <c r="I865" s="2"/>
    </row>
    <row r="866" spans="1:9" ht="15.6">
      <c r="A866" s="2"/>
      <c r="B866" s="2"/>
      <c r="C866" s="2"/>
      <c r="D866" s="2"/>
      <c r="E866" s="3"/>
      <c r="F866" s="2"/>
      <c r="G866" s="2"/>
      <c r="H866" s="2"/>
      <c r="I866" s="2"/>
    </row>
    <row r="867" spans="1:9" ht="15.6">
      <c r="A867" s="2"/>
      <c r="B867" s="2"/>
      <c r="C867" s="2"/>
      <c r="D867" s="2"/>
      <c r="E867" s="3"/>
      <c r="F867" s="2"/>
      <c r="G867" s="2"/>
      <c r="H867" s="2"/>
      <c r="I867" s="2"/>
    </row>
    <row r="868" spans="1:9" ht="15.6">
      <c r="A868" s="2"/>
      <c r="B868" s="2"/>
      <c r="C868" s="2"/>
      <c r="D868" s="2"/>
      <c r="E868" s="3"/>
      <c r="F868" s="2"/>
      <c r="G868" s="2"/>
      <c r="H868" s="2"/>
      <c r="I868" s="2"/>
    </row>
    <row r="869" spans="1:9" ht="15.6">
      <c r="A869" s="2"/>
      <c r="B869" s="2"/>
      <c r="C869" s="2"/>
      <c r="D869" s="2"/>
      <c r="E869" s="3"/>
      <c r="F869" s="2"/>
      <c r="G869" s="2"/>
      <c r="H869" s="2"/>
      <c r="I869" s="2"/>
    </row>
    <row r="870" spans="1:9" ht="15.6">
      <c r="A870" s="2"/>
      <c r="B870" s="2"/>
      <c r="C870" s="2"/>
      <c r="D870" s="2"/>
      <c r="E870" s="3"/>
      <c r="F870" s="2"/>
      <c r="G870" s="2"/>
      <c r="H870" s="2"/>
      <c r="I870" s="2"/>
    </row>
    <row r="871" spans="1:9" ht="15.6">
      <c r="A871" s="2"/>
      <c r="B871" s="2"/>
      <c r="C871" s="2"/>
      <c r="D871" s="2"/>
      <c r="E871" s="3"/>
      <c r="F871" s="2"/>
      <c r="G871" s="2"/>
      <c r="H871" s="2"/>
      <c r="I871" s="2"/>
    </row>
    <row r="872" spans="1:9" ht="15.6">
      <c r="A872" s="2"/>
      <c r="B872" s="2"/>
      <c r="C872" s="2"/>
      <c r="D872" s="2"/>
      <c r="E872" s="3"/>
      <c r="F872" s="2"/>
      <c r="G872" s="2"/>
      <c r="H872" s="2"/>
      <c r="I872" s="2"/>
    </row>
    <row r="873" spans="1:9" ht="15.6">
      <c r="A873" s="2"/>
      <c r="B873" s="2"/>
      <c r="C873" s="2"/>
      <c r="D873" s="2"/>
      <c r="E873" s="3"/>
      <c r="F873" s="2"/>
      <c r="G873" s="2"/>
      <c r="H873" s="2"/>
      <c r="I873" s="2"/>
    </row>
    <row r="874" spans="1:9" ht="15.6">
      <c r="A874" s="2"/>
      <c r="B874" s="2"/>
      <c r="C874" s="2"/>
      <c r="D874" s="2"/>
      <c r="E874" s="3"/>
      <c r="F874" s="2"/>
      <c r="G874" s="2"/>
      <c r="H874" s="2"/>
      <c r="I874" s="2"/>
    </row>
    <row r="875" spans="1:9" ht="15.6">
      <c r="A875" s="2"/>
      <c r="B875" s="2"/>
      <c r="C875" s="2"/>
      <c r="D875" s="2"/>
      <c r="E875" s="3"/>
      <c r="F875" s="2"/>
      <c r="G875" s="2"/>
      <c r="H875" s="2"/>
      <c r="I875" s="2"/>
    </row>
    <row r="876" spans="1:9" ht="15.6">
      <c r="A876" s="2"/>
      <c r="B876" s="2"/>
      <c r="C876" s="2"/>
      <c r="D876" s="2"/>
      <c r="E876" s="3"/>
      <c r="F876" s="2"/>
      <c r="G876" s="2"/>
      <c r="H876" s="2"/>
      <c r="I876" s="2"/>
    </row>
    <row r="877" spans="1:9" ht="15.6">
      <c r="A877" s="2"/>
      <c r="B877" s="2"/>
      <c r="C877" s="2"/>
      <c r="D877" s="2"/>
      <c r="E877" s="3"/>
      <c r="F877" s="2"/>
      <c r="G877" s="2"/>
      <c r="H877" s="2"/>
      <c r="I877" s="2"/>
    </row>
    <row r="878" spans="1:9" ht="15.6">
      <c r="A878" s="2"/>
      <c r="B878" s="2"/>
      <c r="C878" s="2"/>
      <c r="D878" s="2"/>
      <c r="E878" s="3"/>
      <c r="F878" s="2"/>
      <c r="G878" s="2"/>
      <c r="H878" s="2"/>
      <c r="I878" s="2"/>
    </row>
    <row r="879" spans="1:9" ht="15.6">
      <c r="A879" s="2"/>
      <c r="B879" s="2"/>
      <c r="C879" s="2"/>
      <c r="D879" s="2"/>
      <c r="E879" s="3"/>
      <c r="F879" s="2"/>
      <c r="G879" s="2"/>
      <c r="H879" s="2"/>
      <c r="I879" s="2"/>
    </row>
    <row r="880" spans="1:9" ht="15.6">
      <c r="A880" s="2"/>
      <c r="B880" s="2"/>
      <c r="C880" s="2"/>
      <c r="D880" s="2"/>
      <c r="E880" s="3"/>
      <c r="F880" s="2"/>
      <c r="G880" s="2"/>
      <c r="H880" s="2"/>
      <c r="I880" s="2"/>
    </row>
    <row r="881" spans="1:9" ht="15.6">
      <c r="A881" s="2"/>
      <c r="B881" s="2"/>
      <c r="C881" s="2"/>
      <c r="D881" s="2"/>
      <c r="E881" s="3"/>
      <c r="F881" s="2"/>
      <c r="G881" s="2"/>
      <c r="H881" s="2"/>
      <c r="I881" s="2"/>
    </row>
    <row r="882" spans="1:9" ht="15.6">
      <c r="A882" s="2"/>
      <c r="B882" s="2"/>
      <c r="C882" s="2"/>
      <c r="D882" s="2"/>
      <c r="E882" s="3"/>
      <c r="F882" s="2"/>
      <c r="G882" s="2"/>
      <c r="H882" s="2"/>
      <c r="I882" s="2"/>
    </row>
    <row r="883" spans="1:9" ht="15.6">
      <c r="A883" s="2"/>
      <c r="B883" s="2"/>
      <c r="C883" s="2"/>
      <c r="D883" s="2"/>
      <c r="E883" s="3"/>
      <c r="F883" s="2"/>
      <c r="G883" s="2"/>
      <c r="H883" s="2"/>
      <c r="I883" s="2"/>
    </row>
    <row r="884" spans="1:9" ht="15.6">
      <c r="A884" s="2"/>
      <c r="B884" s="2"/>
      <c r="C884" s="2"/>
      <c r="D884" s="2"/>
      <c r="E884" s="3"/>
      <c r="F884" s="2"/>
      <c r="G884" s="2"/>
      <c r="H884" s="2"/>
      <c r="I884" s="2"/>
    </row>
    <row r="885" spans="1:9" ht="15.6">
      <c r="A885" s="2"/>
      <c r="B885" s="2"/>
      <c r="C885" s="2"/>
      <c r="D885" s="2"/>
      <c r="E885" s="3"/>
      <c r="F885" s="2"/>
      <c r="G885" s="2"/>
      <c r="H885" s="2"/>
      <c r="I885" s="2"/>
    </row>
    <row r="886" spans="1:9" ht="15.6">
      <c r="A886" s="2"/>
      <c r="B886" s="2"/>
      <c r="C886" s="2"/>
      <c r="D886" s="2"/>
      <c r="E886" s="3"/>
      <c r="F886" s="2"/>
      <c r="G886" s="2"/>
      <c r="H886" s="2"/>
      <c r="I886" s="2"/>
    </row>
    <row r="887" spans="1:9" ht="15.6">
      <c r="A887" s="2"/>
      <c r="B887" s="2"/>
      <c r="C887" s="2"/>
      <c r="D887" s="2"/>
      <c r="E887" s="3"/>
      <c r="F887" s="2"/>
      <c r="G887" s="2"/>
      <c r="H887" s="2"/>
      <c r="I887" s="2"/>
    </row>
    <row r="888" spans="1:9" ht="15.6">
      <c r="A888" s="2"/>
      <c r="B888" s="2"/>
      <c r="C888" s="2"/>
      <c r="D888" s="2"/>
      <c r="E888" s="3"/>
      <c r="F888" s="2"/>
      <c r="G888" s="2"/>
      <c r="H888" s="2"/>
      <c r="I888" s="2"/>
    </row>
    <row r="889" spans="1:9" ht="15.6">
      <c r="A889" s="2"/>
      <c r="B889" s="2"/>
      <c r="C889" s="2"/>
      <c r="D889" s="2"/>
      <c r="E889" s="3"/>
      <c r="F889" s="2"/>
      <c r="G889" s="2"/>
      <c r="H889" s="2"/>
      <c r="I889" s="2"/>
    </row>
    <row r="890" spans="1:9" ht="15.6">
      <c r="A890" s="2"/>
      <c r="B890" s="2"/>
      <c r="C890" s="2"/>
      <c r="D890" s="2"/>
      <c r="E890" s="3"/>
      <c r="F890" s="2"/>
      <c r="G890" s="2"/>
      <c r="H890" s="2"/>
      <c r="I890" s="2"/>
    </row>
    <row r="891" spans="1:9" ht="15.6">
      <c r="A891" s="2"/>
      <c r="B891" s="2"/>
      <c r="C891" s="2"/>
      <c r="D891" s="2"/>
      <c r="E891" s="3"/>
      <c r="F891" s="2"/>
      <c r="G891" s="2"/>
      <c r="H891" s="2"/>
      <c r="I891" s="2"/>
    </row>
    <row r="892" spans="1:9" ht="15.6">
      <c r="A892" s="2"/>
      <c r="B892" s="2"/>
      <c r="C892" s="2"/>
      <c r="D892" s="2"/>
      <c r="E892" s="3"/>
      <c r="F892" s="2"/>
      <c r="G892" s="2"/>
      <c r="H892" s="2"/>
      <c r="I892" s="2"/>
    </row>
    <row r="893" spans="1:9" ht="15.6">
      <c r="A893" s="2"/>
      <c r="B893" s="2"/>
      <c r="C893" s="2"/>
      <c r="D893" s="2"/>
      <c r="E893" s="3"/>
      <c r="F893" s="2"/>
      <c r="G893" s="2"/>
      <c r="H893" s="2"/>
      <c r="I893" s="2"/>
    </row>
    <row r="894" spans="1:9" ht="15.6">
      <c r="A894" s="2"/>
      <c r="B894" s="2"/>
      <c r="C894" s="2"/>
      <c r="D894" s="2"/>
      <c r="E894" s="3"/>
      <c r="F894" s="2"/>
      <c r="G894" s="2"/>
      <c r="H894" s="2"/>
      <c r="I894" s="2"/>
    </row>
    <row r="895" spans="1:9" ht="15.6">
      <c r="A895" s="2"/>
      <c r="B895" s="2"/>
      <c r="C895" s="2"/>
      <c r="D895" s="2"/>
      <c r="E895" s="3"/>
      <c r="F895" s="2"/>
      <c r="G895" s="2"/>
      <c r="H895" s="2"/>
      <c r="I895" s="2"/>
    </row>
    <row r="896" spans="1:9" ht="15.6">
      <c r="A896" s="2"/>
      <c r="B896" s="2"/>
      <c r="C896" s="2"/>
      <c r="D896" s="2"/>
      <c r="E896" s="3"/>
      <c r="F896" s="2"/>
      <c r="G896" s="2"/>
      <c r="H896" s="2"/>
      <c r="I896" s="2"/>
    </row>
    <row r="897" spans="1:9" ht="15.6">
      <c r="A897" s="2"/>
      <c r="B897" s="2"/>
      <c r="C897" s="2"/>
      <c r="D897" s="2"/>
      <c r="E897" s="3"/>
      <c r="F897" s="2"/>
      <c r="G897" s="2"/>
      <c r="H897" s="2"/>
      <c r="I897" s="2"/>
    </row>
    <row r="898" spans="1:9" ht="15.6">
      <c r="A898" s="2"/>
      <c r="B898" s="2"/>
      <c r="C898" s="2"/>
      <c r="D898" s="2"/>
      <c r="E898" s="3"/>
      <c r="F898" s="2"/>
      <c r="G898" s="2"/>
      <c r="H898" s="2"/>
      <c r="I898" s="2"/>
    </row>
    <row r="899" spans="1:9" ht="15.6">
      <c r="A899" s="2"/>
      <c r="B899" s="2"/>
      <c r="C899" s="2"/>
      <c r="D899" s="2"/>
      <c r="E899" s="3"/>
      <c r="F899" s="2"/>
      <c r="G899" s="2"/>
      <c r="H899" s="2"/>
      <c r="I899" s="2"/>
    </row>
    <row r="900" spans="1:9" ht="15.6">
      <c r="A900" s="2"/>
      <c r="B900" s="2"/>
      <c r="C900" s="2"/>
      <c r="D900" s="2"/>
      <c r="E900" s="3"/>
      <c r="F900" s="2"/>
      <c r="G900" s="2"/>
      <c r="H900" s="2"/>
      <c r="I900" s="2"/>
    </row>
    <row r="901" spans="1:9" ht="15.6">
      <c r="A901" s="2"/>
      <c r="B901" s="2"/>
      <c r="C901" s="2"/>
      <c r="D901" s="2"/>
      <c r="E901" s="3"/>
      <c r="F901" s="2"/>
      <c r="G901" s="2"/>
      <c r="H901" s="2"/>
      <c r="I901" s="2"/>
    </row>
    <row r="902" spans="1:9" ht="15.6">
      <c r="A902" s="2"/>
      <c r="B902" s="2"/>
      <c r="C902" s="2"/>
      <c r="D902" s="2"/>
      <c r="E902" s="3"/>
      <c r="F902" s="2"/>
      <c r="G902" s="2"/>
      <c r="H902" s="2"/>
      <c r="I902" s="2"/>
    </row>
    <row r="903" spans="1:9" ht="15.6">
      <c r="A903" s="2"/>
      <c r="B903" s="2"/>
      <c r="C903" s="2"/>
      <c r="D903" s="2"/>
      <c r="E903" s="3"/>
      <c r="F903" s="2"/>
      <c r="G903" s="2"/>
      <c r="H903" s="2"/>
      <c r="I903" s="2"/>
    </row>
    <row r="904" spans="1:9" ht="15.6">
      <c r="A904" s="2"/>
      <c r="B904" s="2"/>
      <c r="C904" s="2"/>
      <c r="D904" s="2"/>
      <c r="E904" s="3"/>
      <c r="F904" s="2"/>
      <c r="G904" s="2"/>
      <c r="H904" s="2"/>
      <c r="I904" s="2"/>
    </row>
    <row r="905" spans="1:9" ht="15.6">
      <c r="A905" s="2"/>
      <c r="B905" s="2"/>
      <c r="C905" s="2"/>
      <c r="D905" s="2"/>
      <c r="E905" s="3"/>
      <c r="F905" s="2"/>
      <c r="G905" s="2"/>
      <c r="H905" s="2"/>
      <c r="I905" s="2"/>
    </row>
    <row r="906" spans="1:9" ht="15.6">
      <c r="A906" s="2"/>
      <c r="B906" s="2"/>
      <c r="C906" s="2"/>
      <c r="D906" s="2"/>
      <c r="E906" s="3"/>
      <c r="F906" s="2"/>
      <c r="G906" s="2"/>
      <c r="H906" s="2"/>
      <c r="I906" s="2"/>
    </row>
    <row r="907" spans="1:9" ht="15.6">
      <c r="A907" s="2"/>
      <c r="B907" s="2"/>
      <c r="C907" s="2"/>
      <c r="D907" s="2"/>
      <c r="E907" s="3"/>
      <c r="F907" s="2"/>
      <c r="G907" s="2"/>
      <c r="H907" s="2"/>
      <c r="I907" s="2"/>
    </row>
    <row r="908" spans="1:9" ht="15.6">
      <c r="A908" s="2"/>
      <c r="B908" s="2"/>
      <c r="C908" s="2"/>
      <c r="D908" s="2"/>
      <c r="E908" s="3"/>
      <c r="F908" s="2"/>
      <c r="G908" s="2"/>
      <c r="H908" s="2"/>
      <c r="I908" s="2"/>
    </row>
    <row r="909" spans="1:9" ht="15.6">
      <c r="A909" s="2"/>
      <c r="B909" s="2"/>
      <c r="C909" s="2"/>
      <c r="D909" s="2"/>
      <c r="E909" s="3"/>
      <c r="F909" s="2"/>
      <c r="G909" s="2"/>
      <c r="H909" s="2"/>
      <c r="I909" s="2"/>
    </row>
    <row r="910" spans="1:9" ht="15.6">
      <c r="A910" s="2"/>
      <c r="B910" s="2"/>
      <c r="C910" s="2"/>
      <c r="D910" s="2"/>
      <c r="E910" s="3"/>
      <c r="F910" s="2"/>
      <c r="G910" s="2"/>
      <c r="H910" s="2"/>
      <c r="I910" s="2"/>
    </row>
    <row r="911" spans="1:9" ht="15.6">
      <c r="A911" s="2"/>
      <c r="B911" s="2"/>
      <c r="C911" s="2"/>
      <c r="D911" s="2"/>
      <c r="E911" s="3"/>
      <c r="F911" s="2"/>
      <c r="G911" s="2"/>
      <c r="H911" s="2"/>
      <c r="I911" s="2"/>
    </row>
    <row r="912" spans="1:9" ht="15.6">
      <c r="A912" s="2"/>
      <c r="B912" s="2"/>
      <c r="C912" s="2"/>
      <c r="D912" s="2"/>
      <c r="E912" s="3"/>
      <c r="F912" s="2"/>
      <c r="G912" s="2"/>
      <c r="H912" s="2"/>
      <c r="I912" s="2"/>
    </row>
    <row r="913" spans="1:9" ht="15.6">
      <c r="A913" s="2"/>
      <c r="B913" s="2"/>
      <c r="C913" s="2"/>
      <c r="D913" s="2"/>
      <c r="E913" s="3"/>
      <c r="F913" s="2"/>
      <c r="G913" s="2"/>
      <c r="H913" s="2"/>
      <c r="I913" s="2"/>
    </row>
    <row r="914" spans="1:9" ht="15.6">
      <c r="A914" s="2"/>
      <c r="B914" s="2"/>
      <c r="C914" s="2"/>
      <c r="D914" s="2"/>
      <c r="E914" s="3"/>
      <c r="F914" s="2"/>
      <c r="G914" s="2"/>
      <c r="H914" s="2"/>
      <c r="I914" s="2"/>
    </row>
  </sheetData>
  <mergeCells count="6">
    <mergeCell ref="A8:B8"/>
    <mergeCell ref="A9:B9"/>
    <mergeCell ref="A10:B10"/>
    <mergeCell ref="A7:B7"/>
    <mergeCell ref="H3:I3"/>
    <mergeCell ref="A6:B6"/>
  </mergeCells>
  <phoneticPr fontId="13" type="noConversion"/>
  <conditionalFormatting sqref="F10">
    <cfRule type="cellIs" dxfId="16" priority="266" stopIfTrue="1" operator="equal">
      <formula>"진행"</formula>
    </cfRule>
    <cfRule type="cellIs" dxfId="15" priority="267" stopIfTrue="1" operator="equal">
      <formula>"완료"</formula>
    </cfRule>
    <cfRule type="cellIs" dxfId="14" priority="268" stopIfTrue="1" operator="equal">
      <formula>"진행"</formula>
    </cfRule>
    <cfRule type="cellIs" dxfId="13" priority="269" stopIfTrue="1" operator="equal">
      <formula>"지연"</formula>
    </cfRule>
  </conditionalFormatting>
  <conditionalFormatting sqref="F7:G9">
    <cfRule type="cellIs" dxfId="12" priority="2" stopIfTrue="1" operator="equal">
      <formula>"완료"</formula>
    </cfRule>
    <cfRule type="cellIs" dxfId="11" priority="3" stopIfTrue="1" operator="equal">
      <formula>"지연"</formula>
    </cfRule>
  </conditionalFormatting>
  <conditionalFormatting sqref="F7:G11">
    <cfRule type="cellIs" dxfId="10" priority="1" stopIfTrue="1" operator="equal">
      <formula>"진행"</formula>
    </cfRule>
  </conditionalFormatting>
  <conditionalFormatting sqref="F9:G9">
    <cfRule type="cellIs" dxfId="9" priority="4" stopIfTrue="1" operator="equal">
      <formula>"진행"</formula>
    </cfRule>
    <cfRule type="cellIs" dxfId="8" priority="6" stopIfTrue="1" operator="equal">
      <formula>"지연"</formula>
    </cfRule>
  </conditionalFormatting>
  <conditionalFormatting sqref="F9:G11">
    <cfRule type="cellIs" dxfId="7" priority="5" stopIfTrue="1" operator="equal">
      <formula>"완료"</formula>
    </cfRule>
  </conditionalFormatting>
  <conditionalFormatting sqref="F10:G10">
    <cfRule type="cellIs" dxfId="6" priority="11" stopIfTrue="1" operator="equal">
      <formula>"진행"</formula>
    </cfRule>
  </conditionalFormatting>
  <conditionalFormatting sqref="F10:G11">
    <cfRule type="cellIs" dxfId="5" priority="12" stopIfTrue="1" operator="equal">
      <formula>"지연"</formula>
    </cfRule>
  </conditionalFormatting>
  <conditionalFormatting sqref="G10">
    <cfRule type="cellIs" dxfId="4" priority="7" stopIfTrue="1" operator="equal">
      <formula>"진행"</formula>
    </cfRule>
    <cfRule type="cellIs" dxfId="3" priority="8" stopIfTrue="1" operator="equal">
      <formula>"지연"</formula>
    </cfRule>
    <cfRule type="cellIs" dxfId="2" priority="9" stopIfTrue="1" operator="equal">
      <formula>"진행"</formula>
    </cfRule>
    <cfRule type="cellIs" dxfId="1" priority="10" stopIfTrue="1" operator="equal">
      <formula>"완료"</formula>
    </cfRule>
  </conditionalFormatting>
  <conditionalFormatting sqref="I11">
    <cfRule type="cellIs" dxfId="0" priority="96" stopIfTrue="1" operator="lessThan">
      <formula>H11</formula>
    </cfRule>
  </conditionalFormatting>
  <printOptions horizontalCentered="1"/>
  <pageMargins left="0.35433070866141736" right="0.35433070866141736" top="0.59055118110236227" bottom="0.3937007874015748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D12C-1E47-4D18-AF78-C5A181B3D144}">
  <sheetPr>
    <pageSetUpPr fitToPage="1"/>
  </sheetPr>
  <dimension ref="B1:V95"/>
  <sheetViews>
    <sheetView showGridLines="0" zoomScale="90" zoomScaleNormal="90" workbookViewId="0">
      <pane xSplit="11" ySplit="5" topLeftCell="L14" activePane="bottomRight" state="frozen"/>
      <selection activeCell="H14" sqref="H14"/>
      <selection pane="topRight" activeCell="H14" sqref="H14"/>
      <selection pane="bottomLeft" activeCell="H14" sqref="H14"/>
      <selection pane="bottomRight" activeCell="O7" sqref="O7"/>
    </sheetView>
  </sheetViews>
  <sheetFormatPr defaultColWidth="8" defaultRowHeight="17.399999999999999"/>
  <cols>
    <col min="1" max="1" width="0.59765625" style="23" customWidth="1"/>
    <col min="2" max="2" width="3.69921875" style="23" customWidth="1"/>
    <col min="3" max="3" width="5.3984375" style="23" customWidth="1"/>
    <col min="4" max="4" width="11.69921875" style="41" bestFit="1" customWidth="1"/>
    <col min="5" max="5" width="8.19921875" style="61" hidden="1" customWidth="1"/>
    <col min="6" max="6" width="29.59765625" style="43" customWidth="1"/>
    <col min="7" max="7" width="3.69921875" style="23" hidden="1" customWidth="1"/>
    <col min="8" max="8" width="5.69921875" style="23" customWidth="1"/>
    <col min="9" max="10" width="11.09765625" style="23" bestFit="1" customWidth="1"/>
    <col min="11" max="11" width="6.19921875" style="23" customWidth="1"/>
    <col min="12" max="12" width="8.69921875" style="23" customWidth="1"/>
    <col min="13" max="13" width="9.09765625" style="23" customWidth="1"/>
    <col min="14" max="14" width="9.3984375" style="23" customWidth="1"/>
    <col min="15" max="22" width="10.3984375" style="23" customWidth="1"/>
    <col min="23" max="16384" width="8" style="23"/>
  </cols>
  <sheetData>
    <row r="1" spans="2:22" ht="33" customHeight="1">
      <c r="B1" s="21" t="s">
        <v>200</v>
      </c>
      <c r="C1" s="21"/>
      <c r="D1" s="21"/>
      <c r="E1" s="59"/>
      <c r="F1" s="21"/>
      <c r="G1" s="89"/>
      <c r="H1" s="21"/>
      <c r="I1" s="21"/>
      <c r="J1" s="22"/>
      <c r="K1" s="22"/>
    </row>
    <row r="2" spans="2:22" ht="19.5" customHeight="1">
      <c r="B2" s="24"/>
      <c r="C2" s="24"/>
      <c r="D2" s="40"/>
      <c r="E2" s="60"/>
      <c r="F2" s="42"/>
      <c r="G2" s="90"/>
      <c r="H2" s="22"/>
      <c r="I2" s="22"/>
      <c r="J2" s="22"/>
      <c r="K2" s="22"/>
    </row>
    <row r="3" spans="2:22" ht="13.5" customHeight="1" thickBot="1">
      <c r="B3" s="21"/>
      <c r="C3" s="21"/>
      <c r="D3" s="39"/>
      <c r="E3" s="60"/>
      <c r="F3" s="42"/>
      <c r="G3" s="90"/>
      <c r="H3" s="22"/>
      <c r="I3" s="22"/>
      <c r="J3" s="22"/>
      <c r="K3" s="22"/>
    </row>
    <row r="4" spans="2:22" s="30" customFormat="1" ht="24" customHeight="1">
      <c r="B4" s="121" t="s">
        <v>20</v>
      </c>
      <c r="C4" s="118" t="s">
        <v>21</v>
      </c>
      <c r="D4" s="116" t="s">
        <v>22</v>
      </c>
      <c r="E4" s="115" t="s">
        <v>23</v>
      </c>
      <c r="F4" s="115"/>
      <c r="G4" s="98" t="s">
        <v>198</v>
      </c>
      <c r="H4" s="123" t="s">
        <v>24</v>
      </c>
      <c r="I4" s="115" t="s">
        <v>25</v>
      </c>
      <c r="J4" s="115"/>
      <c r="K4" s="118" t="s">
        <v>26</v>
      </c>
      <c r="L4" s="82" t="s">
        <v>141</v>
      </c>
      <c r="M4" s="101" t="s">
        <v>142</v>
      </c>
      <c r="N4" s="101"/>
      <c r="O4" s="101" t="s">
        <v>143</v>
      </c>
      <c r="P4" s="101"/>
      <c r="Q4" s="101" t="s">
        <v>144</v>
      </c>
      <c r="R4" s="101"/>
      <c r="S4" s="101" t="s">
        <v>145</v>
      </c>
      <c r="T4" s="101"/>
      <c r="U4" s="101" t="s">
        <v>146</v>
      </c>
      <c r="V4" s="102"/>
    </row>
    <row r="5" spans="2:22" s="30" customFormat="1" ht="22.5" customHeight="1" thickBot="1">
      <c r="B5" s="122"/>
      <c r="C5" s="119"/>
      <c r="D5" s="117"/>
      <c r="E5" s="120"/>
      <c r="F5" s="120"/>
      <c r="G5" s="99"/>
      <c r="H5" s="124"/>
      <c r="I5" s="75" t="s">
        <v>27</v>
      </c>
      <c r="J5" s="75" t="s">
        <v>28</v>
      </c>
      <c r="K5" s="119"/>
      <c r="L5" s="80" t="s">
        <v>29</v>
      </c>
      <c r="M5" s="81" t="s">
        <v>199</v>
      </c>
      <c r="N5" s="80" t="s">
        <v>29</v>
      </c>
      <c r="O5" s="80" t="s">
        <v>30</v>
      </c>
      <c r="P5" s="80" t="s">
        <v>31</v>
      </c>
      <c r="Q5" s="80" t="s">
        <v>30</v>
      </c>
      <c r="R5" s="80" t="s">
        <v>32</v>
      </c>
      <c r="S5" s="80" t="s">
        <v>30</v>
      </c>
      <c r="T5" s="80" t="s">
        <v>33</v>
      </c>
      <c r="U5" s="80" t="s">
        <v>30</v>
      </c>
      <c r="V5" s="83" t="s">
        <v>33</v>
      </c>
    </row>
    <row r="6" spans="2:22" s="26" customFormat="1">
      <c r="B6" s="125">
        <v>1</v>
      </c>
      <c r="C6" s="95" t="s">
        <v>34</v>
      </c>
      <c r="D6" s="95"/>
      <c r="E6" s="95" t="s">
        <v>35</v>
      </c>
      <c r="F6" s="95"/>
      <c r="G6" s="95">
        <v>10</v>
      </c>
      <c r="H6" s="126">
        <v>0</v>
      </c>
      <c r="I6" s="88">
        <v>45915</v>
      </c>
      <c r="J6" s="88">
        <v>45925</v>
      </c>
      <c r="K6" s="32" t="s">
        <v>36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67"/>
    </row>
    <row r="7" spans="2:22" s="26" customFormat="1">
      <c r="B7" s="106"/>
      <c r="C7" s="96"/>
      <c r="D7" s="96"/>
      <c r="E7" s="96"/>
      <c r="F7" s="96"/>
      <c r="G7" s="96"/>
      <c r="H7" s="127"/>
      <c r="I7" s="87"/>
      <c r="J7" s="87"/>
      <c r="K7" s="27" t="s">
        <v>37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68"/>
    </row>
    <row r="8" spans="2:22" s="26" customFormat="1">
      <c r="B8" s="106">
        <v>2</v>
      </c>
      <c r="C8" s="96"/>
      <c r="D8" s="96"/>
      <c r="E8" s="96" t="s">
        <v>38</v>
      </c>
      <c r="F8" s="96"/>
      <c r="G8" s="96">
        <v>15</v>
      </c>
      <c r="H8" s="127">
        <v>0</v>
      </c>
      <c r="I8" s="86">
        <v>45929</v>
      </c>
      <c r="J8" s="86">
        <f>WBS!I8</f>
        <v>45945</v>
      </c>
      <c r="K8" s="25" t="s">
        <v>36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69"/>
    </row>
    <row r="9" spans="2:22" s="26" customFormat="1" ht="18" thickBot="1">
      <c r="B9" s="128"/>
      <c r="C9" s="97"/>
      <c r="D9" s="97"/>
      <c r="E9" s="97"/>
      <c r="F9" s="97"/>
      <c r="G9" s="97"/>
      <c r="H9" s="129"/>
      <c r="I9" s="70"/>
      <c r="J9" s="70"/>
      <c r="K9" s="34" t="s">
        <v>37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1"/>
    </row>
    <row r="10" spans="2:22" s="26" customFormat="1" ht="17.399999999999999" customHeight="1">
      <c r="B10" s="130">
        <v>4</v>
      </c>
      <c r="C10" s="133" t="s">
        <v>39</v>
      </c>
      <c r="D10" s="136" t="s">
        <v>154</v>
      </c>
      <c r="E10" s="105" t="s">
        <v>190</v>
      </c>
      <c r="F10" s="131" t="s">
        <v>105</v>
      </c>
      <c r="G10" s="76">
        <v>8</v>
      </c>
      <c r="H10" s="132">
        <v>0</v>
      </c>
      <c r="I10" s="63">
        <v>45929</v>
      </c>
      <c r="J10" s="63">
        <v>45944</v>
      </c>
      <c r="K10" s="64" t="s">
        <v>36</v>
      </c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84"/>
    </row>
    <row r="11" spans="2:22" s="26" customFormat="1">
      <c r="B11" s="106"/>
      <c r="C11" s="134"/>
      <c r="D11" s="107"/>
      <c r="E11" s="100"/>
      <c r="F11" s="108"/>
      <c r="G11" s="77"/>
      <c r="H11" s="110"/>
      <c r="I11" s="35"/>
      <c r="J11" s="35"/>
      <c r="K11" s="27" t="s">
        <v>37</v>
      </c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68"/>
    </row>
    <row r="12" spans="2:22" s="26" customFormat="1">
      <c r="B12" s="106">
        <v>5</v>
      </c>
      <c r="C12" s="134"/>
      <c r="D12" s="107" t="s">
        <v>40</v>
      </c>
      <c r="E12" s="100" t="s">
        <v>190</v>
      </c>
      <c r="F12" s="108" t="s">
        <v>106</v>
      </c>
      <c r="G12" s="78">
        <v>3</v>
      </c>
      <c r="H12" s="109">
        <v>0</v>
      </c>
      <c r="I12" s="13">
        <v>45931</v>
      </c>
      <c r="J12" s="13">
        <v>45933</v>
      </c>
      <c r="K12" s="25" t="s">
        <v>36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69"/>
    </row>
    <row r="13" spans="2:22" s="26" customFormat="1">
      <c r="B13" s="106"/>
      <c r="C13" s="134"/>
      <c r="D13" s="107"/>
      <c r="E13" s="100"/>
      <c r="F13" s="108"/>
      <c r="G13" s="78"/>
      <c r="H13" s="110"/>
      <c r="I13" s="35"/>
      <c r="J13" s="35"/>
      <c r="K13" s="27" t="s">
        <v>37</v>
      </c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68"/>
    </row>
    <row r="14" spans="2:22" s="26" customFormat="1">
      <c r="B14" s="106">
        <v>6</v>
      </c>
      <c r="C14" s="134"/>
      <c r="D14" s="107" t="s">
        <v>41</v>
      </c>
      <c r="E14" s="100" t="s">
        <v>190</v>
      </c>
      <c r="F14" s="108" t="s">
        <v>107</v>
      </c>
      <c r="G14" s="78">
        <v>2</v>
      </c>
      <c r="H14" s="109">
        <v>0</v>
      </c>
      <c r="I14" s="13">
        <v>45943</v>
      </c>
      <c r="J14" s="13">
        <v>45944</v>
      </c>
      <c r="K14" s="25" t="s">
        <v>36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69"/>
    </row>
    <row r="15" spans="2:22" s="26" customFormat="1">
      <c r="B15" s="106"/>
      <c r="C15" s="134"/>
      <c r="D15" s="107"/>
      <c r="E15" s="100"/>
      <c r="F15" s="108"/>
      <c r="G15" s="78"/>
      <c r="H15" s="110"/>
      <c r="I15" s="35"/>
      <c r="J15" s="35"/>
      <c r="K15" s="27" t="s">
        <v>37</v>
      </c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68"/>
    </row>
    <row r="16" spans="2:22" s="26" customFormat="1">
      <c r="B16" s="106">
        <v>7</v>
      </c>
      <c r="C16" s="134"/>
      <c r="D16" s="107" t="s">
        <v>42</v>
      </c>
      <c r="E16" s="100" t="s">
        <v>190</v>
      </c>
      <c r="F16" s="108" t="s">
        <v>108</v>
      </c>
      <c r="G16" s="78">
        <v>4</v>
      </c>
      <c r="H16" s="109">
        <v>0</v>
      </c>
      <c r="I16" s="13">
        <v>45944</v>
      </c>
      <c r="J16" s="13">
        <v>45947</v>
      </c>
      <c r="K16" s="25" t="s">
        <v>36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69"/>
    </row>
    <row r="17" spans="2:22" s="26" customFormat="1">
      <c r="B17" s="106"/>
      <c r="C17" s="134"/>
      <c r="D17" s="107"/>
      <c r="E17" s="100"/>
      <c r="F17" s="108"/>
      <c r="G17" s="78"/>
      <c r="H17" s="110"/>
      <c r="I17" s="35"/>
      <c r="J17" s="35"/>
      <c r="K17" s="27" t="s">
        <v>37</v>
      </c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68"/>
    </row>
    <row r="18" spans="2:22" s="26" customFormat="1">
      <c r="B18" s="106">
        <v>9</v>
      </c>
      <c r="C18" s="134"/>
      <c r="D18" s="107" t="s">
        <v>43</v>
      </c>
      <c r="E18" s="100" t="s">
        <v>190</v>
      </c>
      <c r="F18" s="108" t="s">
        <v>109</v>
      </c>
      <c r="G18" s="78">
        <v>4</v>
      </c>
      <c r="H18" s="109">
        <v>0</v>
      </c>
      <c r="I18" s="13">
        <v>45944</v>
      </c>
      <c r="J18" s="13">
        <v>45947</v>
      </c>
      <c r="K18" s="25" t="s">
        <v>36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69"/>
    </row>
    <row r="19" spans="2:22" s="26" customFormat="1">
      <c r="B19" s="106"/>
      <c r="C19" s="134"/>
      <c r="D19" s="107"/>
      <c r="E19" s="100"/>
      <c r="F19" s="108"/>
      <c r="G19" s="78"/>
      <c r="H19" s="110"/>
      <c r="I19" s="35"/>
      <c r="J19" s="35"/>
      <c r="K19" s="27" t="s">
        <v>37</v>
      </c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68"/>
    </row>
    <row r="20" spans="2:22" s="26" customFormat="1" ht="17.399999999999999" customHeight="1">
      <c r="B20" s="106">
        <v>10</v>
      </c>
      <c r="C20" s="134"/>
      <c r="D20" s="107" t="s">
        <v>44</v>
      </c>
      <c r="E20" s="100" t="s">
        <v>190</v>
      </c>
      <c r="F20" s="108" t="s">
        <v>125</v>
      </c>
      <c r="G20" s="78">
        <v>5</v>
      </c>
      <c r="H20" s="113">
        <v>0</v>
      </c>
      <c r="I20" s="13">
        <v>45950</v>
      </c>
      <c r="J20" s="13">
        <v>45954</v>
      </c>
      <c r="K20" s="25" t="s">
        <v>36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69"/>
    </row>
    <row r="21" spans="2:22" s="26" customFormat="1">
      <c r="B21" s="106"/>
      <c r="C21" s="134"/>
      <c r="D21" s="107"/>
      <c r="E21" s="100"/>
      <c r="F21" s="108"/>
      <c r="G21" s="78"/>
      <c r="H21" s="114"/>
      <c r="I21" s="35"/>
      <c r="J21" s="35"/>
      <c r="K21" s="27" t="s">
        <v>37</v>
      </c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68"/>
    </row>
    <row r="22" spans="2:22" s="26" customFormat="1">
      <c r="B22" s="106">
        <v>11</v>
      </c>
      <c r="C22" s="134"/>
      <c r="D22" s="107" t="s">
        <v>45</v>
      </c>
      <c r="E22" s="100" t="s">
        <v>190</v>
      </c>
      <c r="F22" s="108" t="s">
        <v>110</v>
      </c>
      <c r="G22" s="78">
        <v>9</v>
      </c>
      <c r="H22" s="113">
        <v>0</v>
      </c>
      <c r="I22" s="13">
        <v>45950</v>
      </c>
      <c r="J22" s="13">
        <v>45960</v>
      </c>
      <c r="K22" s="25" t="s">
        <v>36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69"/>
    </row>
    <row r="23" spans="2:22" s="26" customFormat="1">
      <c r="B23" s="106"/>
      <c r="C23" s="134"/>
      <c r="D23" s="107"/>
      <c r="E23" s="100"/>
      <c r="F23" s="108"/>
      <c r="G23" s="78"/>
      <c r="H23" s="114"/>
      <c r="I23" s="35"/>
      <c r="J23" s="35"/>
      <c r="K23" s="27" t="s">
        <v>37</v>
      </c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68"/>
    </row>
    <row r="24" spans="2:22" s="26" customFormat="1">
      <c r="B24" s="106">
        <v>33</v>
      </c>
      <c r="C24" s="134"/>
      <c r="D24" s="107" t="s">
        <v>46</v>
      </c>
      <c r="E24" s="100" t="s">
        <v>190</v>
      </c>
      <c r="F24" s="108" t="s">
        <v>129</v>
      </c>
      <c r="G24" s="78">
        <v>3</v>
      </c>
      <c r="H24" s="113">
        <v>0</v>
      </c>
      <c r="I24" s="13">
        <v>45957</v>
      </c>
      <c r="J24" s="13">
        <v>45959</v>
      </c>
      <c r="K24" s="25" t="s">
        <v>36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69"/>
    </row>
    <row r="25" spans="2:22" s="26" customFormat="1">
      <c r="B25" s="106"/>
      <c r="C25" s="134"/>
      <c r="D25" s="107"/>
      <c r="E25" s="100"/>
      <c r="F25" s="108"/>
      <c r="G25" s="78"/>
      <c r="H25" s="114"/>
      <c r="I25" s="35"/>
      <c r="J25" s="35"/>
      <c r="K25" s="27" t="s">
        <v>37</v>
      </c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68"/>
    </row>
    <row r="26" spans="2:22" s="26" customFormat="1">
      <c r="B26" s="106">
        <v>34</v>
      </c>
      <c r="C26" s="134"/>
      <c r="D26" s="107" t="s">
        <v>47</v>
      </c>
      <c r="E26" s="100" t="s">
        <v>190</v>
      </c>
      <c r="F26" s="108" t="s">
        <v>132</v>
      </c>
      <c r="G26" s="78">
        <v>5</v>
      </c>
      <c r="H26" s="109">
        <v>0</v>
      </c>
      <c r="I26" s="13">
        <v>45960</v>
      </c>
      <c r="J26" s="13">
        <v>45966</v>
      </c>
      <c r="K26" s="25" t="s">
        <v>36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69"/>
    </row>
    <row r="27" spans="2:22" s="26" customFormat="1">
      <c r="B27" s="106"/>
      <c r="C27" s="134"/>
      <c r="D27" s="107"/>
      <c r="E27" s="100"/>
      <c r="F27" s="108"/>
      <c r="G27" s="78"/>
      <c r="H27" s="110"/>
      <c r="I27" s="35"/>
      <c r="J27" s="35"/>
      <c r="K27" s="27" t="s">
        <v>37</v>
      </c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68"/>
    </row>
    <row r="28" spans="2:22" s="26" customFormat="1">
      <c r="B28" s="106">
        <v>35</v>
      </c>
      <c r="C28" s="134"/>
      <c r="D28" s="107" t="s">
        <v>48</v>
      </c>
      <c r="E28" s="100" t="s">
        <v>190</v>
      </c>
      <c r="F28" s="108" t="s">
        <v>140</v>
      </c>
      <c r="G28" s="78">
        <v>5</v>
      </c>
      <c r="H28" s="109">
        <v>0</v>
      </c>
      <c r="I28" s="13">
        <v>45961</v>
      </c>
      <c r="J28" s="13">
        <v>45967</v>
      </c>
      <c r="K28" s="25" t="s">
        <v>36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69"/>
    </row>
    <row r="29" spans="2:22" s="26" customFormat="1">
      <c r="B29" s="106"/>
      <c r="C29" s="134"/>
      <c r="D29" s="107"/>
      <c r="E29" s="100"/>
      <c r="F29" s="108"/>
      <c r="G29" s="78"/>
      <c r="H29" s="110"/>
      <c r="I29" s="35"/>
      <c r="J29" s="35"/>
      <c r="K29" s="27" t="s">
        <v>37</v>
      </c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68"/>
    </row>
    <row r="30" spans="2:22" s="26" customFormat="1">
      <c r="B30" s="106">
        <v>35</v>
      </c>
      <c r="C30" s="134"/>
      <c r="D30" s="107" t="s">
        <v>49</v>
      </c>
      <c r="E30" s="100" t="s">
        <v>190</v>
      </c>
      <c r="F30" s="108" t="s">
        <v>139</v>
      </c>
      <c r="G30" s="78">
        <v>10</v>
      </c>
      <c r="H30" s="109">
        <v>0</v>
      </c>
      <c r="I30" s="13">
        <v>45967</v>
      </c>
      <c r="J30" s="13">
        <v>45980</v>
      </c>
      <c r="K30" s="25" t="s">
        <v>36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69"/>
    </row>
    <row r="31" spans="2:22" s="26" customFormat="1">
      <c r="B31" s="106"/>
      <c r="C31" s="134"/>
      <c r="D31" s="107"/>
      <c r="E31" s="100"/>
      <c r="F31" s="108"/>
      <c r="G31" s="78"/>
      <c r="H31" s="110"/>
      <c r="I31" s="35"/>
      <c r="J31" s="35"/>
      <c r="K31" s="27" t="s">
        <v>37</v>
      </c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68"/>
    </row>
    <row r="32" spans="2:22" s="26" customFormat="1">
      <c r="B32" s="106">
        <v>36</v>
      </c>
      <c r="C32" s="134"/>
      <c r="D32" s="107" t="s">
        <v>50</v>
      </c>
      <c r="E32" s="100" t="s">
        <v>190</v>
      </c>
      <c r="F32" s="108" t="s">
        <v>138</v>
      </c>
      <c r="G32" s="78">
        <v>3</v>
      </c>
      <c r="H32" s="113">
        <v>0</v>
      </c>
      <c r="I32" s="13">
        <v>45968</v>
      </c>
      <c r="J32" s="13">
        <v>45972</v>
      </c>
      <c r="K32" s="25" t="s">
        <v>36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69"/>
    </row>
    <row r="33" spans="2:22" s="26" customFormat="1">
      <c r="B33" s="106"/>
      <c r="C33" s="134"/>
      <c r="D33" s="107"/>
      <c r="E33" s="100"/>
      <c r="F33" s="108"/>
      <c r="G33" s="78"/>
      <c r="H33" s="114"/>
      <c r="I33" s="35"/>
      <c r="J33" s="35"/>
      <c r="K33" s="27" t="s">
        <v>37</v>
      </c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68"/>
    </row>
    <row r="34" spans="2:22" s="26" customFormat="1">
      <c r="B34" s="106">
        <v>12</v>
      </c>
      <c r="C34" s="134"/>
      <c r="D34" s="107" t="s">
        <v>51</v>
      </c>
      <c r="E34" s="100" t="s">
        <v>178</v>
      </c>
      <c r="F34" s="108" t="s">
        <v>111</v>
      </c>
      <c r="G34" s="78">
        <v>2</v>
      </c>
      <c r="H34" s="113">
        <v>0</v>
      </c>
      <c r="I34" s="13">
        <v>45973</v>
      </c>
      <c r="J34" s="13">
        <v>45974</v>
      </c>
      <c r="K34" s="25" t="s">
        <v>36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69"/>
    </row>
    <row r="35" spans="2:22" s="26" customFormat="1">
      <c r="B35" s="106"/>
      <c r="C35" s="134"/>
      <c r="D35" s="107"/>
      <c r="E35" s="100"/>
      <c r="F35" s="108"/>
      <c r="G35" s="78"/>
      <c r="H35" s="114"/>
      <c r="I35" s="35"/>
      <c r="J35" s="35"/>
      <c r="K35" s="27" t="s">
        <v>37</v>
      </c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68"/>
    </row>
    <row r="36" spans="2:22" s="26" customFormat="1">
      <c r="B36" s="106">
        <v>13</v>
      </c>
      <c r="C36" s="134"/>
      <c r="D36" s="107" t="s">
        <v>147</v>
      </c>
      <c r="E36" s="100" t="s">
        <v>178</v>
      </c>
      <c r="F36" s="108" t="s">
        <v>112</v>
      </c>
      <c r="G36" s="78">
        <v>4</v>
      </c>
      <c r="H36" s="113">
        <v>0</v>
      </c>
      <c r="I36" s="13">
        <v>45975</v>
      </c>
      <c r="J36" s="13">
        <v>45980</v>
      </c>
      <c r="K36" s="25" t="s">
        <v>36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69"/>
    </row>
    <row r="37" spans="2:22" s="26" customFormat="1">
      <c r="B37" s="106"/>
      <c r="C37" s="134"/>
      <c r="D37" s="107"/>
      <c r="E37" s="100"/>
      <c r="F37" s="108"/>
      <c r="G37" s="78"/>
      <c r="H37" s="114"/>
      <c r="I37" s="35"/>
      <c r="J37" s="35"/>
      <c r="K37" s="27" t="s">
        <v>37</v>
      </c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68"/>
    </row>
    <row r="38" spans="2:22" s="26" customFormat="1">
      <c r="B38" s="106">
        <v>29</v>
      </c>
      <c r="C38" s="134"/>
      <c r="D38" s="107" t="s">
        <v>148</v>
      </c>
      <c r="E38" s="100" t="s">
        <v>196</v>
      </c>
      <c r="F38" s="108" t="s">
        <v>174</v>
      </c>
      <c r="G38" s="78">
        <v>5</v>
      </c>
      <c r="H38" s="109">
        <v>0</v>
      </c>
      <c r="I38" s="13">
        <v>45981</v>
      </c>
      <c r="J38" s="13">
        <v>45987</v>
      </c>
      <c r="K38" s="25" t="s">
        <v>36</v>
      </c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69"/>
    </row>
    <row r="39" spans="2:22" s="26" customFormat="1">
      <c r="B39" s="106"/>
      <c r="C39" s="134"/>
      <c r="D39" s="107"/>
      <c r="E39" s="100"/>
      <c r="F39" s="108"/>
      <c r="G39" s="78"/>
      <c r="H39" s="110"/>
      <c r="I39" s="35"/>
      <c r="J39" s="35"/>
      <c r="K39" s="27" t="s">
        <v>37</v>
      </c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68"/>
    </row>
    <row r="40" spans="2:22" s="26" customFormat="1">
      <c r="B40" s="106">
        <v>30</v>
      </c>
      <c r="C40" s="134"/>
      <c r="D40" s="107" t="s">
        <v>149</v>
      </c>
      <c r="E40" s="100" t="s">
        <v>196</v>
      </c>
      <c r="F40" s="108" t="s">
        <v>173</v>
      </c>
      <c r="G40" s="78">
        <v>3</v>
      </c>
      <c r="H40" s="113">
        <v>0</v>
      </c>
      <c r="I40" s="13">
        <v>45981</v>
      </c>
      <c r="J40" s="13">
        <v>45985</v>
      </c>
      <c r="K40" s="25" t="s">
        <v>36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69"/>
    </row>
    <row r="41" spans="2:22" s="26" customFormat="1">
      <c r="B41" s="106"/>
      <c r="C41" s="134"/>
      <c r="D41" s="107"/>
      <c r="E41" s="100"/>
      <c r="F41" s="108"/>
      <c r="G41" s="78"/>
      <c r="H41" s="114"/>
      <c r="I41" s="35"/>
      <c r="J41" s="35"/>
      <c r="K41" s="27" t="s">
        <v>37</v>
      </c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68"/>
    </row>
    <row r="42" spans="2:22" s="26" customFormat="1">
      <c r="B42" s="106">
        <v>31</v>
      </c>
      <c r="C42" s="134"/>
      <c r="D42" s="107" t="s">
        <v>150</v>
      </c>
      <c r="E42" s="100" t="s">
        <v>196</v>
      </c>
      <c r="F42" s="108" t="s">
        <v>131</v>
      </c>
      <c r="G42" s="78">
        <v>3</v>
      </c>
      <c r="H42" s="113">
        <v>0</v>
      </c>
      <c r="I42" s="13">
        <v>45986</v>
      </c>
      <c r="J42" s="13">
        <v>45989</v>
      </c>
      <c r="K42" s="25" t="s">
        <v>36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69"/>
    </row>
    <row r="43" spans="2:22" s="26" customFormat="1">
      <c r="B43" s="106"/>
      <c r="C43" s="134"/>
      <c r="D43" s="107"/>
      <c r="E43" s="100"/>
      <c r="F43" s="108"/>
      <c r="G43" s="78"/>
      <c r="H43" s="114"/>
      <c r="I43" s="35"/>
      <c r="J43" s="35"/>
      <c r="K43" s="27" t="s">
        <v>37</v>
      </c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68"/>
    </row>
    <row r="44" spans="2:22" s="26" customFormat="1">
      <c r="B44" s="106">
        <v>32</v>
      </c>
      <c r="C44" s="134"/>
      <c r="D44" s="107" t="s">
        <v>151</v>
      </c>
      <c r="E44" s="100" t="s">
        <v>196</v>
      </c>
      <c r="F44" s="108" t="s">
        <v>130</v>
      </c>
      <c r="G44" s="78">
        <v>2</v>
      </c>
      <c r="H44" s="113">
        <v>0</v>
      </c>
      <c r="I44" s="13">
        <v>45988</v>
      </c>
      <c r="J44" s="13">
        <v>45989</v>
      </c>
      <c r="K44" s="25" t="s">
        <v>36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69"/>
    </row>
    <row r="45" spans="2:22" s="26" customFormat="1">
      <c r="B45" s="106"/>
      <c r="C45" s="134"/>
      <c r="D45" s="107"/>
      <c r="E45" s="100"/>
      <c r="F45" s="108"/>
      <c r="G45" s="78"/>
      <c r="H45" s="114"/>
      <c r="I45" s="35"/>
      <c r="J45" s="35"/>
      <c r="K45" s="27" t="s">
        <v>37</v>
      </c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68"/>
    </row>
    <row r="46" spans="2:22" s="26" customFormat="1">
      <c r="B46" s="106">
        <v>14</v>
      </c>
      <c r="C46" s="134"/>
      <c r="D46" s="107" t="s">
        <v>152</v>
      </c>
      <c r="E46" s="100" t="s">
        <v>179</v>
      </c>
      <c r="F46" s="108" t="s">
        <v>113</v>
      </c>
      <c r="G46" s="78">
        <v>5</v>
      </c>
      <c r="H46" s="109">
        <v>0</v>
      </c>
      <c r="I46" s="13">
        <v>45992</v>
      </c>
      <c r="J46" s="13">
        <v>45996</v>
      </c>
      <c r="K46" s="25" t="s">
        <v>36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69"/>
    </row>
    <row r="47" spans="2:22" s="26" customFormat="1">
      <c r="B47" s="106"/>
      <c r="C47" s="134"/>
      <c r="D47" s="107"/>
      <c r="E47" s="100"/>
      <c r="F47" s="108"/>
      <c r="G47" s="78"/>
      <c r="H47" s="110"/>
      <c r="I47" s="35"/>
      <c r="J47" s="35"/>
      <c r="K47" s="27" t="s">
        <v>37</v>
      </c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68"/>
    </row>
    <row r="48" spans="2:22" s="26" customFormat="1">
      <c r="B48" s="106">
        <v>15</v>
      </c>
      <c r="C48" s="134"/>
      <c r="D48" s="107" t="s">
        <v>153</v>
      </c>
      <c r="E48" s="100" t="s">
        <v>179</v>
      </c>
      <c r="F48" s="108" t="s">
        <v>114</v>
      </c>
      <c r="G48" s="78">
        <v>5</v>
      </c>
      <c r="H48" s="109">
        <v>0</v>
      </c>
      <c r="I48" s="13">
        <v>45999</v>
      </c>
      <c r="J48" s="13">
        <v>46003</v>
      </c>
      <c r="K48" s="25" t="s">
        <v>36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69"/>
    </row>
    <row r="49" spans="2:22" s="26" customFormat="1">
      <c r="B49" s="106"/>
      <c r="C49" s="134"/>
      <c r="D49" s="107"/>
      <c r="E49" s="100"/>
      <c r="F49" s="108"/>
      <c r="G49" s="78"/>
      <c r="H49" s="110"/>
      <c r="I49" s="35"/>
      <c r="J49" s="35"/>
      <c r="K49" s="27" t="s">
        <v>37</v>
      </c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68"/>
    </row>
    <row r="50" spans="2:22" s="26" customFormat="1">
      <c r="B50" s="106">
        <v>16</v>
      </c>
      <c r="C50" s="134"/>
      <c r="D50" s="107" t="s">
        <v>155</v>
      </c>
      <c r="E50" s="100" t="s">
        <v>191</v>
      </c>
      <c r="F50" s="108" t="s">
        <v>115</v>
      </c>
      <c r="G50" s="78">
        <v>5</v>
      </c>
      <c r="H50" s="109">
        <v>0</v>
      </c>
      <c r="I50" s="13">
        <v>45992</v>
      </c>
      <c r="J50" s="13">
        <v>45996</v>
      </c>
      <c r="K50" s="25" t="s">
        <v>36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69"/>
    </row>
    <row r="51" spans="2:22" s="26" customFormat="1">
      <c r="B51" s="106"/>
      <c r="C51" s="134"/>
      <c r="D51" s="107"/>
      <c r="E51" s="100"/>
      <c r="F51" s="108"/>
      <c r="G51" s="78"/>
      <c r="H51" s="110"/>
      <c r="I51" s="35"/>
      <c r="J51" s="35"/>
      <c r="K51" s="27" t="s">
        <v>37</v>
      </c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68"/>
    </row>
    <row r="52" spans="2:22" s="26" customFormat="1">
      <c r="B52" s="106">
        <v>17</v>
      </c>
      <c r="C52" s="134"/>
      <c r="D52" s="107" t="s">
        <v>156</v>
      </c>
      <c r="E52" s="100" t="s">
        <v>191</v>
      </c>
      <c r="F52" s="108" t="s">
        <v>116</v>
      </c>
      <c r="G52" s="78">
        <v>2</v>
      </c>
      <c r="H52" s="109">
        <v>0</v>
      </c>
      <c r="I52" s="13">
        <v>45999</v>
      </c>
      <c r="J52" s="13">
        <v>46000</v>
      </c>
      <c r="K52" s="25" t="s">
        <v>36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69"/>
    </row>
    <row r="53" spans="2:22" s="26" customFormat="1">
      <c r="B53" s="106"/>
      <c r="C53" s="134"/>
      <c r="D53" s="107"/>
      <c r="E53" s="100"/>
      <c r="F53" s="108"/>
      <c r="G53" s="78"/>
      <c r="H53" s="110"/>
      <c r="I53" s="35"/>
      <c r="J53" s="35"/>
      <c r="K53" s="27" t="s">
        <v>37</v>
      </c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68"/>
    </row>
    <row r="54" spans="2:22" s="26" customFormat="1">
      <c r="B54" s="106">
        <v>18</v>
      </c>
      <c r="C54" s="134"/>
      <c r="D54" s="107" t="s">
        <v>157</v>
      </c>
      <c r="E54" s="100" t="s">
        <v>191</v>
      </c>
      <c r="F54" s="108" t="s">
        <v>126</v>
      </c>
      <c r="G54" s="78">
        <v>5</v>
      </c>
      <c r="H54" s="109">
        <v>0</v>
      </c>
      <c r="I54" s="13">
        <v>46001</v>
      </c>
      <c r="J54" s="13">
        <v>46007</v>
      </c>
      <c r="K54" s="25" t="s">
        <v>36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69"/>
    </row>
    <row r="55" spans="2:22" s="26" customFormat="1">
      <c r="B55" s="106"/>
      <c r="C55" s="134"/>
      <c r="D55" s="107"/>
      <c r="E55" s="100"/>
      <c r="F55" s="108"/>
      <c r="G55" s="78"/>
      <c r="H55" s="110"/>
      <c r="I55" s="35"/>
      <c r="J55" s="35"/>
      <c r="K55" s="27" t="s">
        <v>37</v>
      </c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68"/>
    </row>
    <row r="56" spans="2:22" s="26" customFormat="1">
      <c r="B56" s="106">
        <v>19</v>
      </c>
      <c r="C56" s="134"/>
      <c r="D56" s="107" t="s">
        <v>158</v>
      </c>
      <c r="E56" s="100" t="s">
        <v>191</v>
      </c>
      <c r="F56" s="108" t="s">
        <v>117</v>
      </c>
      <c r="G56" s="78">
        <v>2</v>
      </c>
      <c r="H56" s="109">
        <v>0</v>
      </c>
      <c r="I56" s="13">
        <v>46006</v>
      </c>
      <c r="J56" s="13">
        <v>46007</v>
      </c>
      <c r="K56" s="25" t="s">
        <v>36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69"/>
    </row>
    <row r="57" spans="2:22" s="26" customFormat="1">
      <c r="B57" s="106"/>
      <c r="C57" s="134"/>
      <c r="D57" s="107"/>
      <c r="E57" s="100"/>
      <c r="F57" s="108"/>
      <c r="G57" s="78"/>
      <c r="H57" s="110"/>
      <c r="I57" s="35"/>
      <c r="J57" s="35"/>
      <c r="K57" s="27" t="s">
        <v>37</v>
      </c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68"/>
    </row>
    <row r="58" spans="2:22" s="26" customFormat="1" ht="17.399999999999999" customHeight="1">
      <c r="B58" s="106">
        <v>20</v>
      </c>
      <c r="C58" s="134"/>
      <c r="D58" s="107" t="s">
        <v>159</v>
      </c>
      <c r="E58" s="100" t="s">
        <v>192</v>
      </c>
      <c r="F58" s="108" t="s">
        <v>118</v>
      </c>
      <c r="G58" s="78">
        <v>2</v>
      </c>
      <c r="H58" s="113">
        <v>0</v>
      </c>
      <c r="I58" s="13">
        <v>46008</v>
      </c>
      <c r="J58" s="13">
        <v>46009</v>
      </c>
      <c r="K58" s="25" t="s">
        <v>36</v>
      </c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69"/>
    </row>
    <row r="59" spans="2:22" s="26" customFormat="1">
      <c r="B59" s="106"/>
      <c r="C59" s="134"/>
      <c r="D59" s="107"/>
      <c r="E59" s="100"/>
      <c r="F59" s="108"/>
      <c r="G59" s="78"/>
      <c r="H59" s="114"/>
      <c r="I59" s="35"/>
      <c r="J59" s="35"/>
      <c r="K59" s="27" t="s">
        <v>37</v>
      </c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68"/>
    </row>
    <row r="60" spans="2:22" s="26" customFormat="1">
      <c r="B60" s="106">
        <v>21</v>
      </c>
      <c r="C60" s="134"/>
      <c r="D60" s="107" t="s">
        <v>160</v>
      </c>
      <c r="E60" s="100" t="s">
        <v>192</v>
      </c>
      <c r="F60" s="108" t="s">
        <v>119</v>
      </c>
      <c r="G60" s="78">
        <v>2</v>
      </c>
      <c r="H60" s="113">
        <v>0</v>
      </c>
      <c r="I60" s="13">
        <v>46010</v>
      </c>
      <c r="J60" s="13">
        <v>46013</v>
      </c>
      <c r="K60" s="25" t="s">
        <v>36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69"/>
    </row>
    <row r="61" spans="2:22" s="26" customFormat="1">
      <c r="B61" s="106"/>
      <c r="C61" s="134"/>
      <c r="D61" s="107"/>
      <c r="E61" s="100"/>
      <c r="F61" s="108"/>
      <c r="G61" s="78"/>
      <c r="H61" s="114"/>
      <c r="I61" s="35"/>
      <c r="J61" s="35"/>
      <c r="K61" s="27" t="s">
        <v>37</v>
      </c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68"/>
    </row>
    <row r="62" spans="2:22" s="26" customFormat="1">
      <c r="B62" s="106">
        <v>22</v>
      </c>
      <c r="C62" s="134"/>
      <c r="D62" s="107" t="s">
        <v>161</v>
      </c>
      <c r="E62" s="100" t="s">
        <v>192</v>
      </c>
      <c r="F62" s="108" t="s">
        <v>120</v>
      </c>
      <c r="G62" s="78">
        <v>3</v>
      </c>
      <c r="H62" s="113">
        <v>0</v>
      </c>
      <c r="I62" s="13">
        <v>46014</v>
      </c>
      <c r="J62" s="13">
        <v>46017</v>
      </c>
      <c r="K62" s="25" t="s">
        <v>36</v>
      </c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69"/>
    </row>
    <row r="63" spans="2:22" s="26" customFormat="1">
      <c r="B63" s="106"/>
      <c r="C63" s="134"/>
      <c r="D63" s="107"/>
      <c r="E63" s="100"/>
      <c r="F63" s="108"/>
      <c r="G63" s="78"/>
      <c r="H63" s="114"/>
      <c r="I63" s="35"/>
      <c r="J63" s="35"/>
      <c r="K63" s="27" t="s">
        <v>37</v>
      </c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68"/>
    </row>
    <row r="64" spans="2:22" s="26" customFormat="1">
      <c r="B64" s="106">
        <v>37</v>
      </c>
      <c r="C64" s="134"/>
      <c r="D64" s="107" t="s">
        <v>162</v>
      </c>
      <c r="E64" s="100" t="s">
        <v>192</v>
      </c>
      <c r="F64" s="108" t="s">
        <v>137</v>
      </c>
      <c r="G64" s="78">
        <v>10</v>
      </c>
      <c r="H64" s="113">
        <v>0</v>
      </c>
      <c r="I64" s="13">
        <v>46008</v>
      </c>
      <c r="J64" s="13">
        <v>46022</v>
      </c>
      <c r="K64" s="25" t="s">
        <v>36</v>
      </c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69"/>
    </row>
    <row r="65" spans="2:22" s="26" customFormat="1">
      <c r="B65" s="106"/>
      <c r="C65" s="134"/>
      <c r="D65" s="107"/>
      <c r="E65" s="100"/>
      <c r="F65" s="108"/>
      <c r="G65" s="78"/>
      <c r="H65" s="114"/>
      <c r="I65" s="35"/>
      <c r="J65" s="35"/>
      <c r="K65" s="27" t="s">
        <v>37</v>
      </c>
      <c r="L65" s="35"/>
      <c r="M65" s="35"/>
      <c r="N65" s="35"/>
      <c r="O65" s="35"/>
      <c r="P65" s="35"/>
      <c r="Q65" s="35"/>
      <c r="R65" s="35"/>
      <c r="T65" s="35"/>
      <c r="U65" s="35"/>
      <c r="V65" s="68"/>
    </row>
    <row r="66" spans="2:22" s="26" customFormat="1">
      <c r="B66" s="106">
        <v>38</v>
      </c>
      <c r="C66" s="134"/>
      <c r="D66" s="107" t="s">
        <v>163</v>
      </c>
      <c r="E66" s="100" t="s">
        <v>192</v>
      </c>
      <c r="F66" s="108" t="s">
        <v>136</v>
      </c>
      <c r="G66" s="78">
        <v>6</v>
      </c>
      <c r="H66" s="113">
        <v>0</v>
      </c>
      <c r="I66" s="13">
        <v>46020</v>
      </c>
      <c r="J66" s="13">
        <v>46028</v>
      </c>
      <c r="K66" s="25" t="s">
        <v>36</v>
      </c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69"/>
    </row>
    <row r="67" spans="2:22" s="26" customFormat="1">
      <c r="B67" s="106"/>
      <c r="C67" s="134"/>
      <c r="D67" s="107"/>
      <c r="E67" s="100"/>
      <c r="F67" s="108"/>
      <c r="G67" s="78"/>
      <c r="H67" s="114"/>
      <c r="I67" s="35"/>
      <c r="J67" s="35"/>
      <c r="K67" s="27" t="s">
        <v>37</v>
      </c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68"/>
    </row>
    <row r="68" spans="2:22" s="26" customFormat="1">
      <c r="B68" s="106">
        <v>23</v>
      </c>
      <c r="C68" s="134"/>
      <c r="D68" s="107" t="s">
        <v>164</v>
      </c>
      <c r="E68" s="100" t="s">
        <v>193</v>
      </c>
      <c r="F68" s="108" t="s">
        <v>121</v>
      </c>
      <c r="G68" s="78">
        <v>1</v>
      </c>
      <c r="H68" s="113">
        <v>0</v>
      </c>
      <c r="I68" s="13">
        <v>46024</v>
      </c>
      <c r="J68" s="13">
        <v>46024</v>
      </c>
      <c r="K68" s="25" t="s">
        <v>36</v>
      </c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69"/>
    </row>
    <row r="69" spans="2:22" s="26" customFormat="1">
      <c r="B69" s="106"/>
      <c r="C69" s="134"/>
      <c r="D69" s="107"/>
      <c r="E69" s="100"/>
      <c r="F69" s="108"/>
      <c r="G69" s="78"/>
      <c r="H69" s="114"/>
      <c r="I69" s="35"/>
      <c r="J69" s="35"/>
      <c r="K69" s="27" t="s">
        <v>37</v>
      </c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68"/>
    </row>
    <row r="70" spans="2:22" s="26" customFormat="1">
      <c r="B70" s="106">
        <v>24</v>
      </c>
      <c r="C70" s="134"/>
      <c r="D70" s="107" t="s">
        <v>165</v>
      </c>
      <c r="E70" s="100" t="s">
        <v>193</v>
      </c>
      <c r="F70" s="108" t="s">
        <v>122</v>
      </c>
      <c r="G70" s="78">
        <v>3</v>
      </c>
      <c r="H70" s="109">
        <v>0</v>
      </c>
      <c r="I70" s="13">
        <v>46027</v>
      </c>
      <c r="J70" s="13">
        <v>46029</v>
      </c>
      <c r="K70" s="25" t="s">
        <v>36</v>
      </c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69"/>
    </row>
    <row r="71" spans="2:22" s="26" customFormat="1">
      <c r="B71" s="106"/>
      <c r="C71" s="134"/>
      <c r="D71" s="107"/>
      <c r="E71" s="100"/>
      <c r="F71" s="108"/>
      <c r="G71" s="78"/>
      <c r="H71" s="110"/>
      <c r="I71" s="35"/>
      <c r="J71" s="35"/>
      <c r="K71" s="27" t="s">
        <v>37</v>
      </c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68"/>
    </row>
    <row r="72" spans="2:22" s="26" customFormat="1">
      <c r="B72" s="106">
        <v>25</v>
      </c>
      <c r="C72" s="134"/>
      <c r="D72" s="107" t="s">
        <v>166</v>
      </c>
      <c r="E72" s="100" t="s">
        <v>193</v>
      </c>
      <c r="F72" s="108" t="s">
        <v>123</v>
      </c>
      <c r="G72" s="78">
        <v>3</v>
      </c>
      <c r="H72" s="109">
        <v>0</v>
      </c>
      <c r="I72" s="13">
        <v>46030</v>
      </c>
      <c r="J72" s="13">
        <v>46034</v>
      </c>
      <c r="K72" s="25" t="s">
        <v>36</v>
      </c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69"/>
    </row>
    <row r="73" spans="2:22" s="26" customFormat="1">
      <c r="B73" s="106"/>
      <c r="C73" s="134"/>
      <c r="D73" s="107"/>
      <c r="E73" s="100"/>
      <c r="F73" s="108"/>
      <c r="G73" s="78"/>
      <c r="H73" s="110"/>
      <c r="I73" s="35"/>
      <c r="J73" s="35"/>
      <c r="K73" s="27" t="s">
        <v>37</v>
      </c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68"/>
    </row>
    <row r="74" spans="2:22" s="26" customFormat="1">
      <c r="B74" s="106">
        <v>26</v>
      </c>
      <c r="C74" s="134"/>
      <c r="D74" s="107" t="s">
        <v>167</v>
      </c>
      <c r="E74" s="100" t="s">
        <v>194</v>
      </c>
      <c r="F74" s="108" t="s">
        <v>127</v>
      </c>
      <c r="G74" s="78">
        <v>2</v>
      </c>
      <c r="H74" s="109">
        <v>0</v>
      </c>
      <c r="I74" s="13">
        <v>46029</v>
      </c>
      <c r="J74" s="13">
        <v>46030</v>
      </c>
      <c r="K74" s="25" t="s">
        <v>36</v>
      </c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69"/>
    </row>
    <row r="75" spans="2:22" s="26" customFormat="1">
      <c r="B75" s="106"/>
      <c r="C75" s="134"/>
      <c r="D75" s="107"/>
      <c r="E75" s="100"/>
      <c r="F75" s="108"/>
      <c r="G75" s="78"/>
      <c r="H75" s="110"/>
      <c r="I75" s="35"/>
      <c r="J75" s="35"/>
      <c r="K75" s="27" t="s">
        <v>37</v>
      </c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68"/>
    </row>
    <row r="76" spans="2:22" s="26" customFormat="1">
      <c r="B76" s="106">
        <v>39</v>
      </c>
      <c r="C76" s="134"/>
      <c r="D76" s="107" t="s">
        <v>168</v>
      </c>
      <c r="E76" s="100" t="s">
        <v>194</v>
      </c>
      <c r="F76" s="108" t="s">
        <v>135</v>
      </c>
      <c r="G76" s="78">
        <v>5</v>
      </c>
      <c r="H76" s="109">
        <v>0</v>
      </c>
      <c r="I76" s="13">
        <v>46031</v>
      </c>
      <c r="J76" s="13">
        <v>46037</v>
      </c>
      <c r="K76" s="25" t="s">
        <v>36</v>
      </c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69"/>
    </row>
    <row r="77" spans="2:22" s="26" customFormat="1">
      <c r="B77" s="106"/>
      <c r="C77" s="134"/>
      <c r="D77" s="107"/>
      <c r="E77" s="100"/>
      <c r="F77" s="108"/>
      <c r="G77" s="78"/>
      <c r="H77" s="110"/>
      <c r="I77" s="35"/>
      <c r="J77" s="35"/>
      <c r="K77" s="27" t="s">
        <v>37</v>
      </c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68"/>
    </row>
    <row r="78" spans="2:22" s="26" customFormat="1" ht="24.6" customHeight="1">
      <c r="B78" s="106">
        <v>27</v>
      </c>
      <c r="C78" s="134"/>
      <c r="D78" s="107" t="s">
        <v>169</v>
      </c>
      <c r="E78" s="100" t="s">
        <v>195</v>
      </c>
      <c r="F78" s="108" t="s">
        <v>124</v>
      </c>
      <c r="G78" s="78">
        <v>5</v>
      </c>
      <c r="H78" s="109">
        <v>0</v>
      </c>
      <c r="I78" s="13">
        <v>46035</v>
      </c>
      <c r="J78" s="13">
        <v>46041</v>
      </c>
      <c r="K78" s="25" t="s">
        <v>36</v>
      </c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69"/>
    </row>
    <row r="79" spans="2:22" s="26" customFormat="1" ht="31.2" customHeight="1">
      <c r="B79" s="106"/>
      <c r="C79" s="134"/>
      <c r="D79" s="107"/>
      <c r="E79" s="100"/>
      <c r="F79" s="108"/>
      <c r="G79" s="78"/>
      <c r="H79" s="110"/>
      <c r="I79" s="35"/>
      <c r="J79" s="35"/>
      <c r="K79" s="27" t="s">
        <v>37</v>
      </c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68"/>
    </row>
    <row r="80" spans="2:22" s="26" customFormat="1">
      <c r="B80" s="106">
        <v>28</v>
      </c>
      <c r="C80" s="134"/>
      <c r="D80" s="107" t="s">
        <v>170</v>
      </c>
      <c r="E80" s="100" t="s">
        <v>195</v>
      </c>
      <c r="F80" s="108" t="s">
        <v>128</v>
      </c>
      <c r="G80" s="78">
        <v>2</v>
      </c>
      <c r="H80" s="109">
        <v>0</v>
      </c>
      <c r="I80" s="13">
        <v>46038</v>
      </c>
      <c r="J80" s="13">
        <v>46041</v>
      </c>
      <c r="K80" s="25" t="s">
        <v>36</v>
      </c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69"/>
    </row>
    <row r="81" spans="2:22" s="26" customFormat="1">
      <c r="B81" s="106"/>
      <c r="C81" s="134"/>
      <c r="D81" s="107"/>
      <c r="E81" s="100"/>
      <c r="F81" s="108"/>
      <c r="G81" s="78"/>
      <c r="H81" s="110"/>
      <c r="I81" s="35"/>
      <c r="J81" s="35"/>
      <c r="K81" s="27" t="s">
        <v>37</v>
      </c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68"/>
    </row>
    <row r="82" spans="2:22" s="26" customFormat="1">
      <c r="B82" s="106">
        <v>41</v>
      </c>
      <c r="C82" s="134"/>
      <c r="D82" s="107" t="s">
        <v>171</v>
      </c>
      <c r="E82" s="100" t="s">
        <v>195</v>
      </c>
      <c r="F82" s="108" t="s">
        <v>133</v>
      </c>
      <c r="G82" s="78">
        <v>6</v>
      </c>
      <c r="H82" s="144">
        <v>0</v>
      </c>
      <c r="I82" s="13">
        <v>46042</v>
      </c>
      <c r="J82" s="13">
        <v>46049</v>
      </c>
      <c r="K82" s="25" t="s">
        <v>36</v>
      </c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69"/>
    </row>
    <row r="83" spans="2:22" s="26" customFormat="1" ht="18" thickBot="1">
      <c r="B83" s="106"/>
      <c r="C83" s="134"/>
      <c r="D83" s="107"/>
      <c r="E83" s="100"/>
      <c r="F83" s="108"/>
      <c r="G83" s="78"/>
      <c r="H83" s="145"/>
      <c r="I83" s="35"/>
      <c r="J83" s="35"/>
      <c r="K83" s="27" t="s">
        <v>37</v>
      </c>
      <c r="L83" s="35"/>
      <c r="M83" s="35"/>
      <c r="N83" s="35"/>
      <c r="O83" s="35"/>
      <c r="P83" s="35"/>
      <c r="Q83" s="35"/>
      <c r="R83" s="35"/>
      <c r="S83" s="35"/>
      <c r="T83" s="35"/>
      <c r="U83" s="29"/>
      <c r="V83" s="68"/>
    </row>
    <row r="84" spans="2:22" s="26" customFormat="1">
      <c r="B84" s="106">
        <v>40</v>
      </c>
      <c r="C84" s="134"/>
      <c r="D84" s="107" t="s">
        <v>172</v>
      </c>
      <c r="E84" s="100" t="s">
        <v>197</v>
      </c>
      <c r="F84" s="108" t="s">
        <v>134</v>
      </c>
      <c r="G84" s="78">
        <v>2</v>
      </c>
      <c r="H84" s="109">
        <v>0</v>
      </c>
      <c r="I84" s="13">
        <v>46050</v>
      </c>
      <c r="J84" s="13">
        <v>46052</v>
      </c>
      <c r="K84" s="25" t="s">
        <v>36</v>
      </c>
      <c r="L84" s="29"/>
      <c r="M84" s="29"/>
      <c r="N84" s="29"/>
      <c r="O84" s="29"/>
      <c r="P84" s="29"/>
      <c r="Q84" s="29"/>
      <c r="R84" s="29"/>
      <c r="S84" s="29"/>
      <c r="T84" s="29"/>
      <c r="V84" s="69"/>
    </row>
    <row r="85" spans="2:22" s="26" customFormat="1" ht="18" thickBot="1">
      <c r="B85" s="111"/>
      <c r="C85" s="135"/>
      <c r="D85" s="142"/>
      <c r="E85" s="112"/>
      <c r="F85" s="143"/>
      <c r="G85" s="79"/>
      <c r="H85" s="132"/>
      <c r="I85" s="72"/>
      <c r="J85" s="72"/>
      <c r="K85" s="55" t="s">
        <v>37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85"/>
    </row>
    <row r="86" spans="2:22" s="26" customFormat="1" ht="21.75" customHeight="1">
      <c r="B86" s="125">
        <v>13</v>
      </c>
      <c r="C86" s="103" t="s">
        <v>52</v>
      </c>
      <c r="D86" s="103" t="s">
        <v>53</v>
      </c>
      <c r="E86" s="103"/>
      <c r="F86" s="103"/>
      <c r="G86" s="146"/>
      <c r="H86" s="139">
        <v>0</v>
      </c>
      <c r="I86" s="66">
        <v>45943</v>
      </c>
      <c r="J86" s="66">
        <v>46053</v>
      </c>
      <c r="K86" s="32" t="s">
        <v>36</v>
      </c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67"/>
    </row>
    <row r="87" spans="2:22" s="26" customFormat="1" ht="21.75" customHeight="1" thickBot="1">
      <c r="B87" s="106"/>
      <c r="C87" s="104"/>
      <c r="D87" s="104"/>
      <c r="E87" s="104"/>
      <c r="F87" s="104"/>
      <c r="G87" s="147"/>
      <c r="H87" s="140"/>
      <c r="I87" s="35"/>
      <c r="J87" s="35"/>
      <c r="K87" s="27" t="s">
        <v>37</v>
      </c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68"/>
    </row>
    <row r="88" spans="2:22" s="26" customFormat="1" ht="21.75" customHeight="1">
      <c r="B88" s="106">
        <v>14</v>
      </c>
      <c r="C88" s="104"/>
      <c r="D88" s="104" t="s">
        <v>54</v>
      </c>
      <c r="E88" s="104"/>
      <c r="F88" s="104"/>
      <c r="G88" s="148"/>
      <c r="H88" s="141">
        <v>0</v>
      </c>
      <c r="I88" s="66">
        <v>45950</v>
      </c>
      <c r="J88" s="13">
        <v>46063</v>
      </c>
      <c r="K88" s="25" t="s">
        <v>36</v>
      </c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69"/>
    </row>
    <row r="89" spans="2:22" s="26" customFormat="1" ht="21.75" customHeight="1" thickBot="1">
      <c r="B89" s="106"/>
      <c r="C89" s="104"/>
      <c r="D89" s="104"/>
      <c r="E89" s="104"/>
      <c r="F89" s="104"/>
      <c r="G89" s="147"/>
      <c r="H89" s="140"/>
      <c r="I89" s="35"/>
      <c r="J89" s="35"/>
      <c r="K89" s="27" t="s">
        <v>37</v>
      </c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68"/>
    </row>
    <row r="90" spans="2:22" s="26" customFormat="1" ht="21.75" customHeight="1">
      <c r="B90" s="106">
        <v>15</v>
      </c>
      <c r="C90" s="104"/>
      <c r="D90" s="104" t="s">
        <v>55</v>
      </c>
      <c r="E90" s="104"/>
      <c r="F90" s="104"/>
      <c r="G90" s="148"/>
      <c r="H90" s="141">
        <v>0</v>
      </c>
      <c r="I90" s="66">
        <v>45960</v>
      </c>
      <c r="J90" s="13">
        <v>46073</v>
      </c>
      <c r="K90" s="25" t="s">
        <v>36</v>
      </c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69"/>
    </row>
    <row r="91" spans="2:22" s="26" customFormat="1" ht="21.75" customHeight="1">
      <c r="B91" s="106"/>
      <c r="C91" s="104"/>
      <c r="D91" s="104"/>
      <c r="E91" s="104"/>
      <c r="F91" s="104"/>
      <c r="G91" s="147"/>
      <c r="H91" s="140"/>
      <c r="I91" s="35"/>
      <c r="J91" s="35"/>
      <c r="K91" s="27" t="s">
        <v>37</v>
      </c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68"/>
    </row>
    <row r="92" spans="2:22" s="26" customFormat="1" ht="21.75" customHeight="1">
      <c r="B92" s="106">
        <v>16</v>
      </c>
      <c r="C92" s="104"/>
      <c r="D92" s="104" t="s">
        <v>56</v>
      </c>
      <c r="E92" s="104"/>
      <c r="F92" s="104"/>
      <c r="G92" s="62">
        <v>5</v>
      </c>
      <c r="H92" s="141">
        <v>0</v>
      </c>
      <c r="I92" s="13">
        <v>46072</v>
      </c>
      <c r="J92" s="13">
        <v>46078</v>
      </c>
      <c r="K92" s="25" t="s">
        <v>36</v>
      </c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73"/>
    </row>
    <row r="93" spans="2:22" s="26" customFormat="1" ht="21.75" customHeight="1">
      <c r="B93" s="106"/>
      <c r="C93" s="104"/>
      <c r="D93" s="104"/>
      <c r="E93" s="104"/>
      <c r="F93" s="104"/>
      <c r="G93" s="62"/>
      <c r="H93" s="140"/>
      <c r="I93" s="35"/>
      <c r="J93" s="35"/>
      <c r="K93" s="27" t="s">
        <v>37</v>
      </c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68"/>
    </row>
    <row r="94" spans="2:22" s="26" customFormat="1" ht="21.75" customHeight="1">
      <c r="B94" s="106">
        <v>17</v>
      </c>
      <c r="C94" s="104"/>
      <c r="D94" s="104" t="s">
        <v>57</v>
      </c>
      <c r="E94" s="104"/>
      <c r="F94" s="104"/>
      <c r="G94" s="62">
        <v>2</v>
      </c>
      <c r="H94" s="113">
        <v>0</v>
      </c>
      <c r="I94" s="13">
        <v>46079</v>
      </c>
      <c r="J94" s="13">
        <v>46080</v>
      </c>
      <c r="K94" s="25" t="s">
        <v>36</v>
      </c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73"/>
    </row>
    <row r="95" spans="2:22" s="26" customFormat="1" ht="21.75" customHeight="1" thickBot="1">
      <c r="B95" s="128"/>
      <c r="C95" s="138"/>
      <c r="D95" s="138"/>
      <c r="E95" s="138"/>
      <c r="F95" s="138"/>
      <c r="G95" s="74"/>
      <c r="H95" s="137"/>
      <c r="I95" s="70"/>
      <c r="J95" s="70"/>
      <c r="K95" s="34" t="s">
        <v>37</v>
      </c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1"/>
    </row>
  </sheetData>
  <mergeCells count="232">
    <mergeCell ref="F72:F73"/>
    <mergeCell ref="B82:B83"/>
    <mergeCell ref="F82:F83"/>
    <mergeCell ref="H82:H83"/>
    <mergeCell ref="D82:D83"/>
    <mergeCell ref="H92:H93"/>
    <mergeCell ref="E82:E83"/>
    <mergeCell ref="G86:G87"/>
    <mergeCell ref="G88:G89"/>
    <mergeCell ref="G90:G91"/>
    <mergeCell ref="B94:B95"/>
    <mergeCell ref="H94:H95"/>
    <mergeCell ref="B86:B87"/>
    <mergeCell ref="C86:C95"/>
    <mergeCell ref="H86:H87"/>
    <mergeCell ref="B88:B89"/>
    <mergeCell ref="H88:H89"/>
    <mergeCell ref="B90:B91"/>
    <mergeCell ref="H90:H91"/>
    <mergeCell ref="B92:B93"/>
    <mergeCell ref="D92:F93"/>
    <mergeCell ref="D94:F95"/>
    <mergeCell ref="B18:B19"/>
    <mergeCell ref="B46:B47"/>
    <mergeCell ref="H46:H47"/>
    <mergeCell ref="B48:B49"/>
    <mergeCell ref="F46:F47"/>
    <mergeCell ref="H48:H49"/>
    <mergeCell ref="D48:D49"/>
    <mergeCell ref="C10:C85"/>
    <mergeCell ref="D10:D11"/>
    <mergeCell ref="D12:D13"/>
    <mergeCell ref="D14:D15"/>
    <mergeCell ref="B36:B37"/>
    <mergeCell ref="F36:F37"/>
    <mergeCell ref="H36:H37"/>
    <mergeCell ref="D36:D37"/>
    <mergeCell ref="D84:D85"/>
    <mergeCell ref="F48:F49"/>
    <mergeCell ref="F84:F85"/>
    <mergeCell ref="H84:H85"/>
    <mergeCell ref="D46:D47"/>
    <mergeCell ref="F58:F59"/>
    <mergeCell ref="H58:H59"/>
    <mergeCell ref="F60:F61"/>
    <mergeCell ref="H60:H61"/>
    <mergeCell ref="B34:B35"/>
    <mergeCell ref="F34:F35"/>
    <mergeCell ref="H34:H35"/>
    <mergeCell ref="B20:B21"/>
    <mergeCell ref="F20:F21"/>
    <mergeCell ref="H20:H21"/>
    <mergeCell ref="B22:B23"/>
    <mergeCell ref="F22:F23"/>
    <mergeCell ref="H22:H23"/>
    <mergeCell ref="D20:D21"/>
    <mergeCell ref="D34:D35"/>
    <mergeCell ref="D22:D23"/>
    <mergeCell ref="B4:B5"/>
    <mergeCell ref="C4:C5"/>
    <mergeCell ref="H4:H5"/>
    <mergeCell ref="B6:B7"/>
    <mergeCell ref="H6:H7"/>
    <mergeCell ref="B8:B9"/>
    <mergeCell ref="H8:H9"/>
    <mergeCell ref="B10:B11"/>
    <mergeCell ref="B16:B17"/>
    <mergeCell ref="F10:F11"/>
    <mergeCell ref="H10:H11"/>
    <mergeCell ref="B12:B13"/>
    <mergeCell ref="F12:F13"/>
    <mergeCell ref="H12:H13"/>
    <mergeCell ref="H16:H17"/>
    <mergeCell ref="F14:F15"/>
    <mergeCell ref="H14:H15"/>
    <mergeCell ref="F16:F17"/>
    <mergeCell ref="B14:B15"/>
    <mergeCell ref="D16:D17"/>
    <mergeCell ref="I4:J4"/>
    <mergeCell ref="D4:D5"/>
    <mergeCell ref="O4:P4"/>
    <mergeCell ref="Q4:R4"/>
    <mergeCell ref="S4:T4"/>
    <mergeCell ref="K4:K5"/>
    <mergeCell ref="M4:N4"/>
    <mergeCell ref="E4:F5"/>
    <mergeCell ref="H18:H19"/>
    <mergeCell ref="D18:D19"/>
    <mergeCell ref="F18:F19"/>
    <mergeCell ref="B54:B55"/>
    <mergeCell ref="D54:D55"/>
    <mergeCell ref="F54:F55"/>
    <mergeCell ref="H54:H55"/>
    <mergeCell ref="B56:B57"/>
    <mergeCell ref="D56:D57"/>
    <mergeCell ref="F56:F57"/>
    <mergeCell ref="H56:H57"/>
    <mergeCell ref="B50:B51"/>
    <mergeCell ref="D50:D51"/>
    <mergeCell ref="F50:F51"/>
    <mergeCell ref="H50:H51"/>
    <mergeCell ref="B52:B53"/>
    <mergeCell ref="D52:D53"/>
    <mergeCell ref="F52:F53"/>
    <mergeCell ref="H52:H53"/>
    <mergeCell ref="E80:E81"/>
    <mergeCell ref="H72:H73"/>
    <mergeCell ref="B74:B75"/>
    <mergeCell ref="D74:D75"/>
    <mergeCell ref="F74:F75"/>
    <mergeCell ref="H74:H75"/>
    <mergeCell ref="B58:B59"/>
    <mergeCell ref="D62:D63"/>
    <mergeCell ref="D68:D69"/>
    <mergeCell ref="D70:D71"/>
    <mergeCell ref="D72:D73"/>
    <mergeCell ref="D58:D59"/>
    <mergeCell ref="B60:B61"/>
    <mergeCell ref="D60:D61"/>
    <mergeCell ref="B62:B63"/>
    <mergeCell ref="B68:B69"/>
    <mergeCell ref="B70:B71"/>
    <mergeCell ref="B72:B73"/>
    <mergeCell ref="F62:F63"/>
    <mergeCell ref="H62:H63"/>
    <mergeCell ref="F68:F69"/>
    <mergeCell ref="H68:H69"/>
    <mergeCell ref="F70:F71"/>
    <mergeCell ref="H70:H71"/>
    <mergeCell ref="B38:B39"/>
    <mergeCell ref="D38:D39"/>
    <mergeCell ref="F38:F39"/>
    <mergeCell ref="H38:H39"/>
    <mergeCell ref="B40:B41"/>
    <mergeCell ref="D40:D41"/>
    <mergeCell ref="F40:F41"/>
    <mergeCell ref="H40:H41"/>
    <mergeCell ref="E38:E39"/>
    <mergeCell ref="E40:E41"/>
    <mergeCell ref="B24:B25"/>
    <mergeCell ref="D24:D25"/>
    <mergeCell ref="F24:F25"/>
    <mergeCell ref="H24:H25"/>
    <mergeCell ref="B26:B27"/>
    <mergeCell ref="D26:D27"/>
    <mergeCell ref="F26:F27"/>
    <mergeCell ref="H26:H27"/>
    <mergeCell ref="E24:E25"/>
    <mergeCell ref="E26:E27"/>
    <mergeCell ref="B76:B77"/>
    <mergeCell ref="D76:D77"/>
    <mergeCell ref="F76:F77"/>
    <mergeCell ref="H76:H77"/>
    <mergeCell ref="B84:B85"/>
    <mergeCell ref="E76:E77"/>
    <mergeCell ref="E84:E85"/>
    <mergeCell ref="B64:B65"/>
    <mergeCell ref="D64:D65"/>
    <mergeCell ref="F64:F65"/>
    <mergeCell ref="H64:H65"/>
    <mergeCell ref="B66:B67"/>
    <mergeCell ref="D66:D67"/>
    <mergeCell ref="F66:F67"/>
    <mergeCell ref="H66:H67"/>
    <mergeCell ref="B78:B79"/>
    <mergeCell ref="D78:D79"/>
    <mergeCell ref="F78:F79"/>
    <mergeCell ref="H78:H79"/>
    <mergeCell ref="B80:B81"/>
    <mergeCell ref="D80:D81"/>
    <mergeCell ref="F80:F81"/>
    <mergeCell ref="H80:H81"/>
    <mergeCell ref="E78:E79"/>
    <mergeCell ref="B28:B29"/>
    <mergeCell ref="D28:D29"/>
    <mergeCell ref="F28:F29"/>
    <mergeCell ref="H28:H29"/>
    <mergeCell ref="E50:E51"/>
    <mergeCell ref="E52:E53"/>
    <mergeCell ref="E54:E55"/>
    <mergeCell ref="E56:E57"/>
    <mergeCell ref="E58:E59"/>
    <mergeCell ref="B30:B31"/>
    <mergeCell ref="D30:D31"/>
    <mergeCell ref="F30:F31"/>
    <mergeCell ref="H30:H31"/>
    <mergeCell ref="B32:B33"/>
    <mergeCell ref="D32:D33"/>
    <mergeCell ref="F32:F33"/>
    <mergeCell ref="H32:H33"/>
    <mergeCell ref="B42:B43"/>
    <mergeCell ref="D42:D43"/>
    <mergeCell ref="F42:F43"/>
    <mergeCell ref="H42:H43"/>
    <mergeCell ref="B44:B45"/>
    <mergeCell ref="D44:D45"/>
    <mergeCell ref="F44:F45"/>
    <mergeCell ref="E66:E67"/>
    <mergeCell ref="U4:V4"/>
    <mergeCell ref="C6:D9"/>
    <mergeCell ref="D86:F87"/>
    <mergeCell ref="D88:F89"/>
    <mergeCell ref="D90:F91"/>
    <mergeCell ref="E10:E11"/>
    <mergeCell ref="E12:E13"/>
    <mergeCell ref="E14:E15"/>
    <mergeCell ref="E16:E17"/>
    <mergeCell ref="E18:E19"/>
    <mergeCell ref="E20:E21"/>
    <mergeCell ref="E22:E23"/>
    <mergeCell ref="E34:E35"/>
    <mergeCell ref="E36:E37"/>
    <mergeCell ref="E46:E47"/>
    <mergeCell ref="E48:E49"/>
    <mergeCell ref="E60:E61"/>
    <mergeCell ref="E62:E63"/>
    <mergeCell ref="E68:E69"/>
    <mergeCell ref="E70:E71"/>
    <mergeCell ref="E72:E73"/>
    <mergeCell ref="E74:E75"/>
    <mergeCell ref="H44:H45"/>
    <mergeCell ref="E6:F7"/>
    <mergeCell ref="E8:F9"/>
    <mergeCell ref="G4:G5"/>
    <mergeCell ref="G6:G7"/>
    <mergeCell ref="G8:G9"/>
    <mergeCell ref="E28:E29"/>
    <mergeCell ref="E30:E31"/>
    <mergeCell ref="E32:E33"/>
    <mergeCell ref="E64:E65"/>
    <mergeCell ref="E42:E43"/>
    <mergeCell ref="E44:E45"/>
  </mergeCells>
  <phoneticPr fontId="13" type="noConversion"/>
  <conditionalFormatting sqref="H6:H9 H44:H45 H24:H25">
    <cfRule type="dataBar" priority="28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{4D8D647C-B967-4E80-BAA7-F77E24D72D18}</x14:id>
        </ext>
      </extLst>
    </cfRule>
  </conditionalFormatting>
  <conditionalFormatting sqref="H10:H11">
    <cfRule type="dataBar" priority="23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{66275BCA-3B7F-4126-A60B-51857D905815}</x14:id>
        </ext>
      </extLst>
    </cfRule>
  </conditionalFormatting>
  <conditionalFormatting sqref="H12:H13">
    <cfRule type="dataBar" priority="2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{6DBEFFA5-25C7-4EA0-85F2-0E8B2397F0D2}</x14:id>
        </ext>
      </extLst>
    </cfRule>
  </conditionalFormatting>
  <conditionalFormatting sqref="H14:H15">
    <cfRule type="dataBar" priority="24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{62AA47A6-135D-427F-8A34-4B08C4839F7F}</x14:id>
        </ext>
      </extLst>
    </cfRule>
  </conditionalFormatting>
  <conditionalFormatting sqref="H16:H17">
    <cfRule type="dataBar" priority="26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{AC8B7454-830B-47B0-984B-1614A3DFA067}</x14:id>
        </ext>
      </extLst>
    </cfRule>
  </conditionalFormatting>
  <conditionalFormatting sqref="H18:H19">
    <cfRule type="dataBar" priority="27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{0BFA8D00-B912-4FB1-BAD2-8DF489B02C3F}</x14:id>
        </ext>
      </extLst>
    </cfRule>
  </conditionalFormatting>
  <conditionalFormatting sqref="H20:H21">
    <cfRule type="dataBar" priority="25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{AEE87F9E-4A5E-43A7-BC8C-1265B1EDCC7E}</x14:id>
        </ext>
      </extLst>
    </cfRule>
  </conditionalFormatting>
  <conditionalFormatting sqref="H22:H33">
    <cfRule type="dataBar" priority="21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{8E35FAAD-5B1B-4AE7-B03B-64C01EB28D4F}</x14:id>
        </ext>
      </extLst>
    </cfRule>
  </conditionalFormatting>
  <conditionalFormatting sqref="H26:H27">
    <cfRule type="dataBar" priority="11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{A2EF627A-A161-4792-8BA1-5B4583C9AD27}</x14:id>
        </ext>
      </extLst>
    </cfRule>
  </conditionalFormatting>
  <conditionalFormatting sqref="H32:H33">
    <cfRule type="dataBar" priority="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{5F8D86D7-1012-44E7-A8F8-1631C0653D22}</x14:id>
        </ext>
      </extLst>
    </cfRule>
  </conditionalFormatting>
  <conditionalFormatting sqref="H34:H45">
    <cfRule type="dataBar" priority="20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{E74C681F-85E8-4B0A-A252-CF89728E28D5}</x14:id>
        </ext>
      </extLst>
    </cfRule>
  </conditionalFormatting>
  <conditionalFormatting sqref="H38:H39">
    <cfRule type="dataBar" priority="10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{D6E65959-94C9-4970-8330-22BA587B83A9}</x14:id>
        </ext>
      </extLst>
    </cfRule>
  </conditionalFormatting>
  <conditionalFormatting sqref="H40:H41">
    <cfRule type="dataBar" priority="8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{43E5A4E0-0786-4A48-A5F7-3A694C2FC980}</x14:id>
        </ext>
      </extLst>
    </cfRule>
  </conditionalFormatting>
  <conditionalFormatting sqref="H42:H43">
    <cfRule type="dataBar" priority="5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{84364F7D-3D8B-4FDE-9564-B00AD11C5DFC}</x14:id>
        </ext>
      </extLst>
    </cfRule>
  </conditionalFormatting>
  <conditionalFormatting sqref="H46:H47">
    <cfRule type="dataBar" priority="3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{E20983F7-BE79-4320-939D-694A099F9888}</x14:id>
        </ext>
      </extLst>
    </cfRule>
  </conditionalFormatting>
  <conditionalFormatting sqref="H48:H49 H72:H73 H84:H85 H28:H31">
    <cfRule type="dataBar" priority="31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{A4362EA7-2BA8-4369-A7DB-01E4443C2C8A}</x14:id>
        </ext>
      </extLst>
    </cfRule>
  </conditionalFormatting>
  <conditionalFormatting sqref="H50:H51">
    <cfRule type="dataBar" priority="14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{4BD78DFB-8A82-4563-8670-6E3EE656D985}</x14:id>
        </ext>
      </extLst>
    </cfRule>
  </conditionalFormatting>
  <conditionalFormatting sqref="H52:H53">
    <cfRule type="dataBar" priority="15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{866E1CB8-0CE1-45B7-8BE9-08BCAE8BF5E2}</x14:id>
        </ext>
      </extLst>
    </cfRule>
  </conditionalFormatting>
  <conditionalFormatting sqref="H54:H55">
    <cfRule type="dataBar" priority="17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{AAC2C272-6C15-485F-B66F-CD30D8EC250C}</x14:id>
        </ext>
      </extLst>
    </cfRule>
  </conditionalFormatting>
  <conditionalFormatting sqref="H56:H57">
    <cfRule type="dataBar" priority="18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{72B36677-F5E7-4BD6-B6AE-40EB06A6FCC7}</x14:id>
        </ext>
      </extLst>
    </cfRule>
  </conditionalFormatting>
  <conditionalFormatting sqref="H58:H59">
    <cfRule type="dataBar" priority="16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{2AA46080-5C7C-4E49-9152-3C1E151FEBA7}</x14:id>
        </ext>
      </extLst>
    </cfRule>
  </conditionalFormatting>
  <conditionalFormatting sqref="H60:H61">
    <cfRule type="dataBar" priority="13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{4F6A38B7-4C43-418F-9BA5-091C85210763}</x14:id>
        </ext>
      </extLst>
    </cfRule>
  </conditionalFormatting>
  <conditionalFormatting sqref="H62:H69">
    <cfRule type="dataBar" priority="1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{73EDC40E-0FF1-4E6E-9B59-9DA27586EA0E}</x14:id>
        </ext>
      </extLst>
    </cfRule>
  </conditionalFormatting>
  <conditionalFormatting sqref="H64:H67">
    <cfRule type="dataBar" priority="1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{2F4D80C2-5040-4C5F-8233-0F2B4472B108}</x14:id>
        </ext>
      </extLst>
    </cfRule>
  </conditionalFormatting>
  <conditionalFormatting sqref="H70:H71">
    <cfRule type="dataBar" priority="19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{B00C4409-A46D-43DD-947D-C2E406133EE4}</x14:id>
        </ext>
      </extLst>
    </cfRule>
  </conditionalFormatting>
  <conditionalFormatting sqref="H74:H77">
    <cfRule type="dataBar" priority="6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{2E92D709-206C-4838-A704-07C94F7B9C93}</x14:id>
        </ext>
      </extLst>
    </cfRule>
  </conditionalFormatting>
  <conditionalFormatting sqref="H76:H77">
    <cfRule type="dataBar" priority="3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{DCB82B12-425C-4B57-A6EB-B482EBEEC3A6}</x14:id>
        </ext>
      </extLst>
    </cfRule>
  </conditionalFormatting>
  <conditionalFormatting sqref="H78:H79">
    <cfRule type="dataBar" priority="7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{2606590B-A76F-48F5-B0BA-C61EACD9707A}</x14:id>
        </ext>
      </extLst>
    </cfRule>
  </conditionalFormatting>
  <conditionalFormatting sqref="H80:H83">
    <cfRule type="dataBar" priority="9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{106358E4-8BDC-4731-90BB-72874A7A58BE}</x14:id>
        </ext>
      </extLst>
    </cfRule>
  </conditionalFormatting>
  <conditionalFormatting sqref="H82:H83">
    <cfRule type="dataBar" priority="34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{4FE70698-FDE2-417A-8A6D-7595EBF32DED}</x14:id>
        </ext>
      </extLst>
    </cfRule>
  </conditionalFormatting>
  <conditionalFormatting sqref="H86:H87">
    <cfRule type="dataBar" priority="4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{2E5AF7C1-F204-4E95-A01E-EB531F7AF46D}</x14:id>
        </ext>
      </extLst>
    </cfRule>
  </conditionalFormatting>
  <conditionalFormatting sqref="H88:H89">
    <cfRule type="dataBar" priority="38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{8DCAC940-B71A-46E9-BC86-9CF1C93D9B78}</x14:id>
        </ext>
      </extLst>
    </cfRule>
  </conditionalFormatting>
  <conditionalFormatting sqref="H90:H91">
    <cfRule type="dataBar" priority="37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{F2240A70-D7BC-42DC-A238-42DB4A667FB8}</x14:id>
        </ext>
      </extLst>
    </cfRule>
  </conditionalFormatting>
  <conditionalFormatting sqref="H92:H93">
    <cfRule type="dataBar" priority="41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{8B8B34D8-CEA9-495C-9357-5E9E4C03336A}</x14:id>
        </ext>
      </extLst>
    </cfRule>
  </conditionalFormatting>
  <conditionalFormatting sqref="H94:H95">
    <cfRule type="dataBar" priority="35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{17EF949E-FD96-41A4-960F-1A7F7FA0C158}</x14:id>
        </ext>
      </extLst>
    </cfRule>
  </conditionalFormatting>
  <pageMargins left="0.7" right="0.7" top="0.75" bottom="0.75" header="0.3" footer="0.3"/>
  <pageSetup paperSize="8" scale="44" orientation="landscape" r:id="rId1"/>
  <ignoredErrors>
    <ignoredError sqref="D10 D12" numberStoredAsText="1"/>
  </ignoredError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8D647C-B967-4E80-BAA7-F77E24D72D18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H6:H9 H44:H45 H24:H25</xm:sqref>
        </x14:conditionalFormatting>
        <x14:conditionalFormatting xmlns:xm="http://schemas.microsoft.com/office/excel/2006/main">
          <x14:cfRule type="dataBar" id="{66275BCA-3B7F-4126-A60B-51857D905815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H10:H11</xm:sqref>
        </x14:conditionalFormatting>
        <x14:conditionalFormatting xmlns:xm="http://schemas.microsoft.com/office/excel/2006/main">
          <x14:cfRule type="dataBar" id="{6DBEFFA5-25C7-4EA0-85F2-0E8B2397F0D2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H12:H13</xm:sqref>
        </x14:conditionalFormatting>
        <x14:conditionalFormatting xmlns:xm="http://schemas.microsoft.com/office/excel/2006/main">
          <x14:cfRule type="dataBar" id="{62AA47A6-135D-427F-8A34-4B08C4839F7F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H14:H15</xm:sqref>
        </x14:conditionalFormatting>
        <x14:conditionalFormatting xmlns:xm="http://schemas.microsoft.com/office/excel/2006/main">
          <x14:cfRule type="dataBar" id="{AC8B7454-830B-47B0-984B-1614A3DFA067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H16:H17</xm:sqref>
        </x14:conditionalFormatting>
        <x14:conditionalFormatting xmlns:xm="http://schemas.microsoft.com/office/excel/2006/main">
          <x14:cfRule type="dataBar" id="{0BFA8D00-B912-4FB1-BAD2-8DF489B02C3F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H18:H19</xm:sqref>
        </x14:conditionalFormatting>
        <x14:conditionalFormatting xmlns:xm="http://schemas.microsoft.com/office/excel/2006/main">
          <x14:cfRule type="dataBar" id="{AEE87F9E-4A5E-43A7-BC8C-1265B1EDCC7E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H20:H21</xm:sqref>
        </x14:conditionalFormatting>
        <x14:conditionalFormatting xmlns:xm="http://schemas.microsoft.com/office/excel/2006/main">
          <x14:cfRule type="dataBar" id="{8E35FAAD-5B1B-4AE7-B03B-64C01EB28D4F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H22:H33</xm:sqref>
        </x14:conditionalFormatting>
        <x14:conditionalFormatting xmlns:xm="http://schemas.microsoft.com/office/excel/2006/main">
          <x14:cfRule type="dataBar" id="{A2EF627A-A161-4792-8BA1-5B4583C9AD27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H26:H27</xm:sqref>
        </x14:conditionalFormatting>
        <x14:conditionalFormatting xmlns:xm="http://schemas.microsoft.com/office/excel/2006/main">
          <x14:cfRule type="dataBar" id="{5F8D86D7-1012-44E7-A8F8-1631C0653D22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H32:H33</xm:sqref>
        </x14:conditionalFormatting>
        <x14:conditionalFormatting xmlns:xm="http://schemas.microsoft.com/office/excel/2006/main">
          <x14:cfRule type="dataBar" id="{E74C681F-85E8-4B0A-A252-CF89728E28D5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H34:H45</xm:sqref>
        </x14:conditionalFormatting>
        <x14:conditionalFormatting xmlns:xm="http://schemas.microsoft.com/office/excel/2006/main">
          <x14:cfRule type="dataBar" id="{D6E65959-94C9-4970-8330-22BA587B83A9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H38:H39</xm:sqref>
        </x14:conditionalFormatting>
        <x14:conditionalFormatting xmlns:xm="http://schemas.microsoft.com/office/excel/2006/main">
          <x14:cfRule type="dataBar" id="{43E5A4E0-0786-4A48-A5F7-3A694C2FC980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H40:H41</xm:sqref>
        </x14:conditionalFormatting>
        <x14:conditionalFormatting xmlns:xm="http://schemas.microsoft.com/office/excel/2006/main">
          <x14:cfRule type="dataBar" id="{84364F7D-3D8B-4FDE-9564-B00AD11C5DFC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H42:H43</xm:sqref>
        </x14:conditionalFormatting>
        <x14:conditionalFormatting xmlns:xm="http://schemas.microsoft.com/office/excel/2006/main">
          <x14:cfRule type="dataBar" id="{E20983F7-BE79-4320-939D-694A099F9888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A4362EA7-2BA8-4369-A7DB-01E4443C2C8A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H48:H49 H72:H73 H84:H85 H28:H31</xm:sqref>
        </x14:conditionalFormatting>
        <x14:conditionalFormatting xmlns:xm="http://schemas.microsoft.com/office/excel/2006/main">
          <x14:cfRule type="dataBar" id="{4BD78DFB-8A82-4563-8670-6E3EE656D985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H50:H51</xm:sqref>
        </x14:conditionalFormatting>
        <x14:conditionalFormatting xmlns:xm="http://schemas.microsoft.com/office/excel/2006/main">
          <x14:cfRule type="dataBar" id="{866E1CB8-0CE1-45B7-8BE9-08BCAE8BF5E2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H52:H53</xm:sqref>
        </x14:conditionalFormatting>
        <x14:conditionalFormatting xmlns:xm="http://schemas.microsoft.com/office/excel/2006/main">
          <x14:cfRule type="dataBar" id="{AAC2C272-6C15-485F-B66F-CD30D8EC250C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H54:H55</xm:sqref>
        </x14:conditionalFormatting>
        <x14:conditionalFormatting xmlns:xm="http://schemas.microsoft.com/office/excel/2006/main">
          <x14:cfRule type="dataBar" id="{72B36677-F5E7-4BD6-B6AE-40EB06A6FCC7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H56:H57</xm:sqref>
        </x14:conditionalFormatting>
        <x14:conditionalFormatting xmlns:xm="http://schemas.microsoft.com/office/excel/2006/main">
          <x14:cfRule type="dataBar" id="{2AA46080-5C7C-4E49-9152-3C1E151FEBA7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H58:H59</xm:sqref>
        </x14:conditionalFormatting>
        <x14:conditionalFormatting xmlns:xm="http://schemas.microsoft.com/office/excel/2006/main">
          <x14:cfRule type="dataBar" id="{4F6A38B7-4C43-418F-9BA5-091C85210763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H60:H61</xm:sqref>
        </x14:conditionalFormatting>
        <x14:conditionalFormatting xmlns:xm="http://schemas.microsoft.com/office/excel/2006/main">
          <x14:cfRule type="dataBar" id="{73EDC40E-0FF1-4E6E-9B59-9DA27586EA0E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H62:H69</xm:sqref>
        </x14:conditionalFormatting>
        <x14:conditionalFormatting xmlns:xm="http://schemas.microsoft.com/office/excel/2006/main">
          <x14:cfRule type="dataBar" id="{2F4D80C2-5040-4C5F-8233-0F2B4472B108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H64:H67</xm:sqref>
        </x14:conditionalFormatting>
        <x14:conditionalFormatting xmlns:xm="http://schemas.microsoft.com/office/excel/2006/main">
          <x14:cfRule type="dataBar" id="{B00C4409-A46D-43DD-947D-C2E406133EE4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H70:H71</xm:sqref>
        </x14:conditionalFormatting>
        <x14:conditionalFormatting xmlns:xm="http://schemas.microsoft.com/office/excel/2006/main">
          <x14:cfRule type="dataBar" id="{2E92D709-206C-4838-A704-07C94F7B9C93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H74:H77</xm:sqref>
        </x14:conditionalFormatting>
        <x14:conditionalFormatting xmlns:xm="http://schemas.microsoft.com/office/excel/2006/main">
          <x14:cfRule type="dataBar" id="{DCB82B12-425C-4B57-A6EB-B482EBEEC3A6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H76:H77</xm:sqref>
        </x14:conditionalFormatting>
        <x14:conditionalFormatting xmlns:xm="http://schemas.microsoft.com/office/excel/2006/main">
          <x14:cfRule type="dataBar" id="{2606590B-A76F-48F5-B0BA-C61EACD9707A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H78:H79</xm:sqref>
        </x14:conditionalFormatting>
        <x14:conditionalFormatting xmlns:xm="http://schemas.microsoft.com/office/excel/2006/main">
          <x14:cfRule type="dataBar" id="{106358E4-8BDC-4731-90BB-72874A7A58BE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H80:H83</xm:sqref>
        </x14:conditionalFormatting>
        <x14:conditionalFormatting xmlns:xm="http://schemas.microsoft.com/office/excel/2006/main">
          <x14:cfRule type="dataBar" id="{4FE70698-FDE2-417A-8A6D-7595EBF32DED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H82:H83</xm:sqref>
        </x14:conditionalFormatting>
        <x14:conditionalFormatting xmlns:xm="http://schemas.microsoft.com/office/excel/2006/main">
          <x14:cfRule type="dataBar" id="{2E5AF7C1-F204-4E95-A01E-EB531F7AF46D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H86:H87</xm:sqref>
        </x14:conditionalFormatting>
        <x14:conditionalFormatting xmlns:xm="http://schemas.microsoft.com/office/excel/2006/main">
          <x14:cfRule type="dataBar" id="{8DCAC940-B71A-46E9-BC86-9CF1C93D9B78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H88:H89</xm:sqref>
        </x14:conditionalFormatting>
        <x14:conditionalFormatting xmlns:xm="http://schemas.microsoft.com/office/excel/2006/main">
          <x14:cfRule type="dataBar" id="{F2240A70-D7BC-42DC-A238-42DB4A667FB8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H90:H91</xm:sqref>
        </x14:conditionalFormatting>
        <x14:conditionalFormatting xmlns:xm="http://schemas.microsoft.com/office/excel/2006/main">
          <x14:cfRule type="dataBar" id="{8B8B34D8-CEA9-495C-9357-5E9E4C03336A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H92:H93</xm:sqref>
        </x14:conditionalFormatting>
        <x14:conditionalFormatting xmlns:xm="http://schemas.microsoft.com/office/excel/2006/main">
          <x14:cfRule type="dataBar" id="{17EF949E-FD96-41A4-960F-1A7F7FA0C158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H94:H95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789E9-4947-427B-A186-391227FBD17A}">
  <dimension ref="A1:F42"/>
  <sheetViews>
    <sheetView tabSelected="1" topLeftCell="A33" workbookViewId="0">
      <selection activeCell="I4" sqref="I4"/>
    </sheetView>
  </sheetViews>
  <sheetFormatPr defaultRowHeight="14.4"/>
  <cols>
    <col min="1" max="1" width="4.5" customWidth="1"/>
    <col min="2" max="2" width="5.19921875" customWidth="1"/>
    <col min="3" max="3" width="4.796875" customWidth="1"/>
    <col min="4" max="4" width="62.69921875" customWidth="1"/>
    <col min="5" max="5" width="6.19921875" customWidth="1"/>
    <col min="6" max="6" width="10" customWidth="1"/>
  </cols>
  <sheetData>
    <row r="1" spans="1:6" ht="10.199999999999999" customHeight="1">
      <c r="A1" s="155" t="s">
        <v>58</v>
      </c>
      <c r="B1" s="152" t="s">
        <v>189</v>
      </c>
      <c r="C1" s="152" t="s">
        <v>175</v>
      </c>
      <c r="D1" s="155" t="s">
        <v>59</v>
      </c>
      <c r="E1" s="155" t="s">
        <v>60</v>
      </c>
      <c r="F1" s="155" t="s">
        <v>61</v>
      </c>
    </row>
    <row r="2" spans="1:6">
      <c r="A2" s="156"/>
      <c r="B2" s="153"/>
      <c r="C2" s="153"/>
      <c r="D2" s="156"/>
      <c r="E2" s="156"/>
      <c r="F2" s="156"/>
    </row>
    <row r="3" spans="1:6" ht="14.4" customHeight="1">
      <c r="A3" s="156"/>
      <c r="B3" s="154"/>
      <c r="C3" s="154"/>
      <c r="D3" s="156"/>
      <c r="E3" s="156"/>
      <c r="F3" s="156"/>
    </row>
    <row r="4" spans="1:6" ht="46.8">
      <c r="A4" s="157" t="s">
        <v>10</v>
      </c>
      <c r="B4" s="58">
        <v>1</v>
      </c>
      <c r="C4" s="56" t="s">
        <v>176</v>
      </c>
      <c r="D4" s="36" t="s">
        <v>67</v>
      </c>
      <c r="E4" s="37" t="s">
        <v>63</v>
      </c>
      <c r="F4" s="38">
        <v>8</v>
      </c>
    </row>
    <row r="5" spans="1:6" ht="39.6">
      <c r="A5" s="158"/>
      <c r="B5" s="58">
        <v>2</v>
      </c>
      <c r="C5" s="56" t="s">
        <v>177</v>
      </c>
      <c r="D5" s="45" t="s">
        <v>68</v>
      </c>
      <c r="E5" s="46" t="s">
        <v>63</v>
      </c>
      <c r="F5" s="47">
        <v>3</v>
      </c>
    </row>
    <row r="6" spans="1:6" ht="39.6">
      <c r="A6" s="158"/>
      <c r="B6" s="58">
        <v>3</v>
      </c>
      <c r="C6" s="56" t="s">
        <v>177</v>
      </c>
      <c r="D6" s="45" t="s">
        <v>69</v>
      </c>
      <c r="E6" s="46" t="s">
        <v>63</v>
      </c>
      <c r="F6" s="47">
        <v>2</v>
      </c>
    </row>
    <row r="7" spans="1:6" ht="39.6">
      <c r="A7" s="158"/>
      <c r="B7" s="58">
        <v>4</v>
      </c>
      <c r="C7" s="56" t="s">
        <v>177</v>
      </c>
      <c r="D7" s="45" t="s">
        <v>70</v>
      </c>
      <c r="E7" s="46" t="s">
        <v>63</v>
      </c>
      <c r="F7" s="47">
        <v>4</v>
      </c>
    </row>
    <row r="8" spans="1:6" ht="39.6">
      <c r="A8" s="158"/>
      <c r="B8" s="58">
        <v>5</v>
      </c>
      <c r="C8" s="56" t="s">
        <v>177</v>
      </c>
      <c r="D8" s="45" t="s">
        <v>71</v>
      </c>
      <c r="E8" s="46" t="s">
        <v>63</v>
      </c>
      <c r="F8" s="47">
        <v>4</v>
      </c>
    </row>
    <row r="9" spans="1:6" ht="39.6">
      <c r="A9" s="158"/>
      <c r="B9" s="58">
        <v>6</v>
      </c>
      <c r="C9" s="56" t="s">
        <v>177</v>
      </c>
      <c r="D9" s="45" t="s">
        <v>72</v>
      </c>
      <c r="E9" s="46" t="s">
        <v>63</v>
      </c>
      <c r="F9" s="47">
        <v>5</v>
      </c>
    </row>
    <row r="10" spans="1:6" ht="52.8">
      <c r="A10" s="158"/>
      <c r="B10" s="58">
        <v>7</v>
      </c>
      <c r="C10" s="56" t="s">
        <v>177</v>
      </c>
      <c r="D10" s="45" t="s">
        <v>73</v>
      </c>
      <c r="E10" s="46" t="s">
        <v>63</v>
      </c>
      <c r="F10" s="47">
        <v>9</v>
      </c>
    </row>
    <row r="11" spans="1:6" ht="39.6">
      <c r="A11" s="158"/>
      <c r="B11" s="58">
        <v>8</v>
      </c>
      <c r="C11" s="57" t="s">
        <v>177</v>
      </c>
      <c r="D11" s="51" t="s">
        <v>95</v>
      </c>
      <c r="E11" s="46" t="s">
        <v>63</v>
      </c>
      <c r="F11" s="47">
        <v>3</v>
      </c>
    </row>
    <row r="12" spans="1:6" ht="39.6">
      <c r="A12" s="158"/>
      <c r="B12" s="58">
        <v>9</v>
      </c>
      <c r="C12" s="57" t="s">
        <v>177</v>
      </c>
      <c r="D12" s="52" t="s">
        <v>96</v>
      </c>
      <c r="E12" s="46" t="s">
        <v>63</v>
      </c>
      <c r="F12" s="47">
        <v>5</v>
      </c>
    </row>
    <row r="13" spans="1:6" ht="39.6">
      <c r="A13" s="158"/>
      <c r="B13" s="58">
        <v>10</v>
      </c>
      <c r="C13" s="57" t="s">
        <v>177</v>
      </c>
      <c r="D13" s="53" t="s">
        <v>97</v>
      </c>
      <c r="E13" s="46" t="s">
        <v>63</v>
      </c>
      <c r="F13" s="47">
        <v>5</v>
      </c>
    </row>
    <row r="14" spans="1:6" ht="26.4">
      <c r="A14" s="158"/>
      <c r="B14" s="58">
        <v>11</v>
      </c>
      <c r="C14" s="57" t="s">
        <v>177</v>
      </c>
      <c r="D14" s="53" t="s">
        <v>98</v>
      </c>
      <c r="E14" s="46" t="s">
        <v>63</v>
      </c>
      <c r="F14" s="47">
        <v>10</v>
      </c>
    </row>
    <row r="15" spans="1:6" ht="39.6">
      <c r="A15" s="158"/>
      <c r="B15" s="58">
        <v>12</v>
      </c>
      <c r="C15" s="57" t="s">
        <v>177</v>
      </c>
      <c r="D15" s="51" t="s">
        <v>99</v>
      </c>
      <c r="E15" s="46" t="s">
        <v>63</v>
      </c>
      <c r="F15" s="47">
        <v>3</v>
      </c>
    </row>
    <row r="16" spans="1:6" ht="26.4">
      <c r="A16" s="158"/>
      <c r="B16" s="58">
        <v>13</v>
      </c>
      <c r="C16" s="56" t="s">
        <v>178</v>
      </c>
      <c r="D16" s="45" t="s">
        <v>74</v>
      </c>
      <c r="E16" s="46" t="s">
        <v>63</v>
      </c>
      <c r="F16" s="47">
        <v>2</v>
      </c>
    </row>
    <row r="17" spans="1:6" ht="39.6">
      <c r="A17" s="158"/>
      <c r="B17" s="58">
        <v>14</v>
      </c>
      <c r="C17" s="56" t="s">
        <v>178</v>
      </c>
      <c r="D17" s="45" t="s">
        <v>75</v>
      </c>
      <c r="E17" s="46" t="s">
        <v>63</v>
      </c>
      <c r="F17" s="47">
        <v>4</v>
      </c>
    </row>
    <row r="18" spans="1:6" ht="27.6">
      <c r="A18" s="158"/>
      <c r="B18" s="58">
        <v>15</v>
      </c>
      <c r="C18" s="57" t="s">
        <v>186</v>
      </c>
      <c r="D18" s="50" t="s">
        <v>91</v>
      </c>
      <c r="E18" s="46" t="s">
        <v>63</v>
      </c>
      <c r="F18" s="47">
        <v>5</v>
      </c>
    </row>
    <row r="19" spans="1:6" ht="40.799999999999997">
      <c r="A19" s="158"/>
      <c r="B19" s="58">
        <v>16</v>
      </c>
      <c r="C19" s="57" t="s">
        <v>186</v>
      </c>
      <c r="D19" s="50" t="s">
        <v>92</v>
      </c>
      <c r="E19" s="46" t="s">
        <v>63</v>
      </c>
      <c r="F19" s="47">
        <v>3</v>
      </c>
    </row>
    <row r="20" spans="1:6" ht="28.8">
      <c r="A20" s="158"/>
      <c r="B20" s="58">
        <v>17</v>
      </c>
      <c r="C20" s="57" t="s">
        <v>186</v>
      </c>
      <c r="D20" s="50" t="s">
        <v>93</v>
      </c>
      <c r="E20" s="46" t="s">
        <v>63</v>
      </c>
      <c r="F20" s="47">
        <v>3</v>
      </c>
    </row>
    <row r="21" spans="1:6" ht="67.2">
      <c r="A21" s="158"/>
      <c r="B21" s="58">
        <v>18</v>
      </c>
      <c r="C21" s="57" t="s">
        <v>187</v>
      </c>
      <c r="D21" s="50" t="s">
        <v>94</v>
      </c>
      <c r="E21" s="46" t="s">
        <v>63</v>
      </c>
      <c r="F21" s="47">
        <v>2</v>
      </c>
    </row>
    <row r="22" spans="1:6" ht="39.6">
      <c r="A22" s="158"/>
      <c r="B22" s="58">
        <v>19</v>
      </c>
      <c r="C22" s="56" t="s">
        <v>179</v>
      </c>
      <c r="D22" s="45" t="s">
        <v>76</v>
      </c>
      <c r="E22" s="46" t="s">
        <v>63</v>
      </c>
      <c r="F22" s="47">
        <v>5</v>
      </c>
    </row>
    <row r="23" spans="1:6" ht="52.8">
      <c r="A23" s="158"/>
      <c r="B23" s="58">
        <v>20</v>
      </c>
      <c r="C23" s="56" t="s">
        <v>179</v>
      </c>
      <c r="D23" s="45" t="s">
        <v>77</v>
      </c>
      <c r="E23" s="46" t="s">
        <v>63</v>
      </c>
      <c r="F23" s="47">
        <v>5</v>
      </c>
    </row>
    <row r="24" spans="1:6" ht="26.4">
      <c r="A24" s="158"/>
      <c r="B24" s="58">
        <v>21</v>
      </c>
      <c r="C24" s="56" t="s">
        <v>180</v>
      </c>
      <c r="D24" s="45" t="s">
        <v>78</v>
      </c>
      <c r="E24" s="46" t="s">
        <v>63</v>
      </c>
      <c r="F24" s="47">
        <v>5</v>
      </c>
    </row>
    <row r="25" spans="1:6" ht="26.4">
      <c r="A25" s="158"/>
      <c r="B25" s="58">
        <v>22</v>
      </c>
      <c r="C25" s="56" t="s">
        <v>180</v>
      </c>
      <c r="D25" s="45" t="s">
        <v>79</v>
      </c>
      <c r="E25" s="46" t="s">
        <v>63</v>
      </c>
      <c r="F25" s="47">
        <v>2</v>
      </c>
    </row>
    <row r="26" spans="1:6" ht="54">
      <c r="A26" s="158"/>
      <c r="B26" s="58">
        <v>23</v>
      </c>
      <c r="C26" s="56" t="s">
        <v>180</v>
      </c>
      <c r="D26" s="45" t="s">
        <v>80</v>
      </c>
      <c r="E26" s="46" t="s">
        <v>63</v>
      </c>
      <c r="F26" s="47">
        <v>5</v>
      </c>
    </row>
    <row r="27" spans="1:6" ht="27.6">
      <c r="A27" s="158"/>
      <c r="B27" s="58">
        <v>24</v>
      </c>
      <c r="C27" s="56" t="s">
        <v>180</v>
      </c>
      <c r="D27" s="45" t="s">
        <v>81</v>
      </c>
      <c r="E27" s="46" t="s">
        <v>63</v>
      </c>
      <c r="F27" s="47">
        <v>2</v>
      </c>
    </row>
    <row r="28" spans="1:6" ht="26.4">
      <c r="A28" s="158"/>
      <c r="B28" s="58">
        <v>25</v>
      </c>
      <c r="C28" s="56" t="s">
        <v>181</v>
      </c>
      <c r="D28" s="45" t="s">
        <v>82</v>
      </c>
      <c r="E28" s="46" t="s">
        <v>63</v>
      </c>
      <c r="F28" s="47">
        <v>2</v>
      </c>
    </row>
    <row r="29" spans="1:6" ht="52.8">
      <c r="A29" s="158"/>
      <c r="B29" s="58">
        <v>26</v>
      </c>
      <c r="C29" s="56" t="s">
        <v>181</v>
      </c>
      <c r="D29" s="45" t="s">
        <v>83</v>
      </c>
      <c r="E29" s="46" t="s">
        <v>63</v>
      </c>
      <c r="F29" s="47">
        <v>2</v>
      </c>
    </row>
    <row r="30" spans="1:6" ht="26.4">
      <c r="A30" s="158"/>
      <c r="B30" s="58">
        <v>27</v>
      </c>
      <c r="C30" s="57" t="s">
        <v>182</v>
      </c>
      <c r="D30" s="45" t="s">
        <v>84</v>
      </c>
      <c r="E30" s="46" t="s">
        <v>63</v>
      </c>
      <c r="F30" s="47">
        <v>3</v>
      </c>
    </row>
    <row r="31" spans="1:6" ht="52.8">
      <c r="A31" s="158"/>
      <c r="B31" s="58">
        <v>28</v>
      </c>
      <c r="C31" s="57" t="s">
        <v>181</v>
      </c>
      <c r="D31" s="54" t="s">
        <v>100</v>
      </c>
      <c r="E31" s="46" t="s">
        <v>63</v>
      </c>
      <c r="F31" s="47">
        <v>10</v>
      </c>
    </row>
    <row r="32" spans="1:6" ht="67.2">
      <c r="A32" s="158"/>
      <c r="B32" s="58">
        <v>29</v>
      </c>
      <c r="C32" s="57" t="s">
        <v>181</v>
      </c>
      <c r="D32" s="53" t="s">
        <v>101</v>
      </c>
      <c r="E32" s="46" t="s">
        <v>63</v>
      </c>
      <c r="F32" s="47">
        <v>6</v>
      </c>
    </row>
    <row r="33" spans="1:6" ht="39.6">
      <c r="A33" s="158"/>
      <c r="B33" s="58">
        <v>30</v>
      </c>
      <c r="C33" s="57" t="s">
        <v>183</v>
      </c>
      <c r="D33" s="45" t="s">
        <v>85</v>
      </c>
      <c r="E33" s="46" t="s">
        <v>63</v>
      </c>
      <c r="F33" s="47">
        <v>1</v>
      </c>
    </row>
    <row r="34" spans="1:6" ht="52.8">
      <c r="A34" s="158"/>
      <c r="B34" s="58">
        <v>31</v>
      </c>
      <c r="C34" s="57" t="s">
        <v>183</v>
      </c>
      <c r="D34" s="45" t="s">
        <v>86</v>
      </c>
      <c r="E34" s="46" t="s">
        <v>63</v>
      </c>
      <c r="F34" s="47">
        <v>3</v>
      </c>
    </row>
    <row r="35" spans="1:6" ht="26.4">
      <c r="A35" s="158"/>
      <c r="B35" s="58">
        <v>32</v>
      </c>
      <c r="C35" s="57" t="s">
        <v>183</v>
      </c>
      <c r="D35" s="48" t="s">
        <v>87</v>
      </c>
      <c r="E35" s="46" t="s">
        <v>63</v>
      </c>
      <c r="F35" s="47">
        <v>3</v>
      </c>
    </row>
    <row r="36" spans="1:6" ht="36">
      <c r="A36" s="158"/>
      <c r="B36" s="58">
        <v>33</v>
      </c>
      <c r="C36" s="57" t="s">
        <v>184</v>
      </c>
      <c r="D36" s="49" t="s">
        <v>88</v>
      </c>
      <c r="E36" s="46" t="s">
        <v>63</v>
      </c>
      <c r="F36" s="47">
        <v>2</v>
      </c>
    </row>
    <row r="37" spans="1:6" ht="92.4">
      <c r="A37" s="158"/>
      <c r="B37" s="58">
        <v>34</v>
      </c>
      <c r="C37" s="57" t="s">
        <v>184</v>
      </c>
      <c r="D37" s="53" t="s">
        <v>102</v>
      </c>
      <c r="E37" s="46" t="s">
        <v>63</v>
      </c>
      <c r="F37" s="47">
        <v>5</v>
      </c>
    </row>
    <row r="38" spans="1:6" ht="39.6">
      <c r="A38" s="158"/>
      <c r="B38" s="58">
        <v>35</v>
      </c>
      <c r="C38" s="57" t="s">
        <v>185</v>
      </c>
      <c r="D38" s="45" t="s">
        <v>89</v>
      </c>
      <c r="E38" s="46" t="s">
        <v>62</v>
      </c>
      <c r="F38" s="47">
        <v>5</v>
      </c>
    </row>
    <row r="39" spans="1:6" ht="40.799999999999997">
      <c r="A39" s="158"/>
      <c r="B39" s="58">
        <v>36</v>
      </c>
      <c r="C39" s="57" t="s">
        <v>185</v>
      </c>
      <c r="D39" s="50" t="s">
        <v>90</v>
      </c>
      <c r="E39" s="46" t="s">
        <v>63</v>
      </c>
      <c r="F39" s="47">
        <v>2</v>
      </c>
    </row>
    <row r="40" spans="1:6" ht="26.4">
      <c r="A40" s="158"/>
      <c r="B40" s="58">
        <v>37</v>
      </c>
      <c r="C40" s="57" t="s">
        <v>185</v>
      </c>
      <c r="D40" s="53" t="s">
        <v>104</v>
      </c>
      <c r="E40" s="46" t="s">
        <v>63</v>
      </c>
      <c r="F40" s="47">
        <v>6</v>
      </c>
    </row>
    <row r="41" spans="1:6" ht="39.6">
      <c r="A41" s="159"/>
      <c r="B41" s="58">
        <v>38</v>
      </c>
      <c r="C41" s="57" t="s">
        <v>188</v>
      </c>
      <c r="D41" s="53" t="s">
        <v>103</v>
      </c>
      <c r="E41" s="46" t="s">
        <v>63</v>
      </c>
      <c r="F41" s="47">
        <v>2</v>
      </c>
    </row>
    <row r="42" spans="1:6" ht="19.2">
      <c r="A42" s="149" t="s">
        <v>64</v>
      </c>
      <c r="B42" s="150"/>
      <c r="C42" s="150"/>
      <c r="D42" s="150"/>
      <c r="E42" s="151"/>
      <c r="F42" s="44">
        <f>SUM(F4:F41)</f>
        <v>156</v>
      </c>
    </row>
  </sheetData>
  <mergeCells count="8">
    <mergeCell ref="F1:F3"/>
    <mergeCell ref="A4:A41"/>
    <mergeCell ref="A42:E42"/>
    <mergeCell ref="C1:C3"/>
    <mergeCell ref="B1:B3"/>
    <mergeCell ref="A1:A3"/>
    <mergeCell ref="D1:D3"/>
    <mergeCell ref="E1:E3"/>
  </mergeCells>
  <phoneticPr fontId="1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WBS</vt:lpstr>
      <vt:lpstr>상세 스케줄 </vt:lpstr>
      <vt:lpstr>상세개발항목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 은주</dc:creator>
  <cp:keywords/>
  <dc:description/>
  <cp:lastModifiedBy>심 연</cp:lastModifiedBy>
  <cp:revision/>
  <cp:lastPrinted>2025-09-02T10:45:19Z</cp:lastPrinted>
  <dcterms:created xsi:type="dcterms:W3CDTF">2004-06-23T06:13:55Z</dcterms:created>
  <dcterms:modified xsi:type="dcterms:W3CDTF">2025-09-02T10:47:21Z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C:\Users\조일구\Documents\시큐아이 PI Project\1. 계획\시큐아이 ERP 프로젝트 WBS(초안)_202104.xlsx</vt:lpwstr>
  </property>
</Properties>
</file>