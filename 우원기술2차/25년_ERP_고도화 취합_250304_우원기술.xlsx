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hbyang2013_ksystem_co_kr/Documents/영림원소프트랩(양환복)_주요자료/01. Project Site/160. 우원기술/"/>
    </mc:Choice>
  </mc:AlternateContent>
  <xr:revisionPtr revIDLastSave="3" documentId="8_{3D51AABC-84D6-4BD9-825A-10BF242C5485}" xr6:coauthVersionLast="47" xr6:coauthVersionMax="47" xr10:uidLastSave="{EDC1C88D-547A-4444-92AE-ACAC304AD83C}"/>
  <bookViews>
    <workbookView xWindow="4095" yWindow="0" windowWidth="28800" windowHeight="15585" activeTab="2" xr2:uid="{00000000-000D-0000-FFFF-FFFF00000000}"/>
  </bookViews>
  <sheets>
    <sheet name="영업팀" sheetId="12" r:id="rId1"/>
    <sheet name="재무그룹" sheetId="11" r:id="rId2"/>
    <sheet name="구매그룹" sheetId="10" r:id="rId3"/>
  </sheets>
  <definedNames>
    <definedName name="_xlnm._FilterDatabase" localSheetId="2" hidden="1">구매그룹!$A$2:$E$12</definedName>
    <definedName name="_xlnm._FilterDatabase" localSheetId="0" hidden="1">영업팀!$A$2:$E$51</definedName>
    <definedName name="_xlnm._FilterDatabase" localSheetId="1" hidden="1">재무그룹!$A$2:$E$39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2" l="1"/>
  <c r="H42" i="12"/>
  <c r="H43" i="12" s="1"/>
  <c r="J43" i="12" s="1"/>
  <c r="I12" i="10" l="1"/>
  <c r="H11" i="10"/>
  <c r="H12" i="10" s="1"/>
  <c r="J12" i="10" l="1"/>
</calcChain>
</file>

<file path=xl/sharedStrings.xml><?xml version="1.0" encoding="utf-8"?>
<sst xmlns="http://schemas.openxmlformats.org/spreadsheetml/2006/main" count="257" uniqueCount="127">
  <si>
    <t>순번</t>
    <phoneticPr fontId="1" type="noConversion"/>
  </si>
  <si>
    <t>부서</t>
    <phoneticPr fontId="1" type="noConversion"/>
  </si>
  <si>
    <t>관련 기능</t>
    <phoneticPr fontId="1" type="noConversion"/>
  </si>
  <si>
    <t>개발여부</t>
    <phoneticPr fontId="1" type="noConversion"/>
  </si>
  <si>
    <t>난이도</t>
    <phoneticPr fontId="1" type="noConversion"/>
  </si>
  <si>
    <t>개발(일수)</t>
    <phoneticPr fontId="1" type="noConversion"/>
  </si>
  <si>
    <t>전산시스템 고도화 개선 요청 건</t>
    <phoneticPr fontId="1" type="noConversion"/>
  </si>
  <si>
    <t>시스템명</t>
    <phoneticPr fontId="1" type="noConversion"/>
  </si>
  <si>
    <t>(예시: ERP, 그룹웨어,파일링박스)</t>
    <phoneticPr fontId="1" type="noConversion"/>
  </si>
  <si>
    <t>개선내용</t>
    <phoneticPr fontId="1" type="noConversion"/>
  </si>
  <si>
    <t>ERP</t>
    <phoneticPr fontId="1" type="noConversion"/>
  </si>
  <si>
    <t>재료비 종합 메뉴 구축</t>
    <phoneticPr fontId="1" type="noConversion"/>
  </si>
  <si>
    <t>PJT 제조번호 기준 각 유닛의 품목별 발주, 입고 단가에 따른 각 금액 취합 &amp; 인건비 포함 종합 조회 메뉴 구축 / 각 필터 별 조회 가능</t>
    <phoneticPr fontId="1" type="noConversion"/>
  </si>
  <si>
    <t>Harness 제조 라이선스 도입</t>
    <phoneticPr fontId="1" type="noConversion"/>
  </si>
  <si>
    <t>구매그룹</t>
    <phoneticPr fontId="1" type="noConversion"/>
  </si>
  <si>
    <t xml:space="preserve">하네스 파트 제조 모듈 라이선스 추가 도입으로 품목 별 재료비 PJT 적용 </t>
    <phoneticPr fontId="1" type="noConversion"/>
  </si>
  <si>
    <t>구매그룹</t>
    <phoneticPr fontId="1" type="noConversion"/>
  </si>
  <si>
    <t>ERP</t>
    <phoneticPr fontId="1" type="noConversion"/>
  </si>
  <si>
    <t>견적서 추가기능 관련</t>
    <phoneticPr fontId="1" type="noConversion"/>
  </si>
  <si>
    <t>견적서 기능 활성화(무상) 추가개발 해야할 내용 확인</t>
    <phoneticPr fontId="1" type="noConversion"/>
  </si>
  <si>
    <t>팝업창 관련</t>
    <phoneticPr fontId="1" type="noConversion"/>
  </si>
  <si>
    <t>구매청구,규격수정 등 팝업창 관련 제조사,재질 등 내용추가</t>
    <phoneticPr fontId="1" type="noConversion"/>
  </si>
  <si>
    <t>출고작업 로직 추가</t>
    <phoneticPr fontId="1" type="noConversion"/>
  </si>
  <si>
    <t>출고작업시 "입고일 &gt; 출고일" 인 경우(ex_입고일 1/23 | 출고일 1/20)에는 출고처리가 되지 않도록 로직 추가 요청</t>
    <phoneticPr fontId="1" type="noConversion"/>
  </si>
  <si>
    <t>칼럼추가</t>
    <phoneticPr fontId="1" type="noConversion"/>
  </si>
  <si>
    <t>프로젝트구매입고정산조회_WOOWON 기표자 칼럼추가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</si>
  <si>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</si>
  <si>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</si>
  <si>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</si>
  <si>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납품예정일 관리</t>
    <phoneticPr fontId="1" type="noConversion"/>
  </si>
  <si>
    <t>프로젝트구매SCM발주내역조회_WOOWON 화면 납품예정일 지난 품목에대한 리스트 체크후 메일발송 가능하게 기능 추가</t>
    <phoneticPr fontId="1" type="noConversion"/>
  </si>
  <si>
    <t>회계/재무</t>
    <phoneticPr fontId="1" type="noConversion"/>
  </si>
  <si>
    <t>ERP,다우</t>
    <phoneticPr fontId="1" type="noConversion"/>
  </si>
  <si>
    <t xml:space="preserve">전자증빙 첨부 (HTML) </t>
    <phoneticPr fontId="1" type="noConversion"/>
  </si>
  <si>
    <t xml:space="preserve">현재 세금계산서 관련 전표 입력시 세금계산서를 따로 PDF로 업로드  -&gt; 전표 상신 부서의 업무 효율 증대를 위해 세금계산서 증빙을 HTML 방식으로 구현하고자 개발 요청드립니다. ( 해당 내용은 24년 10월 한번 보고드리고 영림원,다우 견적서 전달받았습니다) </t>
    <phoneticPr fontId="1" type="noConversion"/>
  </si>
  <si>
    <r>
      <rPr>
        <sz val="12"/>
        <color theme="1"/>
        <rFont val="맑은 고딕"/>
        <family val="3"/>
        <charset val="129"/>
      </rPr>
      <t>회계</t>
    </r>
    <r>
      <rPr>
        <sz val="12"/>
        <color theme="1"/>
        <rFont val="+mj-lt"/>
        <family val="3"/>
      </rPr>
      <t>/</t>
    </r>
    <r>
      <rPr>
        <sz val="12"/>
        <color theme="1"/>
        <rFont val="맑은 고딕"/>
        <family val="3"/>
        <charset val="129"/>
      </rPr>
      <t>재무</t>
    </r>
    <phoneticPr fontId="1" type="noConversion"/>
  </si>
  <si>
    <r>
      <rPr>
        <sz val="12"/>
        <color theme="1"/>
        <rFont val="맑은 고딕"/>
        <family val="3"/>
        <charset val="129"/>
      </rPr>
      <t>건벌반제연령분석</t>
    </r>
    <r>
      <rPr>
        <sz val="12"/>
        <color theme="1"/>
        <rFont val="+mj-lt"/>
        <family val="3"/>
        <charset val="129"/>
      </rPr>
      <t xml:space="preserve">
건별반제연령분석(외화)</t>
    </r>
    <phoneticPr fontId="1" type="noConversion"/>
  </si>
  <si>
    <t>분기별 연령으로 요청</t>
    <phoneticPr fontId="1" type="noConversion"/>
  </si>
  <si>
    <t>회계→채권채무결제
입금통보조회</t>
    <phoneticPr fontId="1" type="noConversion"/>
  </si>
  <si>
    <t xml:space="preserve">매입 세금계산서 지정처럼 담당자를 지정 하여 조회 가능하게 요청. </t>
    <phoneticPr fontId="1" type="noConversion"/>
  </si>
  <si>
    <t>영업→입금
프로젝트입금입력</t>
    <phoneticPr fontId="1" type="noConversion"/>
  </si>
  <si>
    <t>세금계산서 뿐만 아니라 모든 채권 확인 가능하게 개발 요청 (외화 원화 등)</t>
    <phoneticPr fontId="1" type="noConversion"/>
  </si>
  <si>
    <t>거래처등록</t>
  </si>
  <si>
    <t>거래처 상태 메뉴에 거래처 상태에 사용중지 상태 추가 요청드립니다. (5년이상 미사용 시 자동 중지로 반영 가능한지)</t>
    <phoneticPr fontId="1" type="noConversion"/>
  </si>
  <si>
    <t>거래처 종류별 담당자만 등록할 수 있도록 등록 창을 종류별로 추가하여 담당자 권한 부여할 수 있도록 개발 요청드립니다.
ex) 거래처등록(법인카드), 거래처등록(매입거래처).. 등등</t>
    <phoneticPr fontId="1" type="noConversion"/>
  </si>
  <si>
    <t>차입금</t>
    <phoneticPr fontId="1" type="noConversion"/>
  </si>
  <si>
    <t>차입금 종류 중 기성대출 추가 (금액변경되거나 조건 변경될 경우 반영이 어려움)</t>
    <phoneticPr fontId="1" type="noConversion"/>
  </si>
  <si>
    <t>원가/관리</t>
    <phoneticPr fontId="1" type="noConversion"/>
  </si>
  <si>
    <t>[프로젝트제조]결산처리(통합)</t>
    <phoneticPr fontId="1" type="noConversion"/>
  </si>
  <si>
    <t>&lt;2. 원가계산&gt;메뉴에서 &lt;3.프로젝트 원가 결산전표처리&gt; 내 2)프로젝트원가전표처리 이후 3)프로젝트매출원가전표처리 사이에
매출원가를 조정할 수 있는 메뉴를 추가 ▶ 현재는 엑셀로 별도 정리중으로 ERP를 완전히 사용하지 못하고있음.
당월 매출이 일어난 프로젝트에 한해 수정가능하도록 메뉴개발</t>
    <phoneticPr fontId="1" type="noConversion"/>
  </si>
  <si>
    <t>[PJT원가/수익성]총원가계산</t>
    <phoneticPr fontId="1" type="noConversion"/>
  </si>
  <si>
    <t>판관비용도 PJT별 원가배부를 진행하여 PJT단위의 총수익을 확인 할 수 있도록 진행.</t>
    <phoneticPr fontId="1" type="noConversion"/>
  </si>
  <si>
    <t>[PJT원가/수익성]원가계산</t>
    <phoneticPr fontId="1" type="noConversion"/>
  </si>
  <si>
    <t>프로젝트별로 조회하였을 때 대쉬보드를 통한 PJT 원가현황을 표시하여 진행상황에 대해 쉽게 파악할 수 있도록 개발.</t>
    <phoneticPr fontId="1" type="noConversion"/>
  </si>
  <si>
    <t>[프로젝트]실행예산</t>
    <phoneticPr fontId="1" type="noConversion"/>
  </si>
  <si>
    <t>프로젝트별 실행예산을 실제 사용할 수 있도록 개선 필요.</t>
    <phoneticPr fontId="1" type="noConversion"/>
  </si>
  <si>
    <t>교육요청</t>
    <phoneticPr fontId="1" type="noConversion"/>
  </si>
  <si>
    <t>실시간 원가산출 시스템 달성을 위해 기존 ERP내 구축되어있는 "프로젝트"모듈에 대한 운영 교육을 받고자 함</t>
    <phoneticPr fontId="1" type="noConversion"/>
  </si>
  <si>
    <t>C/S</t>
    <phoneticPr fontId="1" type="noConversion"/>
  </si>
  <si>
    <t>추가 기능</t>
    <phoneticPr fontId="1" type="noConversion"/>
  </si>
  <si>
    <t>설비이슈정보 → 이슈관련자 "그룹" 저장 기능 요청</t>
  </si>
  <si>
    <t>개발</t>
    <phoneticPr fontId="1" type="noConversion"/>
  </si>
  <si>
    <t>C/S</t>
  </si>
  <si>
    <t>기능 개선</t>
    <phoneticPr fontId="1" type="noConversion"/>
  </si>
  <si>
    <t>그래프 표시 항목 직관화 부족, 색상이 비슷함 CS Dashboard</t>
    <phoneticPr fontId="1" type="noConversion"/>
  </si>
  <si>
    <r>
      <rPr>
        <sz val="12"/>
        <color theme="1"/>
        <rFont val="맑은 고딕"/>
        <family val="3"/>
        <charset val="129"/>
      </rPr>
      <t>기능</t>
    </r>
    <r>
      <rPr>
        <sz val="12"/>
        <color theme="1"/>
        <rFont val="+mj-lt"/>
        <family val="3"/>
      </rPr>
      <t xml:space="preserve"> </t>
    </r>
    <r>
      <rPr>
        <sz val="12"/>
        <color theme="1"/>
        <rFont val="맑은 고딕"/>
        <family val="3"/>
        <charset val="129"/>
      </rPr>
      <t>개선</t>
    </r>
    <phoneticPr fontId="1" type="noConversion"/>
  </si>
  <si>
    <t>유통구조 사이트 이름 수동변경 불가능 CS Dashboard 공용 유통구조는 입력하여 그래프화 가능하도록</t>
    <phoneticPr fontId="1" type="noConversion"/>
  </si>
  <si>
    <t>검색관련 기간별 검색기능 불가능 CS Dashboard 시트항목의 그래프화</t>
    <phoneticPr fontId="1" type="noConversion"/>
  </si>
  <si>
    <t>PM</t>
    <phoneticPr fontId="1" type="noConversion"/>
  </si>
  <si>
    <t>편의 기능</t>
    <phoneticPr fontId="1" type="noConversion"/>
  </si>
  <si>
    <t>항목에 마우스로 드래그 하면 개수 카운팅 기능</t>
    <phoneticPr fontId="1" type="noConversion"/>
  </si>
  <si>
    <t>영림원 확인</t>
    <phoneticPr fontId="1" type="noConversion"/>
  </si>
  <si>
    <t>설비이력대시보드→이력분석구분 리스트상
출하전 검수 항목 별도 추가 필요 및 개별 그래프 화 할수있게 변경 필요</t>
    <phoneticPr fontId="1" type="noConversion"/>
  </si>
  <si>
    <t>설비이력대시보드에서 리스트 이슈 클릭 시 상세페이지(설비이력등록)로 점프 요청</t>
  </si>
  <si>
    <t>그래프 항목 선택 시 그 항목에 맞는 리스트만 오른쪽에 표시될수 있도록 요청 (ex : 설계불량 항목 선택 →"조치유형" 설계변경으로 된 리스트만 표기)</t>
    <phoneticPr fontId="1" type="noConversion"/>
  </si>
  <si>
    <t>설비이력 그래프를 원하는 달 과 비교할 수 있게 작업 필요</t>
    <phoneticPr fontId="1" type="noConversion"/>
  </si>
  <si>
    <t>그래프 차트 원하는 차트로 선택/변경 할수 있도록 요청(막대,원형,꺽은선 등)</t>
  </si>
  <si>
    <t>설비기술</t>
    <phoneticPr fontId="1" type="noConversion"/>
  </si>
  <si>
    <t>설비이력 등록 창에 탭으로 구분 된 부분을 확인 할 수 없어 활용불가 (현재는 설비이력조치현황(일괄)탭에서 이슈조치등록 클릭 시 점프하는 화면일 뿐임)
조치정보 탭만 살려두되 다른 탭의 데이터가 프로젝트 및 설비정보, 이슈정보처럼 보여지도록 수정</t>
    <phoneticPr fontId="1" type="noConversion"/>
  </si>
  <si>
    <t>메뉴 추가</t>
    <phoneticPr fontId="1" type="noConversion"/>
  </si>
  <si>
    <t>현재 erp는 메인화면이 없음. 로그인 후 바로 보여지는 페이지가 공백임
각 프로젝트 별 현재 진행현황, 이슈사항, 진척현황, 진척률 등을 보여주는 통합페이지가 필요함</t>
    <phoneticPr fontId="1" type="noConversion"/>
  </si>
  <si>
    <t>우원기술 확인</t>
    <phoneticPr fontId="1" type="noConversion"/>
  </si>
  <si>
    <t>전략마케팅</t>
    <phoneticPr fontId="1" type="noConversion"/>
  </si>
  <si>
    <t>현재 각 프로젝트에 발주 된 품목에 대해서만 단가 확인 가능.
→기존실적 단가 및 발주이력 확인 불가, 그로 인하여 프로젝트가 아닌 모든 품목/규격에 대한 검색 메뉴 필요</t>
    <phoneticPr fontId="1" type="noConversion"/>
  </si>
  <si>
    <t>견적서 입력 → 우원기술 견적서 양식을 ERP상에 반영하여 ERP상으로 견적서 출력 필요
견적서 현황 → 입력한 모든 견적서 제품 견적 단가 통합 확인 가능</t>
    <phoneticPr fontId="1" type="noConversion"/>
  </si>
  <si>
    <t>전장</t>
    <phoneticPr fontId="1" type="noConversion"/>
  </si>
  <si>
    <t>하네스 파트 신규 개발 건</t>
  </si>
  <si>
    <t>확인필요</t>
    <phoneticPr fontId="1" type="noConversion"/>
  </si>
  <si>
    <t>회계/재무</t>
  </si>
  <si>
    <t>B</t>
    <phoneticPr fontId="1" type="noConversion"/>
  </si>
  <si>
    <t>부가기능 중 귀속부서배부기능 사용 어려움</t>
    <phoneticPr fontId="1" type="noConversion"/>
  </si>
  <si>
    <t>불가</t>
    <phoneticPr fontId="1" type="noConversion"/>
  </si>
  <si>
    <t>수금 통보 관리시스템</t>
    <phoneticPr fontId="1" type="noConversion"/>
  </si>
  <si>
    <t>회계와 확인 필요</t>
    <phoneticPr fontId="1" type="noConversion"/>
  </si>
  <si>
    <t>기술개발</t>
    <phoneticPr fontId="1" type="noConversion"/>
  </si>
  <si>
    <t>추가기능</t>
    <phoneticPr fontId="1" type="noConversion"/>
  </si>
  <si>
    <t>리비전 발생 시 '최종BOM제외'체크 누락 시 저장 불가능 및 안내 창 추가 요청.</t>
    <phoneticPr fontId="1" type="noConversion"/>
  </si>
  <si>
    <t>추가(3/12)</t>
  </si>
  <si>
    <t>생산관리</t>
    <phoneticPr fontId="1" type="noConversion"/>
  </si>
  <si>
    <t>자재입고현황, 요약화면 2본 개발</t>
    <phoneticPr fontId="1" type="noConversion"/>
  </si>
  <si>
    <t>프로젝트자재구매진행조회 화면에 출고번호, 구매요청자 컬럼추가</t>
    <phoneticPr fontId="1" type="noConversion"/>
  </si>
  <si>
    <t>C</t>
    <phoneticPr fontId="1" type="noConversion"/>
  </si>
  <si>
    <t>메일보내기에서 조직도의 인원 조회기능</t>
    <phoneticPr fontId="1" type="noConversion"/>
  </si>
  <si>
    <t>설비이력등록의 도움말 데이터 설정</t>
    <phoneticPr fontId="1" type="noConversion"/>
  </si>
  <si>
    <t>구매</t>
    <phoneticPr fontId="1" type="noConversion"/>
  </si>
  <si>
    <t>프로젝트구매발주조회 일괄상신기능</t>
    <phoneticPr fontId="1" type="noConversion"/>
  </si>
  <si>
    <t>발주현황조회(프로젝트별) 품의제조사 컬럼 추가</t>
    <phoneticPr fontId="1" type="noConversion"/>
  </si>
  <si>
    <t>프로젝트구매입고정산조회에 전표작성자 컬럼추가</t>
    <phoneticPr fontId="1" type="noConversion"/>
  </si>
  <si>
    <t>추가(3/13)</t>
    <phoneticPr fontId="1" type="noConversion"/>
  </si>
  <si>
    <t>자재관리</t>
    <phoneticPr fontId="1" type="noConversion"/>
  </si>
  <si>
    <t>가공품의 품질관리</t>
    <phoneticPr fontId="1" type="noConversion"/>
  </si>
  <si>
    <t>구체내용 확인필요</t>
    <phoneticPr fontId="1" type="noConversion"/>
  </si>
  <si>
    <t>영업팀</t>
    <phoneticPr fontId="1" type="noConversion"/>
  </si>
  <si>
    <r>
      <rPr>
        <sz val="12"/>
        <color theme="1"/>
        <rFont val="맑은 고딕"/>
        <family val="3"/>
        <charset val="129"/>
      </rPr>
      <t>코스트센터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검색시스템</t>
    </r>
    <phoneticPr fontId="1" type="noConversion"/>
  </si>
  <si>
    <t>시리얼 넘버, 코스트센터 등</t>
    <phoneticPr fontId="1" type="noConversion"/>
  </si>
  <si>
    <t xml:space="preserve">품의서 ERP 연동 </t>
    <phoneticPr fontId="1" type="noConversion"/>
  </si>
  <si>
    <t>품의서 상신시 코스트센서 자동 검색 기능 추가</t>
    <phoneticPr fontId="1" type="noConversion"/>
  </si>
  <si>
    <t>월별매출현황</t>
    <phoneticPr fontId="1" type="noConversion"/>
  </si>
  <si>
    <t>기능개선</t>
    <phoneticPr fontId="1" type="noConversion"/>
  </si>
  <si>
    <t>코스트 센터별 월별 매출관리(계획 대비 실적 확인 가능하도록)</t>
    <phoneticPr fontId="1" type="noConversion"/>
  </si>
  <si>
    <t>월별수금현황</t>
    <phoneticPr fontId="1" type="noConversion"/>
  </si>
  <si>
    <t>코스트 센터별 월별 미수금 및 입금관리(전표상신이 아니라 리스트만 관리할 수는 없는지, 프로젝트 등록마냥)</t>
    <phoneticPr fontId="1" type="noConversion"/>
  </si>
  <si>
    <r>
      <rPr>
        <sz val="12"/>
        <color theme="1"/>
        <rFont val="맑은 고딕"/>
        <family val="3"/>
        <charset val="129"/>
      </rPr>
      <t>수금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통보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관리시스템</t>
    </r>
    <phoneticPr fontId="1" type="noConversion"/>
  </si>
  <si>
    <t>프로젝트입력</t>
    <phoneticPr fontId="1" type="noConversion"/>
  </si>
  <si>
    <t>프로젝트 화면에 프로젝트금액 이외에 매출 금액칸, 매출종류(제품,용역,상품)</t>
    <phoneticPr fontId="1" type="noConversion"/>
  </si>
  <si>
    <t>프로젝트</t>
    <phoneticPr fontId="1" type="noConversion"/>
  </si>
  <si>
    <t>내수 세금계산서 발행 기능처럼 수출건 인보이스 발행화면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</si>
</sst>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2"/>
      <color theme="1"/>
      <name val="+mj-lt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+mj-lt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+mj-lt"/>
      <family val="3"/>
      <charset val="129"/>
    </font>
    <font>
      <sz val="12"/>
      <color theme="1"/>
      <name val="+mj-lt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+mj-lt"/>
      <family val="3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 wrapText="1"/>
    </xf>
    <xf numFmtId="41" fontId="0" fillId="0" borderId="0" xfId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1" fontId="0" fillId="0" borderId="1" xfId="1" applyFont="1" applyBorder="1" applyAlignment="1">
      <alignment vertical="center" wrapText="1"/>
    </xf>
    <xf numFmtId="41" fontId="0" fillId="3" borderId="1" xfId="0" applyNumberForma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center" readingOrder="1"/>
    </xf>
    <xf numFmtId="0" fontId="0" fillId="0" borderId="4" xfId="0" applyBorder="1" applyAlignment="1">
      <alignment vertical="center" wrapText="1"/>
    </xf>
    <xf numFmtId="0" fontId="10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center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readingOrder="1"/>
    </xf>
    <xf numFmtId="0" fontId="1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horizontal="left" vertical="center" wrapText="1"/>
    </xf>
    <xf numFmtId="41" fontId="0" fillId="3" borderId="5" xfId="0" applyNumberForma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5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4FE2FF"/>
        </patternFill>
      </fill>
    </dxf>
    <dxf>
      <font>
        <strike/>
      </font>
      <fill>
        <patternFill>
          <bgColor theme="0" tint="-0.24994659260841701"/>
        </patternFill>
      </fill>
    </dxf>
    <dxf>
      <fill>
        <patternFill>
          <bgColor rgb="FFFF5D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ED63-F767-4677-952D-8CD344A60269}">
  <sheetPr filterMode="1"/>
  <dimension ref="A1:J51"/>
  <sheetViews>
    <sheetView zoomScaleNormal="130" workbookViewId="0">
      <pane ySplit="2" topLeftCell="A43" activePane="bottomLeft" state="frozen"/>
      <selection pane="bottomLeft" activeCell="E64" sqref="E64"/>
    </sheetView>
  </sheetViews>
  <sheetFormatPr defaultRowHeight="16.5"/>
  <cols>
    <col min="1" max="1" width="10.75" style="3" customWidth="1"/>
    <col min="2" max="2" width="15" style="3" customWidth="1"/>
    <col min="3" max="3" width="29.25" style="3" customWidth="1"/>
    <col min="4" max="4" width="18.375" style="3" customWidth="1"/>
    <col min="5" max="5" width="120.375" customWidth="1"/>
    <col min="6" max="6" width="22.75" customWidth="1"/>
    <col min="7" max="7" width="8.375" customWidth="1"/>
    <col min="8" max="8" width="11.625" bestFit="1" customWidth="1"/>
    <col min="9" max="9" width="10.5" bestFit="1" customWidth="1"/>
    <col min="10" max="10" width="11.625" bestFit="1" customWidth="1"/>
  </cols>
  <sheetData>
    <row r="1" spans="1:9" s="1" customFormat="1" ht="35.450000000000003" customHeight="1">
      <c r="A1" s="30" t="s">
        <v>6</v>
      </c>
      <c r="B1" s="31"/>
      <c r="C1" s="31"/>
      <c r="D1" s="31"/>
      <c r="E1" s="31"/>
      <c r="F1" s="31"/>
      <c r="G1" s="11"/>
    </row>
    <row r="2" spans="1:9" s="1" customFormat="1">
      <c r="A2" s="5" t="s">
        <v>0</v>
      </c>
      <c r="B2" s="5" t="s">
        <v>1</v>
      </c>
      <c r="C2" s="5" t="s">
        <v>7</v>
      </c>
      <c r="D2" s="5" t="s">
        <v>2</v>
      </c>
      <c r="E2" s="5" t="s">
        <v>9</v>
      </c>
      <c r="F2" s="9" t="s">
        <v>3</v>
      </c>
      <c r="G2" s="9" t="s">
        <v>4</v>
      </c>
      <c r="H2" s="9" t="s">
        <v>5</v>
      </c>
      <c r="I2" s="9"/>
    </row>
    <row r="3" spans="1:9" s="1" customFormat="1" hidden="1">
      <c r="A3" s="6">
        <v>1</v>
      </c>
      <c r="B3" s="7" t="s">
        <v>58</v>
      </c>
      <c r="C3" s="7"/>
      <c r="D3" s="7" t="s">
        <v>59</v>
      </c>
      <c r="E3" s="4" t="s">
        <v>60</v>
      </c>
      <c r="F3" s="4" t="s">
        <v>61</v>
      </c>
    </row>
    <row r="4" spans="1:9" s="1" customFormat="1" ht="17.25" hidden="1">
      <c r="A4" s="6">
        <v>2</v>
      </c>
      <c r="B4" s="8" t="s">
        <v>62</v>
      </c>
      <c r="C4" s="8"/>
      <c r="D4" s="23" t="s">
        <v>63</v>
      </c>
      <c r="E4" s="21" t="s">
        <v>64</v>
      </c>
      <c r="F4" s="4" t="s">
        <v>61</v>
      </c>
    </row>
    <row r="5" spans="1:9" s="1" customFormat="1" ht="17.25" hidden="1">
      <c r="A5" s="6">
        <v>3</v>
      </c>
      <c r="B5" s="8" t="s">
        <v>62</v>
      </c>
      <c r="C5" s="8"/>
      <c r="D5" s="19" t="s">
        <v>65</v>
      </c>
      <c r="E5" s="21" t="s">
        <v>66</v>
      </c>
      <c r="F5" s="4" t="s">
        <v>61</v>
      </c>
    </row>
    <row r="6" spans="1:9" s="1" customFormat="1" ht="17.25" hidden="1">
      <c r="A6" s="6">
        <v>4</v>
      </c>
      <c r="B6" s="8" t="s">
        <v>62</v>
      </c>
      <c r="C6" s="8"/>
      <c r="D6" s="19" t="s">
        <v>65</v>
      </c>
      <c r="E6" s="21" t="s">
        <v>67</v>
      </c>
      <c r="F6" s="4" t="s">
        <v>61</v>
      </c>
    </row>
    <row r="7" spans="1:9" s="1" customFormat="1" hidden="1">
      <c r="A7" s="6">
        <v>5</v>
      </c>
      <c r="B7" s="7" t="s">
        <v>68</v>
      </c>
      <c r="C7" s="7"/>
      <c r="D7" s="7" t="s">
        <v>69</v>
      </c>
      <c r="E7" s="4" t="s">
        <v>70</v>
      </c>
      <c r="F7" s="4" t="s">
        <v>71</v>
      </c>
    </row>
    <row r="8" spans="1:9" s="1" customFormat="1" ht="33" hidden="1">
      <c r="A8" s="6">
        <v>6</v>
      </c>
      <c r="B8" s="7" t="s">
        <v>68</v>
      </c>
      <c r="C8" s="7"/>
      <c r="D8" s="7" t="s">
        <v>63</v>
      </c>
      <c r="E8" s="4" t="s">
        <v>72</v>
      </c>
      <c r="F8" s="4" t="s">
        <v>61</v>
      </c>
    </row>
    <row r="9" spans="1:9" s="1" customFormat="1" hidden="1">
      <c r="A9" s="6">
        <v>7</v>
      </c>
      <c r="B9" s="7" t="s">
        <v>68</v>
      </c>
      <c r="C9" s="7"/>
      <c r="D9" s="7" t="s">
        <v>59</v>
      </c>
      <c r="E9" s="4" t="s">
        <v>73</v>
      </c>
      <c r="F9" s="4" t="s">
        <v>61</v>
      </c>
    </row>
    <row r="10" spans="1:9" s="1" customFormat="1" ht="33" hidden="1">
      <c r="A10" s="6">
        <v>8</v>
      </c>
      <c r="B10" s="7" t="s">
        <v>68</v>
      </c>
      <c r="C10" s="7"/>
      <c r="D10" s="7" t="s">
        <v>63</v>
      </c>
      <c r="E10" s="4" t="s">
        <v>74</v>
      </c>
      <c r="F10" s="4" t="s">
        <v>71</v>
      </c>
    </row>
    <row r="11" spans="1:9" s="1" customFormat="1" hidden="1">
      <c r="A11" s="6">
        <v>9</v>
      </c>
      <c r="B11" s="7" t="s">
        <v>68</v>
      </c>
      <c r="C11" s="7"/>
      <c r="D11" s="7" t="s">
        <v>63</v>
      </c>
      <c r="E11" s="4" t="s">
        <v>75</v>
      </c>
      <c r="F11" s="4" t="s">
        <v>61</v>
      </c>
    </row>
    <row r="12" spans="1:9" s="1" customFormat="1" hidden="1">
      <c r="A12" s="6">
        <v>10</v>
      </c>
      <c r="B12" s="7" t="s">
        <v>68</v>
      </c>
      <c r="C12" s="7"/>
      <c r="D12" s="7" t="s">
        <v>63</v>
      </c>
      <c r="E12" s="4" t="s">
        <v>76</v>
      </c>
      <c r="F12" s="4" t="s">
        <v>61</v>
      </c>
    </row>
    <row r="13" spans="1:9" s="1" customFormat="1" ht="49.5" hidden="1">
      <c r="A13" s="6">
        <v>15</v>
      </c>
      <c r="B13" s="7" t="s">
        <v>77</v>
      </c>
      <c r="C13" s="7"/>
      <c r="D13" s="7" t="s">
        <v>59</v>
      </c>
      <c r="E13" s="27" t="s">
        <v>78</v>
      </c>
      <c r="F13" s="4" t="s">
        <v>61</v>
      </c>
    </row>
    <row r="14" spans="1:9" s="1" customFormat="1" ht="33" hidden="1">
      <c r="A14" s="6">
        <v>16</v>
      </c>
      <c r="B14" s="7" t="s">
        <v>77</v>
      </c>
      <c r="C14" s="7"/>
      <c r="D14" s="28" t="s">
        <v>79</v>
      </c>
      <c r="E14" s="4" t="s">
        <v>80</v>
      </c>
      <c r="F14" s="4" t="s">
        <v>81</v>
      </c>
    </row>
    <row r="15" spans="1:9" s="1" customFormat="1" ht="33" hidden="1">
      <c r="A15" s="6">
        <v>17</v>
      </c>
      <c r="B15" s="7" t="s">
        <v>82</v>
      </c>
      <c r="C15" s="7"/>
      <c r="D15" s="7" t="s">
        <v>59</v>
      </c>
      <c r="E15" s="4" t="s">
        <v>83</v>
      </c>
      <c r="F15" s="4" t="s">
        <v>81</v>
      </c>
    </row>
    <row r="16" spans="1:9" s="1" customFormat="1" ht="33" hidden="1">
      <c r="A16" s="6">
        <v>18</v>
      </c>
      <c r="B16" s="7" t="s">
        <v>82</v>
      </c>
      <c r="C16" s="7"/>
      <c r="D16" s="7" t="s">
        <v>59</v>
      </c>
      <c r="E16" s="29" t="s">
        <v>84</v>
      </c>
      <c r="F16" s="4" t="s">
        <v>61</v>
      </c>
    </row>
    <row r="17" spans="1:9" s="1" customFormat="1" hidden="1">
      <c r="A17" s="6">
        <v>21</v>
      </c>
      <c r="B17" s="7" t="s">
        <v>85</v>
      </c>
      <c r="C17" s="7"/>
      <c r="D17" s="7" t="s">
        <v>59</v>
      </c>
      <c r="E17" s="25" t="s">
        <v>86</v>
      </c>
      <c r="F17" s="4" t="s">
        <v>87</v>
      </c>
    </row>
    <row r="18" spans="1:9" s="1" customFormat="1" ht="36.6" hidden="1" customHeight="1">
      <c r="A18" s="6">
        <v>1</v>
      </c>
      <c r="B18" s="7"/>
      <c r="C18" s="7" t="s">
        <v>8</v>
      </c>
      <c r="D18" s="7"/>
      <c r="E18" s="4"/>
      <c r="F18" s="4"/>
      <c r="G18" s="7"/>
      <c r="H18" s="12"/>
      <c r="I18" s="12"/>
    </row>
    <row r="19" spans="1:9" s="1" customFormat="1" ht="17.25" hidden="1">
      <c r="A19" s="6">
        <v>2</v>
      </c>
      <c r="B19" s="8"/>
      <c r="C19" s="8"/>
      <c r="D19" s="23"/>
      <c r="E19" s="21"/>
      <c r="F19" s="4"/>
      <c r="G19" s="7"/>
      <c r="H19" s="12"/>
      <c r="I19" s="12"/>
    </row>
    <row r="20" spans="1:9" s="1" customFormat="1" ht="17.25" hidden="1">
      <c r="A20" s="6">
        <v>3</v>
      </c>
      <c r="B20" s="8"/>
      <c r="C20" s="8"/>
      <c r="D20" s="19"/>
      <c r="E20" s="21"/>
      <c r="F20" s="4"/>
      <c r="G20" s="7"/>
      <c r="H20" s="12"/>
      <c r="I20" s="12"/>
    </row>
    <row r="21" spans="1:9" s="1" customFormat="1" ht="17.25" hidden="1">
      <c r="A21" s="6">
        <v>4</v>
      </c>
      <c r="B21" s="8"/>
      <c r="C21" s="8"/>
      <c r="D21" s="19"/>
      <c r="E21" s="21"/>
      <c r="F21" s="4"/>
      <c r="G21" s="7"/>
      <c r="H21" s="12"/>
      <c r="I21" s="12"/>
    </row>
    <row r="22" spans="1:9" s="1" customFormat="1" ht="17.25" hidden="1">
      <c r="A22" s="6">
        <v>5</v>
      </c>
      <c r="B22" s="8" t="s">
        <v>88</v>
      </c>
      <c r="C22" s="8" t="s">
        <v>89</v>
      </c>
      <c r="D22" s="19" t="s">
        <v>65</v>
      </c>
      <c r="E22" s="21" t="s">
        <v>90</v>
      </c>
      <c r="F22" s="4" t="s">
        <v>91</v>
      </c>
    </row>
    <row r="23" spans="1:9" s="1" customFormat="1" ht="17.25" hidden="1">
      <c r="A23" s="6">
        <v>5</v>
      </c>
      <c r="B23" s="8"/>
      <c r="C23" s="8" t="s">
        <v>92</v>
      </c>
      <c r="D23" s="19"/>
      <c r="E23" s="21" t="s">
        <v>93</v>
      </c>
      <c r="F23" s="4"/>
      <c r="G23" s="7"/>
      <c r="H23" s="12"/>
      <c r="I23" s="12"/>
    </row>
    <row r="24" spans="1:9" s="1" customFormat="1" hidden="1">
      <c r="A24" s="7">
        <v>6</v>
      </c>
      <c r="B24" s="8"/>
      <c r="C24" s="8"/>
      <c r="D24" s="7"/>
      <c r="E24" s="4"/>
      <c r="F24" s="4"/>
      <c r="G24" s="7"/>
      <c r="H24" s="12"/>
      <c r="I24" s="12"/>
    </row>
    <row r="25" spans="1:9" s="1" customFormat="1" hidden="1">
      <c r="A25" s="7">
        <v>7</v>
      </c>
      <c r="B25" s="8"/>
      <c r="C25" s="8"/>
      <c r="D25" s="7"/>
      <c r="E25" s="4"/>
      <c r="F25" s="4"/>
      <c r="G25" s="7"/>
      <c r="H25" s="12"/>
      <c r="I25" s="12"/>
    </row>
    <row r="26" spans="1:9" s="1" customFormat="1" hidden="1">
      <c r="A26" s="7">
        <v>8</v>
      </c>
      <c r="B26" s="8"/>
      <c r="C26" s="8"/>
      <c r="D26" s="7"/>
      <c r="E26" s="4"/>
      <c r="F26" s="4"/>
      <c r="G26" s="7"/>
      <c r="H26" s="12"/>
      <c r="I26" s="12"/>
    </row>
    <row r="27" spans="1:9" s="1" customFormat="1" hidden="1">
      <c r="A27" s="7">
        <v>9</v>
      </c>
      <c r="B27" s="7"/>
      <c r="C27" s="7"/>
      <c r="D27" s="7"/>
      <c r="E27" s="4"/>
      <c r="F27" s="4"/>
      <c r="G27" s="7"/>
      <c r="H27" s="12"/>
      <c r="I27" s="12"/>
    </row>
    <row r="28" spans="1:9" s="1" customFormat="1" hidden="1">
      <c r="A28" s="7">
        <v>10</v>
      </c>
      <c r="B28" s="7"/>
      <c r="C28" s="7"/>
      <c r="D28" s="7"/>
      <c r="E28" s="4"/>
      <c r="F28" s="4"/>
      <c r="G28" s="7"/>
      <c r="H28" s="12"/>
      <c r="I28" s="12"/>
    </row>
    <row r="29" spans="1:9" s="1" customFormat="1" hidden="1">
      <c r="A29" s="7">
        <v>3</v>
      </c>
      <c r="B29" s="7" t="s">
        <v>94</v>
      </c>
      <c r="C29" s="7" t="s">
        <v>89</v>
      </c>
      <c r="D29" s="7" t="s">
        <v>95</v>
      </c>
      <c r="E29" s="4" t="s">
        <v>96</v>
      </c>
      <c r="F29" s="4"/>
    </row>
    <row r="30" spans="1:9" s="1" customFormat="1" ht="17.25" hidden="1">
      <c r="A30" s="7" t="s">
        <v>97</v>
      </c>
      <c r="B30" s="7" t="s">
        <v>98</v>
      </c>
      <c r="C30" s="7"/>
      <c r="D30" s="19" t="s">
        <v>65</v>
      </c>
      <c r="E30" s="4" t="s">
        <v>99</v>
      </c>
      <c r="F30" s="4" t="s">
        <v>61</v>
      </c>
    </row>
    <row r="31" spans="1:9" s="1" customFormat="1" hidden="1">
      <c r="A31" s="7" t="s">
        <v>97</v>
      </c>
      <c r="B31" s="7" t="s">
        <v>68</v>
      </c>
      <c r="C31" s="7"/>
      <c r="D31" s="7" t="s">
        <v>63</v>
      </c>
      <c r="E31" s="4" t="s">
        <v>100</v>
      </c>
      <c r="F31" s="4" t="s">
        <v>61</v>
      </c>
    </row>
    <row r="32" spans="1:9" s="1" customFormat="1" hidden="1">
      <c r="A32" s="7" t="s">
        <v>97</v>
      </c>
      <c r="B32" s="7" t="s">
        <v>77</v>
      </c>
      <c r="C32" s="7" t="s">
        <v>101</v>
      </c>
      <c r="D32" s="7" t="s">
        <v>63</v>
      </c>
      <c r="E32" s="4" t="s">
        <v>102</v>
      </c>
      <c r="F32" s="4" t="s">
        <v>71</v>
      </c>
    </row>
    <row r="33" spans="1:10" s="1" customFormat="1" hidden="1">
      <c r="A33" s="7" t="s">
        <v>97</v>
      </c>
      <c r="B33" s="7" t="s">
        <v>77</v>
      </c>
      <c r="C33" s="7" t="s">
        <v>101</v>
      </c>
      <c r="D33" s="7" t="s">
        <v>63</v>
      </c>
      <c r="E33" s="4" t="s">
        <v>103</v>
      </c>
      <c r="F33" s="4" t="s">
        <v>61</v>
      </c>
    </row>
    <row r="34" spans="1:10" s="1" customFormat="1" hidden="1">
      <c r="A34" s="7" t="s">
        <v>97</v>
      </c>
      <c r="B34" s="7" t="s">
        <v>104</v>
      </c>
      <c r="C34" s="7" t="s">
        <v>89</v>
      </c>
      <c r="D34" s="7" t="s">
        <v>63</v>
      </c>
      <c r="E34" s="4" t="s">
        <v>105</v>
      </c>
      <c r="F34" s="4" t="s">
        <v>61</v>
      </c>
    </row>
    <row r="35" spans="1:10" s="1" customFormat="1" hidden="1">
      <c r="A35" s="7" t="s">
        <v>97</v>
      </c>
      <c r="B35" s="7" t="s">
        <v>104</v>
      </c>
      <c r="C35" s="7" t="s">
        <v>101</v>
      </c>
      <c r="D35" s="7" t="s">
        <v>63</v>
      </c>
      <c r="E35" s="4" t="s">
        <v>106</v>
      </c>
      <c r="F35" s="4" t="s">
        <v>61</v>
      </c>
    </row>
    <row r="36" spans="1:10" s="1" customFormat="1" hidden="1">
      <c r="A36" s="7" t="s">
        <v>97</v>
      </c>
      <c r="B36" s="7" t="s">
        <v>104</v>
      </c>
      <c r="C36" s="7" t="s">
        <v>101</v>
      </c>
      <c r="D36" s="7" t="s">
        <v>63</v>
      </c>
      <c r="E36" s="4" t="s">
        <v>107</v>
      </c>
      <c r="F36" s="4" t="s">
        <v>61</v>
      </c>
    </row>
    <row r="37" spans="1:10" s="1" customFormat="1" hidden="1">
      <c r="A37" s="7">
        <v>11</v>
      </c>
      <c r="B37" s="7"/>
      <c r="C37" s="7"/>
      <c r="D37" s="7"/>
      <c r="E37" s="4"/>
      <c r="F37" s="4"/>
      <c r="G37" s="7"/>
      <c r="H37" s="12"/>
      <c r="I37" s="12"/>
    </row>
    <row r="38" spans="1:10" s="1" customFormat="1" hidden="1">
      <c r="A38" s="7">
        <v>12</v>
      </c>
      <c r="B38" s="7"/>
      <c r="C38" s="7"/>
      <c r="D38" s="7"/>
      <c r="E38" s="4"/>
      <c r="F38" s="4"/>
      <c r="G38" s="7"/>
      <c r="H38" s="12"/>
      <c r="I38" s="12"/>
    </row>
    <row r="39" spans="1:10" s="1" customFormat="1" hidden="1">
      <c r="A39" s="7" t="s">
        <v>108</v>
      </c>
      <c r="B39" s="7" t="s">
        <v>109</v>
      </c>
      <c r="C39" s="7" t="s">
        <v>101</v>
      </c>
      <c r="D39" s="7" t="s">
        <v>63</v>
      </c>
      <c r="E39" s="4" t="s">
        <v>110</v>
      </c>
      <c r="F39" s="4" t="s">
        <v>111</v>
      </c>
    </row>
    <row r="40" spans="1:10" s="1" customFormat="1" hidden="1">
      <c r="A40" s="7">
        <v>13</v>
      </c>
      <c r="B40" s="7"/>
      <c r="C40" s="7"/>
      <c r="D40" s="7"/>
      <c r="E40" s="4"/>
      <c r="F40" s="4"/>
      <c r="G40" s="7"/>
      <c r="H40" s="12"/>
      <c r="I40" s="12"/>
    </row>
    <row r="41" spans="1:10" s="1" customFormat="1" hidden="1">
      <c r="A41" s="7">
        <v>14</v>
      </c>
      <c r="B41" s="7"/>
      <c r="C41" s="7"/>
      <c r="D41" s="7"/>
      <c r="E41" s="4"/>
      <c r="F41" s="4"/>
      <c r="G41" s="7"/>
      <c r="H41" s="12"/>
      <c r="I41" s="12"/>
    </row>
    <row r="42" spans="1:10" s="1" customFormat="1" hidden="1">
      <c r="A42" s="2"/>
      <c r="B42" s="2"/>
      <c r="C42" s="2"/>
      <c r="D42" s="2"/>
      <c r="H42" s="10">
        <f>SUBTOTAL(9,H18:H41)</f>
        <v>0</v>
      </c>
      <c r="I42" s="10"/>
    </row>
    <row r="43" spans="1:10" s="1" customFormat="1" ht="17.25">
      <c r="A43" s="7">
        <v>1</v>
      </c>
      <c r="B43" s="7" t="s">
        <v>112</v>
      </c>
      <c r="C43" s="19" t="s">
        <v>113</v>
      </c>
      <c r="D43" s="7" t="s">
        <v>95</v>
      </c>
      <c r="E43" s="21" t="s">
        <v>114</v>
      </c>
      <c r="F43" s="4"/>
      <c r="G43" s="4"/>
      <c r="H43" s="12">
        <f>H42*700000</f>
        <v>0</v>
      </c>
      <c r="I43" s="12">
        <f>950000*I42</f>
        <v>0</v>
      </c>
      <c r="J43" s="26">
        <f>H43+I43</f>
        <v>0</v>
      </c>
    </row>
    <row r="44" spans="1:10" s="1" customFormat="1" ht="17.25">
      <c r="A44" s="7">
        <v>2</v>
      </c>
      <c r="B44" s="7" t="s">
        <v>112</v>
      </c>
      <c r="C44" s="8" t="s">
        <v>115</v>
      </c>
      <c r="D44" s="7" t="s">
        <v>95</v>
      </c>
      <c r="E44" s="21" t="s">
        <v>116</v>
      </c>
      <c r="F44" s="4"/>
      <c r="G44" s="4"/>
      <c r="H44" s="4"/>
      <c r="I44" s="4"/>
    </row>
    <row r="45" spans="1:10" s="1" customFormat="1" ht="17.25">
      <c r="A45" s="7">
        <v>3</v>
      </c>
      <c r="B45" s="7" t="s">
        <v>112</v>
      </c>
      <c r="C45" s="19" t="s">
        <v>117</v>
      </c>
      <c r="D45" s="7" t="s">
        <v>118</v>
      </c>
      <c r="E45" s="21" t="s">
        <v>119</v>
      </c>
      <c r="F45" s="4"/>
      <c r="G45" s="4"/>
      <c r="H45" s="4"/>
      <c r="I45" s="4"/>
    </row>
    <row r="46" spans="1:10" s="1" customFormat="1" ht="17.25">
      <c r="A46" s="7">
        <v>4</v>
      </c>
      <c r="B46" s="7" t="s">
        <v>112</v>
      </c>
      <c r="C46" s="8" t="s">
        <v>120</v>
      </c>
      <c r="D46" s="7" t="s">
        <v>95</v>
      </c>
      <c r="E46" s="21" t="s">
        <v>121</v>
      </c>
      <c r="F46" s="4"/>
      <c r="G46" s="4"/>
      <c r="H46" s="4"/>
      <c r="I46" s="4"/>
    </row>
    <row r="47" spans="1:10" s="1" customFormat="1" ht="17.25">
      <c r="A47" s="7">
        <v>5</v>
      </c>
      <c r="B47" s="7" t="s">
        <v>112</v>
      </c>
      <c r="C47" s="19" t="s">
        <v>122</v>
      </c>
      <c r="D47" s="7" t="s">
        <v>118</v>
      </c>
      <c r="E47" s="21" t="s">
        <v>93</v>
      </c>
      <c r="F47" s="4"/>
      <c r="G47" s="4"/>
      <c r="H47" s="4"/>
      <c r="I47" s="4"/>
    </row>
    <row r="48" spans="1:10" s="1" customFormat="1">
      <c r="A48" s="7">
        <v>6</v>
      </c>
      <c r="B48" s="7" t="s">
        <v>112</v>
      </c>
      <c r="C48" s="7" t="s">
        <v>123</v>
      </c>
      <c r="D48" s="7" t="s">
        <v>118</v>
      </c>
      <c r="E48" s="4" t="s">
        <v>124</v>
      </c>
      <c r="F48" s="4"/>
      <c r="G48" s="4"/>
      <c r="H48" s="4"/>
      <c r="I48" s="4"/>
    </row>
    <row r="49" spans="1:9" s="1" customFormat="1">
      <c r="A49" s="7">
        <v>7</v>
      </c>
      <c r="B49" s="7" t="s">
        <v>112</v>
      </c>
      <c r="C49" s="7" t="s">
        <v>125</v>
      </c>
      <c r="D49" s="7" t="s">
        <v>95</v>
      </c>
      <c r="E49" s="4" t="s">
        <v>126</v>
      </c>
      <c r="F49" s="4"/>
      <c r="G49" s="4"/>
      <c r="H49" s="4"/>
      <c r="I49" s="4"/>
    </row>
    <row r="50" spans="1:9" hidden="1"/>
    <row r="51" spans="1:9" hidden="1"/>
  </sheetData>
  <autoFilter ref="A2:E51" xr:uid="{33B33F2E-3D9A-414A-96DE-8A5F4CF6B554}">
    <filterColumn colId="1">
      <filters>
        <filter val="영업팀"/>
      </filters>
    </filterColumn>
    <sortState xmlns:xlrd2="http://schemas.microsoft.com/office/spreadsheetml/2017/richdata2" ref="A3:E23">
      <sortCondition ref="B2"/>
    </sortState>
  </autoFilter>
  <mergeCells count="1">
    <mergeCell ref="A1:F1"/>
  </mergeCells>
  <phoneticPr fontId="1" type="noConversion"/>
  <conditionalFormatting sqref="E3:E5 E16">
    <cfRule type="expression" dxfId="4" priority="1">
      <formula>#REF!="우원확인필요"</formula>
    </cfRule>
    <cfRule type="expression" dxfId="3" priority="2">
      <formula>#REF!="불가"</formula>
    </cfRule>
    <cfRule type="expression" dxfId="2" priority="3">
      <formula>#REF!="영림원확인필요"</formula>
    </cfRule>
    <cfRule type="expression" dxfId="1" priority="4">
      <formula>#REF!="보류"</formula>
    </cfRule>
    <cfRule type="expression" dxfId="0" priority="5">
      <formula>#REF!="완료"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2847-8A12-4EEA-A294-F458FF4F7AF9}">
  <dimension ref="A1:H14"/>
  <sheetViews>
    <sheetView zoomScale="115" zoomScaleNormal="115" workbookViewId="0">
      <pane ySplit="2" topLeftCell="A3" activePane="bottomLeft" state="frozen"/>
      <selection pane="bottomLeft" activeCell="B11" sqref="B11:E14"/>
    </sheetView>
  </sheetViews>
  <sheetFormatPr defaultRowHeight="16.5"/>
  <cols>
    <col min="1" max="1" width="10.75" style="3" customWidth="1"/>
    <col min="2" max="2" width="15" style="3" customWidth="1"/>
    <col min="3" max="3" width="29.25" style="3" customWidth="1"/>
    <col min="4" max="4" width="25.75" style="3" customWidth="1"/>
    <col min="5" max="5" width="120.375" customWidth="1"/>
    <col min="6" max="6" width="22.75" customWidth="1"/>
    <col min="7" max="7" width="8.375" customWidth="1"/>
    <col min="8" max="8" width="11.625" bestFit="1" customWidth="1"/>
    <col min="9" max="9" width="10.5" bestFit="1" customWidth="1"/>
    <col min="10" max="10" width="11.625" bestFit="1" customWidth="1"/>
  </cols>
  <sheetData>
    <row r="1" spans="1:8" s="1" customFormat="1" ht="35.450000000000003" customHeight="1">
      <c r="A1" s="30" t="s">
        <v>6</v>
      </c>
      <c r="B1" s="31"/>
      <c r="C1" s="31"/>
      <c r="D1" s="31"/>
      <c r="E1" s="31"/>
      <c r="F1" s="31"/>
      <c r="G1" s="11"/>
    </row>
    <row r="2" spans="1:8" s="1" customFormat="1">
      <c r="A2" s="5" t="s">
        <v>0</v>
      </c>
      <c r="B2" s="5" t="s">
        <v>1</v>
      </c>
      <c r="C2" s="5" t="s">
        <v>7</v>
      </c>
      <c r="D2" s="5" t="s">
        <v>2</v>
      </c>
      <c r="E2" s="5" t="s">
        <v>9</v>
      </c>
      <c r="F2" s="9" t="s">
        <v>3</v>
      </c>
      <c r="G2" s="9" t="s">
        <v>4</v>
      </c>
      <c r="H2" s="9" t="s">
        <v>5</v>
      </c>
    </row>
    <row r="3" spans="1:8" s="1" customFormat="1" ht="33">
      <c r="A3" s="6">
        <v>1</v>
      </c>
      <c r="B3" s="7" t="s">
        <v>31</v>
      </c>
      <c r="C3" s="7" t="s">
        <v>32</v>
      </c>
      <c r="D3" s="7" t="s">
        <v>33</v>
      </c>
      <c r="E3" s="4" t="s">
        <v>34</v>
      </c>
      <c r="F3" s="18"/>
    </row>
    <row r="4" spans="1:8" s="1" customFormat="1" ht="32.25">
      <c r="A4" s="6">
        <v>2</v>
      </c>
      <c r="B4" s="19" t="s">
        <v>35</v>
      </c>
      <c r="C4" s="8" t="s">
        <v>10</v>
      </c>
      <c r="D4" s="20" t="s">
        <v>36</v>
      </c>
      <c r="E4" s="21" t="s">
        <v>37</v>
      </c>
      <c r="F4" s="4"/>
    </row>
    <row r="5" spans="1:8" s="1" customFormat="1" ht="34.5">
      <c r="A5" s="6">
        <v>3</v>
      </c>
      <c r="B5" s="19" t="s">
        <v>35</v>
      </c>
      <c r="C5" s="8" t="s">
        <v>10</v>
      </c>
      <c r="D5" s="22" t="s">
        <v>38</v>
      </c>
      <c r="E5" s="21" t="s">
        <v>39</v>
      </c>
      <c r="F5" s="4"/>
    </row>
    <row r="6" spans="1:8" s="1" customFormat="1" ht="34.5">
      <c r="A6" s="6">
        <v>4</v>
      </c>
      <c r="B6" s="19" t="s">
        <v>35</v>
      </c>
      <c r="C6" s="8" t="s">
        <v>10</v>
      </c>
      <c r="D6" s="22" t="s">
        <v>40</v>
      </c>
      <c r="E6" s="21" t="s">
        <v>41</v>
      </c>
      <c r="F6" s="4"/>
    </row>
    <row r="7" spans="1:8" s="1" customFormat="1">
      <c r="A7" s="7">
        <v>5</v>
      </c>
      <c r="B7" s="7" t="s">
        <v>31</v>
      </c>
      <c r="C7" s="8" t="s">
        <v>10</v>
      </c>
      <c r="D7" s="7" t="s">
        <v>42</v>
      </c>
      <c r="E7" s="4" t="s">
        <v>43</v>
      </c>
      <c r="F7" s="4"/>
    </row>
    <row r="8" spans="1:8" s="1" customFormat="1" ht="34.5">
      <c r="A8" s="7">
        <v>6</v>
      </c>
      <c r="B8" s="7" t="s">
        <v>31</v>
      </c>
      <c r="C8" s="8" t="s">
        <v>10</v>
      </c>
      <c r="D8" s="23" t="s">
        <v>42</v>
      </c>
      <c r="E8" s="24" t="s">
        <v>44</v>
      </c>
      <c r="F8" s="4"/>
    </row>
    <row r="9" spans="1:8" s="1" customFormat="1">
      <c r="A9" s="7">
        <v>7</v>
      </c>
      <c r="B9" s="8" t="s">
        <v>31</v>
      </c>
      <c r="C9" s="8" t="s">
        <v>10</v>
      </c>
      <c r="D9" s="7" t="s">
        <v>45</v>
      </c>
      <c r="E9" s="4" t="s">
        <v>46</v>
      </c>
      <c r="F9" s="4"/>
    </row>
    <row r="10" spans="1:8" s="1" customFormat="1" ht="49.5">
      <c r="A10" s="7">
        <v>8</v>
      </c>
      <c r="B10" s="8" t="s">
        <v>47</v>
      </c>
      <c r="C10" s="8" t="s">
        <v>10</v>
      </c>
      <c r="D10" s="7" t="s">
        <v>48</v>
      </c>
      <c r="E10" s="4" t="s">
        <v>49</v>
      </c>
      <c r="F10" s="4"/>
    </row>
    <row r="11" spans="1:8" s="1" customFormat="1">
      <c r="A11" s="7">
        <v>9</v>
      </c>
      <c r="B11" s="8" t="s">
        <v>47</v>
      </c>
      <c r="C11" s="8" t="s">
        <v>10</v>
      </c>
      <c r="D11" s="7" t="s">
        <v>50</v>
      </c>
      <c r="E11" s="4" t="s">
        <v>51</v>
      </c>
      <c r="F11" s="4"/>
    </row>
    <row r="12" spans="1:8" s="1" customFormat="1">
      <c r="A12" s="7">
        <v>10</v>
      </c>
      <c r="B12" s="8" t="s">
        <v>47</v>
      </c>
      <c r="C12" s="8" t="s">
        <v>10</v>
      </c>
      <c r="D12" s="7" t="s">
        <v>52</v>
      </c>
      <c r="E12" s="4" t="s">
        <v>53</v>
      </c>
      <c r="F12" s="4"/>
    </row>
    <row r="13" spans="1:8" s="1" customFormat="1">
      <c r="A13" s="7">
        <v>11</v>
      </c>
      <c r="B13" s="8" t="s">
        <v>47</v>
      </c>
      <c r="C13" s="8" t="s">
        <v>10</v>
      </c>
      <c r="D13" s="7" t="s">
        <v>54</v>
      </c>
      <c r="E13" s="4" t="s">
        <v>55</v>
      </c>
      <c r="F13" s="4"/>
    </row>
    <row r="14" spans="1:8" s="1" customFormat="1">
      <c r="A14" s="7">
        <v>12</v>
      </c>
      <c r="B14" s="8" t="s">
        <v>47</v>
      </c>
      <c r="C14" s="8" t="s">
        <v>10</v>
      </c>
      <c r="D14" s="7" t="s">
        <v>56</v>
      </c>
      <c r="E14" s="4" t="s">
        <v>57</v>
      </c>
      <c r="F14" s="4"/>
    </row>
  </sheetData>
  <autoFilter ref="A2:E39" xr:uid="{33B33F2E-3D9A-414A-96DE-8A5F4CF6B554}">
    <sortState xmlns:xlrd2="http://schemas.microsoft.com/office/spreadsheetml/2017/richdata2" ref="A3:E20">
      <sortCondition ref="B2"/>
    </sortState>
  </autoFilter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0ED9-3D17-48E0-AEED-9A53A1865CA3}">
  <dimension ref="A1:J12"/>
  <sheetViews>
    <sheetView tabSelected="1" zoomScaleNormal="100" workbookViewId="0">
      <pane ySplit="2" topLeftCell="A3" activePane="bottomLeft" state="frozen"/>
      <selection pane="bottomLeft" activeCell="E8" sqref="E8"/>
    </sheetView>
  </sheetViews>
  <sheetFormatPr defaultRowHeight="16.5"/>
  <cols>
    <col min="1" max="1" width="10.75" style="3" customWidth="1"/>
    <col min="2" max="2" width="15" style="3" customWidth="1"/>
    <col min="3" max="3" width="29.25" style="3" customWidth="1"/>
    <col min="4" max="4" width="27.625" style="3" customWidth="1"/>
    <col min="5" max="5" width="124.75" customWidth="1"/>
    <col min="6" max="6" width="22.75" customWidth="1"/>
    <col min="7" max="7" width="8.375" customWidth="1"/>
    <col min="8" max="8" width="11.625" bestFit="1" customWidth="1"/>
    <col min="9" max="9" width="10.5" bestFit="1" customWidth="1"/>
    <col min="10" max="10" width="11.625" bestFit="1" customWidth="1"/>
  </cols>
  <sheetData>
    <row r="1" spans="1:10" s="1" customFormat="1" ht="35.450000000000003" customHeight="1">
      <c r="A1" s="30" t="s">
        <v>6</v>
      </c>
      <c r="B1" s="31"/>
      <c r="C1" s="31"/>
      <c r="D1" s="31"/>
      <c r="E1" s="31"/>
      <c r="F1" s="31"/>
      <c r="G1" s="11"/>
    </row>
    <row r="2" spans="1:10" s="1" customFormat="1">
      <c r="A2" s="5" t="s">
        <v>0</v>
      </c>
      <c r="B2" s="5" t="s">
        <v>1</v>
      </c>
      <c r="C2" s="5" t="s">
        <v>7</v>
      </c>
      <c r="D2" s="5" t="s">
        <v>2</v>
      </c>
      <c r="E2" s="5" t="s">
        <v>9</v>
      </c>
      <c r="F2" s="9" t="s">
        <v>3</v>
      </c>
      <c r="G2" s="9" t="s">
        <v>4</v>
      </c>
      <c r="H2" s="9" t="s">
        <v>5</v>
      </c>
      <c r="I2" s="9"/>
    </row>
    <row r="3" spans="1:10" s="1" customFormat="1" ht="36.6" customHeight="1">
      <c r="A3" s="6">
        <v>1</v>
      </c>
      <c r="B3" s="7"/>
      <c r="C3" s="7" t="s">
        <v>8</v>
      </c>
      <c r="D3" s="7"/>
      <c r="E3" s="4"/>
      <c r="F3" s="4"/>
      <c r="G3" s="7"/>
      <c r="H3" s="12"/>
      <c r="I3" s="12"/>
    </row>
    <row r="4" spans="1:10" s="1" customFormat="1">
      <c r="A4" s="6">
        <v>2</v>
      </c>
      <c r="B4" s="14" t="s">
        <v>14</v>
      </c>
      <c r="C4" s="14" t="s">
        <v>10</v>
      </c>
      <c r="D4" s="15" t="s">
        <v>11</v>
      </c>
      <c r="E4" s="16" t="s">
        <v>12</v>
      </c>
      <c r="F4" s="4"/>
      <c r="G4" s="7" t="s">
        <v>28</v>
      </c>
      <c r="H4" s="12"/>
      <c r="I4" s="12"/>
    </row>
    <row r="5" spans="1:10" s="1" customFormat="1">
      <c r="A5" s="6">
        <v>3</v>
      </c>
      <c r="B5" s="14" t="s">
        <v>14</v>
      </c>
      <c r="C5" s="14" t="s">
        <v>10</v>
      </c>
      <c r="D5" s="17" t="s">
        <v>13</v>
      </c>
      <c r="E5" s="16" t="s">
        <v>15</v>
      </c>
      <c r="F5" s="4"/>
      <c r="G5" s="7" t="s">
        <v>28</v>
      </c>
      <c r="H5" s="12"/>
      <c r="I5" s="12"/>
    </row>
    <row r="6" spans="1:10" s="1" customFormat="1">
      <c r="A6" s="6">
        <v>4</v>
      </c>
      <c r="B6" s="14" t="s">
        <v>16</v>
      </c>
      <c r="C6" s="14" t="s">
        <v>17</v>
      </c>
      <c r="D6" s="17" t="s">
        <v>18</v>
      </c>
      <c r="E6" s="16" t="s">
        <v>19</v>
      </c>
      <c r="F6" s="4"/>
      <c r="G6" s="7" t="s">
        <v>27</v>
      </c>
      <c r="H6" s="12"/>
      <c r="I6" s="12"/>
    </row>
    <row r="7" spans="1:10" s="1" customFormat="1">
      <c r="A7" s="6">
        <v>5</v>
      </c>
      <c r="B7" s="14" t="s">
        <v>16</v>
      </c>
      <c r="C7" s="14" t="s">
        <v>17</v>
      </c>
      <c r="D7" s="17" t="s">
        <v>20</v>
      </c>
      <c r="E7" s="16" t="s">
        <v>21</v>
      </c>
      <c r="F7" s="4"/>
      <c r="G7" s="7" t="s">
        <v>26</v>
      </c>
      <c r="H7" s="4"/>
      <c r="I7" s="4"/>
    </row>
    <row r="8" spans="1:10" s="1" customFormat="1">
      <c r="A8" s="6">
        <v>5</v>
      </c>
      <c r="B8" s="14" t="s">
        <v>14</v>
      </c>
      <c r="C8" s="14" t="s">
        <v>10</v>
      </c>
      <c r="D8" s="17" t="s">
        <v>22</v>
      </c>
      <c r="E8" s="16" t="s">
        <v>23</v>
      </c>
      <c r="F8" s="4"/>
      <c r="G8" s="7" t="s">
        <v>26</v>
      </c>
      <c r="H8" s="12"/>
      <c r="I8" s="12"/>
    </row>
    <row r="9" spans="1:10" s="1" customFormat="1">
      <c r="A9" s="7">
        <v>6</v>
      </c>
      <c r="B9" s="14" t="s">
        <v>16</v>
      </c>
      <c r="C9" s="14" t="s">
        <v>10</v>
      </c>
      <c r="D9" s="7" t="s">
        <v>24</v>
      </c>
      <c r="E9" s="7" t="s">
        <v>25</v>
      </c>
      <c r="F9" s="4"/>
      <c r="G9" s="7" t="s">
        <v>26</v>
      </c>
      <c r="H9" s="12"/>
      <c r="I9" s="12"/>
    </row>
    <row r="10" spans="1:10" s="1" customFormat="1">
      <c r="A10" s="7">
        <v>7</v>
      </c>
      <c r="B10" s="14" t="s">
        <v>14</v>
      </c>
      <c r="C10" s="14" t="s">
        <v>10</v>
      </c>
      <c r="D10" s="7" t="s">
        <v>29</v>
      </c>
      <c r="E10" s="7" t="s">
        <v>30</v>
      </c>
      <c r="F10" s="4"/>
      <c r="G10" s="7" t="s">
        <v>27</v>
      </c>
      <c r="H10" s="12"/>
      <c r="I10" s="12"/>
    </row>
    <row r="11" spans="1:10" s="1" customFormat="1">
      <c r="A11" s="2"/>
      <c r="B11" s="2"/>
      <c r="C11" s="2"/>
      <c r="D11" s="2"/>
      <c r="H11" s="10">
        <f>SUBTOTAL(9,H3:H10)</f>
        <v>0</v>
      </c>
      <c r="I11" s="10"/>
    </row>
    <row r="12" spans="1:10" s="1" customFormat="1">
      <c r="A12" s="2"/>
      <c r="B12" s="2"/>
      <c r="C12" s="2"/>
      <c r="D12" s="2"/>
      <c r="H12" s="12">
        <f>H11*700000</f>
        <v>0</v>
      </c>
      <c r="I12" s="12">
        <f>950000*I11</f>
        <v>0</v>
      </c>
      <c r="J12" s="13">
        <f>H12+I12</f>
        <v>0</v>
      </c>
    </row>
  </sheetData>
  <autoFilter ref="A2:E12" xr:uid="{33B33F2E-3D9A-414A-96DE-8A5F4CF6B554}">
    <sortState xmlns:xlrd2="http://schemas.microsoft.com/office/spreadsheetml/2017/richdata2" ref="A3:E8">
      <sortCondition ref="B2"/>
    </sortState>
  </autoFilter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영업팀</vt:lpstr>
      <vt:lpstr>재무그룹</vt:lpstr>
      <vt:lpstr>구매그룹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kds0104@woowonsystem.com</dc:creator>
  <cp:lastModifiedBy>양 환복</cp:lastModifiedBy>
  <cp:lastPrinted>2022-02-21T04:07:20Z</cp:lastPrinted>
  <dcterms:created xsi:type="dcterms:W3CDTF">2021-10-25T23:56:47Z</dcterms:created>
  <dcterms:modified xsi:type="dcterms:W3CDTF">2025-03-11T01:56:00Z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Q0IiwibG9nVGltZSI6IjIwMjUtMDItMThUMDA6Mzc6MDZaIiwicElEIjoxLCJ0cmFjZUlkIjoiQ0I4QzM5QTkzODI2NEJEQTg2NUE5RDcxMTU3NzM2MkEiLCJ1c2VyQ29kZSI6ImtkczAxMDQifSwibm9kZTIiOnsiZHNkIjoiMDEwMDAwMDAwMDAwMTY0NCIsImxvZ1RpbWUiOiIyMDI1LTAyLTE4VDAwOjM5OjM1WiIsInBJRCI6MSwidHJhY2VJZCI6IkUxNjVDMUQ4NTU3OTREOEM5NTI1RUNGQjlGMzg3MjM4IiwidXNlckNvZGUiOiJrZHMwMTA0In0sIm5vZGUzIjp7ImRzZCI6IjAxMDAwMDAwMDAwMDE2NDQiLCJsb2dUaW1lIjoiMjAyNS0wMi0xOFQwNTowOToyOFoiLCJwSUQiOjEsInRyYWNlSWQiOiI0ODMzMjgwMUI4M0I0NjM2OERGRDdEQjNERTM2RjJFRSIsInVzZXJDb2RlIjoibGp1MDcxMyJ9LCJub2RlNCI6eyJkc2QiOiIwMTAwMDAwMDAwMDAxNjQ0IiwibG9nVGltZSI6IjIwMjUtMDMtMDNUMjM6MzM6NTVaIiwicElEIjoxLCJ0cmFjZUlkIjoiREZGQzVCNDA1RUNDNEM0OEE0MTkyQzBCMDE4NTAyM0IiLCJ1c2VyQ29kZSI6Imt5czA5MDUifSwibm9kZTUiOnsiZHNkIjoiMDAwMDAwMDAwMDAwMDAwMCIsImxvZ1RpbWUiOiIyMDI1LTAzLTA2VDA2OjAwOjI1WiIsInBJRCI6MjA0OCwidHJhY2VJZCI6IjQxNTdCMjdBMENFNTQ3Nzc4QUM0MENENkI3MDdFRTc3IiwidXNlckNvZGUiOiJreXMwOTA1In0sIm5vZGVDb3VudCI6MTAyfQ==</vt:lpwstr>
  </property>
</Properties>
</file>