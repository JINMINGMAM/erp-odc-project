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seksystemco-my.sharepoint.com/personal/mnkim_ksystem_co_kr/Documents/PC Migration_20240731/ODC 추가개발 프로젝트/파크시스템스/문서/"/>
    </mc:Choice>
  </mc:AlternateContent>
  <xr:revisionPtr revIDLastSave="107" documentId="13_ncr:1_{7FCBC2EB-8EC4-403D-9637-E616E62E1087}" xr6:coauthVersionLast="47" xr6:coauthVersionMax="47" xr10:uidLastSave="{FE8A162E-8CAB-44E4-9180-8B1C3550905D}"/>
  <bookViews>
    <workbookView xWindow="-28920" yWindow="-120" windowWidth="29040" windowHeight="15720" tabRatio="836" activeTab="1" xr2:uid="{00000000-000D-0000-FFFF-FFFF00000000}"/>
  </bookViews>
  <sheets>
    <sheet name="Requirement" sheetId="1" r:id="rId1"/>
    <sheet name="프로그램 리스트" sheetId="13" r:id="rId2"/>
    <sheet name="배정" sheetId="12" r:id="rId3"/>
    <sheet name="거래처 승인 출력물 " sheetId="11" r:id="rId4"/>
    <sheet name="근무조정신청서 출력물 " sheetId="8" r:id="rId5"/>
    <sheet name="근무조정신청서 테이블" sheetId="9" r:id="rId6"/>
    <sheet name="근무조정신청서 확정 후처리" sheetId="10" r:id="rId7"/>
    <sheet name="근태조회 분석" sheetId="7" r:id="rId8"/>
    <sheet name="6. 인사_다중조건검색 화면 구성" sheetId="4" r:id="rId9"/>
    <sheet name="6. 인사_다중조건검색 결화화면 예시" sheetId="5" r:id="rId10"/>
    <sheet name="37. 근무신청서 시작종료시간 표기" sheetId="6"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 l="1"/>
</calcChain>
</file>

<file path=xl/sharedStrings.xml><?xml version="1.0" encoding="utf-8"?>
<sst xmlns="http://schemas.openxmlformats.org/spreadsheetml/2006/main" count="473" uniqueCount="275">
  <si>
    <t>수정</t>
  </si>
  <si>
    <t>신규</t>
  </si>
  <si>
    <t>요구사항</t>
    <phoneticPr fontId="4" type="noConversion"/>
  </si>
  <si>
    <t>유형</t>
    <phoneticPr fontId="4" type="noConversion"/>
  </si>
  <si>
    <t xml:space="preserve">공수 </t>
    <phoneticPr fontId="4" type="noConversion"/>
  </si>
  <si>
    <t>비고</t>
    <phoneticPr fontId="4" type="noConversion"/>
  </si>
  <si>
    <t>번호</t>
    <phoneticPr fontId="4" type="noConversion"/>
  </si>
  <si>
    <t>[예산과목별실적상세조회(집계)_park]
 1. 초기예산에 1년초기 예산이 조회되도록 수정</t>
    <phoneticPr fontId="4" type="noConversion"/>
  </si>
  <si>
    <t>수정</t>
    <phoneticPr fontId="4" type="noConversion"/>
  </si>
  <si>
    <t>[외화평가]
 1. 외화예금평가를 일기준으로 할 수 있도록 추가개발
 2. 외화예금평가(환원평가)를 일기준으로 할 수 있도록 추가개발</t>
    <phoneticPr fontId="4" type="noConversion"/>
  </si>
  <si>
    <t>500971
500972</t>
    <phoneticPr fontId="4" type="noConversion"/>
  </si>
  <si>
    <t>[손익계산서(코스트센터별)]
 1. 예산과 동일하게 코스트센터별로 손익계산서를 조회하도록 추가개발</t>
    <phoneticPr fontId="4" type="noConversion"/>
  </si>
  <si>
    <t xml:space="preserve">기존 화면에 있음 복사 해서 만들 면 됨 </t>
    <phoneticPr fontId="4" type="noConversion"/>
  </si>
  <si>
    <t>[임직원다중검색]
 1. 임직원다중검색의 화면 고도화
 2. 조직레벨을 나누어 조회하도록 개발</t>
    <phoneticPr fontId="4" type="noConversion"/>
  </si>
  <si>
    <t xml:space="preserve">1.다중검색추가 항목 정리필요
2.조직 레벨로 보여준다는 게 상세한 UI 필요 </t>
    <phoneticPr fontId="4" type="noConversion"/>
  </si>
  <si>
    <t>select umdeptlevel,*     from _THROrgDept 
select * from _tdauminor where majorseq = 3054</t>
    <phoneticPr fontId="4" type="noConversion"/>
  </si>
  <si>
    <t xml:space="preserve">로직 확인 </t>
    <phoneticPr fontId="4" type="noConversion"/>
  </si>
  <si>
    <t>[휴일근무신청]
 1. 휴일근무신청의 결재완료시 기타휴가항목의 휴가일수 추가하여 일자관리</t>
    <phoneticPr fontId="4" type="noConversion"/>
  </si>
  <si>
    <t>[근무시간조정신청]
 1. 근무시간조정신청 프로세스 개발
 2. 근무시간조정신청(개인), 
    근무시간조정신청내역조회(개인), 
    근무시간조정신청내역조회(관리자), 
    결재문서, 
    결재문서 최종승인시 데이터 조정</t>
    <phoneticPr fontId="4" type="noConversion"/>
  </si>
  <si>
    <t>[근무내역현황_park]
 1. 근무내역현황 기준으로 근무신청/연장근무/휴일근무/야근근무 등 고려하여 고도화
 ※ 상세스펙 협의필요</t>
    <phoneticPr fontId="4" type="noConversion"/>
  </si>
  <si>
    <t xml:space="preserve">룰 명확 필요 어떤 근태항목 기준으로 잡을지 리스트화 </t>
    <phoneticPr fontId="4" type="noConversion"/>
  </si>
  <si>
    <t>[수출매출처리]
 1. 수출매출처리시 수출매출과 선수금의 평균환율로 적용하여 계산
 2. 선수금 선택 후 환율 적용
 ※ 개발시 상세 산식 확인필요</t>
    <phoneticPr fontId="4" type="noConversion"/>
  </si>
  <si>
    <t xml:space="preserve"> _TDACustReq
 _TDACustReqKind
 _TDACustReqUserDefine/it 통제 참고 하여 개발 </t>
    <phoneticPr fontId="4" type="noConversion"/>
  </si>
  <si>
    <t xml:space="preserve">체크로직 추가 </t>
    <phoneticPr fontId="4" type="noConversion"/>
  </si>
  <si>
    <t xml:space="preserve">계정 정의 고객사 협의 /루아 스크립트 수정 </t>
    <phoneticPr fontId="4" type="noConversion"/>
  </si>
  <si>
    <t xml:space="preserve">sp 수정 및 디자인 수정 /고객사 디자인 및 위치  협의 </t>
    <phoneticPr fontId="4" type="noConversion"/>
  </si>
  <si>
    <t xml:space="preserve">조회 조건 추가 /소수점 자릿수 고객사 협의 절사 할지 </t>
    <phoneticPr fontId="4" type="noConversion"/>
  </si>
  <si>
    <t>일자별 사이트 테이블 필요 - _TACSttlDepoRate</t>
    <phoneticPr fontId="4" type="noConversion"/>
  </si>
  <si>
    <t xml:space="preserve">sp 수정 로직 조금 바꾸면 됨 </t>
    <phoneticPr fontId="4" type="noConversion"/>
  </si>
  <si>
    <t>표준프로그램코드(참고)</t>
    <phoneticPr fontId="4" type="noConversion"/>
  </si>
  <si>
    <t>사이트추가개발프로그램코드(참고)</t>
    <phoneticPr fontId="4" type="noConversion"/>
  </si>
  <si>
    <t>527412
527413</t>
    <phoneticPr fontId="4" type="noConversion"/>
  </si>
  <si>
    <t>[전자세금계산서(정발행)]
 1. 전표승인없는 건은 전자세금계산서 전송이 불가능하도록 추가개발</t>
    <phoneticPr fontId="4" type="noConversion"/>
  </si>
  <si>
    <t>[법인카드사용내역 회계전표생성]
 1. 법인카드 사용내역 회계전표생성, 법인카드 사용내역 회계전표생성(개인) 화면에서 접대비/차량유지비 등의 계정은 부가세관련 적용되지 않도록 추가개발</t>
    <phoneticPr fontId="4" type="noConversion"/>
  </si>
  <si>
    <t>521050
521133</t>
    <phoneticPr fontId="4" type="noConversion"/>
  </si>
  <si>
    <t>[근무신청서]
 1. 근무신청서 결재화면에 시작/종료시간 표기</t>
    <phoneticPr fontId="4" type="noConversion"/>
  </si>
  <si>
    <t>523017
523018</t>
    <phoneticPr fontId="4" type="noConversion"/>
  </si>
  <si>
    <t>[월별재무상태표]
 1. 금액단위별 조회도도록 추가개발</t>
    <phoneticPr fontId="4" type="noConversion"/>
  </si>
  <si>
    <t>pgm count</t>
    <phoneticPr fontId="4" type="noConversion"/>
  </si>
  <si>
    <t>1~2</t>
    <phoneticPr fontId="4" type="noConversion"/>
  </si>
  <si>
    <t xml:space="preserve">고객사 문의 필요 </t>
    <phoneticPr fontId="4" type="noConversion"/>
  </si>
  <si>
    <t>ㅇ</t>
    <phoneticPr fontId="4" type="noConversion"/>
  </si>
  <si>
    <t xml:space="preserve">  - 조회 조건: 00.00.00 ~ 00.00.00</t>
    <phoneticPr fontId="6" type="noConversion"/>
  </si>
  <si>
    <t xml:space="preserve"> 3) 다중검색 조건에 맞는 인원 중 일정 기간의 입사자 및 퇴직자 수 </t>
    <phoneticPr fontId="6" type="noConversion"/>
  </si>
  <si>
    <t xml:space="preserve">  - 개인별 근속년수 및 근속년월일 컬럼 추가 (사원근무년수조회 화면에서 근속년수와 근속년월일 컬럼과 동일)</t>
    <phoneticPr fontId="6" type="noConversion"/>
  </si>
  <si>
    <t xml:space="preserve">  - 조회 조건: 00.00.00</t>
    <phoneticPr fontId="6" type="noConversion"/>
  </si>
  <si>
    <t xml:space="preserve"> 2) 다중검색 조건에 맞는 인원 중 특정 시점의 평균근속기간 현황</t>
    <phoneticPr fontId="6" type="noConversion"/>
  </si>
  <si>
    <t xml:space="preserve">     퇴직자를 포함하지 않으면 특점 시점에서 현재 재직하고 있는 인원만 확일 할 수 있음</t>
    <phoneticPr fontId="6" type="noConversion"/>
  </si>
  <si>
    <t xml:space="preserve">   - 퇴직자를 포함하면 특정 시점에서 현재 퇴직자를 포함한 전체 인원 수를 조회할 수 있고, </t>
    <phoneticPr fontId="6" type="noConversion"/>
  </si>
  <si>
    <t xml:space="preserve">   - 특정 시점의 임직원 인원 수 (00.00.00)</t>
    <phoneticPr fontId="6" type="noConversion"/>
  </si>
  <si>
    <t xml:space="preserve"> 1) 다중검색 조건에 맞는 인원(수)  (*퇴직자 포함할 것인지 체크박스 필요)</t>
    <phoneticPr fontId="6" type="noConversion"/>
  </si>
  <si>
    <t xml:space="preserve">   &gt;&gt; '다중조건검색 결과화면' 시트의 예시화면 참고</t>
    <phoneticPr fontId="6" type="noConversion"/>
  </si>
  <si>
    <t xml:space="preserve"> ** 요약표와, 해당 data의 세부 사원명부(리스트)가 화면에 함께 구성되도록</t>
    <phoneticPr fontId="6" type="noConversion"/>
  </si>
  <si>
    <t xml:space="preserve">3. 조회(결과) 화면에 요약표 함께 구성 (위 다중검색을 통해 나오는 결과물) </t>
    <phoneticPr fontId="6" type="noConversion"/>
  </si>
  <si>
    <t xml:space="preserve"> * 나이를 검색조건에 넣을 경우 구간 선택 가능하도록 설정 (ex. 20세 ~ 35세)</t>
    <phoneticPr fontId="6" type="noConversion"/>
  </si>
  <si>
    <t>12) 나이</t>
    <phoneticPr fontId="6" type="noConversion"/>
  </si>
  <si>
    <t>11) 채용형태</t>
    <phoneticPr fontId="6" type="noConversion"/>
  </si>
  <si>
    <t>10) 학위</t>
    <phoneticPr fontId="6" type="noConversion"/>
  </si>
  <si>
    <t xml:space="preserve"> 9) 국적</t>
    <phoneticPr fontId="6" type="noConversion"/>
  </si>
  <si>
    <t xml:space="preserve"> 8) 성별</t>
    <phoneticPr fontId="6" type="noConversion"/>
  </si>
  <si>
    <t xml:space="preserve"> 7) 근무상태</t>
    <phoneticPr fontId="6" type="noConversion"/>
  </si>
  <si>
    <t xml:space="preserve"> 6) 직무</t>
    <phoneticPr fontId="6" type="noConversion"/>
  </si>
  <si>
    <t xml:space="preserve"> 5) 직군</t>
    <phoneticPr fontId="6" type="noConversion"/>
  </si>
  <si>
    <t xml:space="preserve"> 4) 직책</t>
    <phoneticPr fontId="6" type="noConversion"/>
  </si>
  <si>
    <t xml:space="preserve"> 3) 호봉</t>
    <phoneticPr fontId="6" type="noConversion"/>
  </si>
  <si>
    <t xml:space="preserve"> 2) 직위</t>
    <phoneticPr fontId="6" type="noConversion"/>
  </si>
  <si>
    <t xml:space="preserve"> 1) 부서 (상위 레벨 선택 시 하위 레벨도 함께 검색 되어야 함, ex 경영지원부 선택 시 하위 레벨인 ESG실, 재무기획실과 하위 팀 까지 검색)</t>
    <phoneticPr fontId="6" type="noConversion"/>
  </si>
  <si>
    <t>2. 다중검색조건</t>
    <phoneticPr fontId="6" type="noConversion"/>
  </si>
  <si>
    <t xml:space="preserve"> </t>
    <phoneticPr fontId="6" type="noConversion"/>
  </si>
  <si>
    <t>황원동</t>
    <phoneticPr fontId="6" type="noConversion"/>
  </si>
  <si>
    <t>-</t>
    <phoneticPr fontId="6" type="noConversion"/>
  </si>
  <si>
    <t>인사문화팀</t>
    <phoneticPr fontId="6" type="noConversion"/>
  </si>
  <si>
    <t>ESG실</t>
    <phoneticPr fontId="6" type="noConversion"/>
  </si>
  <si>
    <t>경영지원부</t>
    <phoneticPr fontId="6" type="noConversion"/>
  </si>
  <si>
    <t>뒤로는 사원명부조회 화면 컬럼과 동일 (직위, 직군, 직무, 나이, 성별, 국적, 직책 등등)</t>
    <phoneticPr fontId="6" type="noConversion"/>
  </si>
  <si>
    <t>사번</t>
    <phoneticPr fontId="6" type="noConversion"/>
  </si>
  <si>
    <t>사원</t>
    <phoneticPr fontId="6" type="noConversion"/>
  </si>
  <si>
    <t>부서(레벨7)</t>
    <phoneticPr fontId="6" type="noConversion"/>
  </si>
  <si>
    <t>~</t>
    <phoneticPr fontId="6" type="noConversion"/>
  </si>
  <si>
    <t>부서(레벨4)</t>
    <phoneticPr fontId="6" type="noConversion"/>
  </si>
  <si>
    <t>부서(레벨3)</t>
    <phoneticPr fontId="6" type="noConversion"/>
  </si>
  <si>
    <t>부서(레벨2)</t>
    <phoneticPr fontId="6" type="noConversion"/>
  </si>
  <si>
    <t>※</t>
    <phoneticPr fontId="6" type="noConversion"/>
  </si>
  <si>
    <t>1. 다중조건 검색 조회화면 중 사원리스트 컬럼 구성</t>
    <phoneticPr fontId="6" type="noConversion"/>
  </si>
  <si>
    <t>■ 다중조건 검색 화면 구성</t>
    <phoneticPr fontId="6" type="noConversion"/>
  </si>
  <si>
    <t>1. 화면메뉴 구성 예시</t>
    <phoneticPr fontId="6" type="noConversion"/>
  </si>
  <si>
    <r>
      <t xml:space="preserve">근태항목 기타근무 구분 정의 
_TXPRWkEtcMng 화면 기준 컬럼으로 넣어주기 사용시작일 사용 종료일 정의 고객사 정의 </t>
    </r>
    <r>
      <rPr>
        <sz val="11"/>
        <color theme="1"/>
        <rFont val="SimSun"/>
        <family val="2"/>
        <charset val="134"/>
      </rPr>
      <t>/service-seq : 2720318 methodseq : 2</t>
    </r>
    <r>
      <rPr>
        <sz val="11"/>
        <color theme="1"/>
        <rFont val="맑은 고딕"/>
        <family val="2"/>
        <scheme val="minor"/>
      </rPr>
      <t xml:space="preserve">
확정관리 후처리 SP 사이트 개발 필요 </t>
    </r>
    <phoneticPr fontId="4" type="noConversion"/>
  </si>
  <si>
    <r>
      <t xml:space="preserve">526009
526074 
_TXPRWkFlexWorkApp
_TXPRWkFlexWorkAppSchedule
두화면 참고 /결재 문서 양식 필요 </t>
    </r>
    <r>
      <rPr>
        <sz val="11"/>
        <color theme="1"/>
        <rFont val="SimSun"/>
        <family val="2"/>
        <charset val="134"/>
      </rPr>
      <t>/</t>
    </r>
    <r>
      <rPr>
        <sz val="11"/>
        <color theme="1"/>
        <rFont val="맑은 고딕"/>
        <family val="2"/>
        <charset val="129"/>
      </rPr>
      <t xml:space="preserve"> 후 처리</t>
    </r>
    <r>
      <rPr>
        <sz val="11"/>
        <color theme="1"/>
        <rFont val="맑은 고딕"/>
        <family val="2"/>
        <scheme val="minor"/>
      </rPr>
      <t xml:space="preserve">에서 근태집계 테이블 업데이트 필요 </t>
    </r>
    <r>
      <rPr>
        <sz val="11"/>
        <color theme="1"/>
        <rFont val="SimSun"/>
        <family val="2"/>
        <charset val="134"/>
      </rPr>
      <t>/</t>
    </r>
    <r>
      <rPr>
        <sz val="11"/>
        <color theme="1"/>
        <rFont val="맑은 고딕"/>
        <family val="2"/>
        <charset val="129"/>
      </rPr>
      <t xml:space="preserve">근무 등록이 없으면 그룹웨어 전 체크 </t>
    </r>
    <phoneticPr fontId="4" type="noConversion"/>
  </si>
  <si>
    <t>차량유지(제,판,연) 접대비(제,판,연)</t>
    <phoneticPr fontId="4" type="noConversion"/>
  </si>
  <si>
    <t>다이로그로 화면 제공 /계산 방법/
실제평균환율= {(선수금 들어온 외화금액*입금일환율) + (선수금 제외 매출금*매출적용환율) }/ total 외화금액</t>
    <phoneticPr fontId="4" type="noConversion"/>
  </si>
  <si>
    <t>[거래처등록]
 1. 거래처등록에 대한 승인 프로세스 개발
 2. 거래처등록요청,
    거래처등록요청현황,
    결재문서,
    결재문서 최종승인시 거래처 데이터 생성</t>
    <phoneticPr fontId="4" type="noConversion"/>
  </si>
  <si>
    <t xml:space="preserve">
'- 근무신청(외근, 출장, 교육) 승인될 경우 해당 시간 출퇴근 시간에 자동으로 입력 되도록 개선 필요  
- 이 경우 출근 및 퇴근 시간 표시되는 방식은 아래와 같음
&lt;출근시간 표시&gt;
SECOM 당일 첫 TAG한 시간
ERP에서 출근 체크한 시간
근무신청서(외근, 국내출장, 해외출장, 교육 등)상 시작 시간
위의 시간 중 가장 빠른 시간을 출근시간으로 표시      	
=&gt; select * from _TPRWkItem where SMWkAppSort = 5011005
select * from _TPRWkEmpDd as a 
join (
select wkitemseq from _TPRWkItem where SMWkAppSort = 5011005) as b on b.wkitemseq = a.wkitemseq
--근무 신청
select * from _TXPRWkWorkApp     -- 외근, 출장, 교육
select * from _TXPRWkWorkAppDtl  -- get the early time 
--confirm value  join with upper _TXPRWkWorkApp and condition is cfmcode = '1'
select * from _tcomconfirm
where confirmseq = 22000009
&lt;퇴근시간 표시&gt;
SECOM 마지막으로 TAG한 시간
ERP에서 퇴근 체크한 시간
근무신청서(외근, 국내출장, 해외출장, 교육 등)상 종료 시간
위의 시간 중 가장 늦은 시간을 퇴근시간으로 표시
=&gt; select * from _TPRWkItem where SMWkAppSort = 5011005 
select * from _TPRWkEmpDd as a 
join (
select wkitemseq from _TPRWkItem where SMWkAppSort = 5011005) as b on b.wkitemseq = a.wkitemseq
--근무 신청
select * from _TXPRWkWorkApp
select * from _TXPRWkWorkAppDtl					--get the late time 
--confirm value  join with upper _TXPRWkWorkApp and condition is cfmcode = '1'
select * from _tcomconfirm
where confirmseq = 22000009
연장근무시간	1,005
야간근무시간	1,006
휴일근무시간	1,007
_TXPRWkType     -- SMOverTimeOccurSeq
select * from _tcacodehelpdata where codehelpseq = 2720108  --근무형태_VEN--_TXPRWkTypeForm
select * from _tcacodehelpdata where codehelpseq = 2720104  --일구분_VEN--_TXPRWkDayType
select * from _tcacodehelpdata where codehelpseq = 2720108  --근무유형_VEN--_TXPRWkType
select * from _TXPRWkTypeForm   =&gt;_TXPRWkTypeEmp
select * from _TXPRWkDayType
select * from _TXPRWkType
_TXPRWkTypeTimeSet
확정 시 _TXPRWkOverTimeAppWkKind =&gt;SMWkKindSeq select  * from _TXBMsMinor where majorseq = 5037
참고 sp : _SXPRWkPayOverTimeCalc
연장 근무 계산 로직 : _SXPRWkEmpOverTimeCalc=&gt;_TXPRWkOverTimeAppDtl+_TXPRWkTypeTimeSet=&gt;연장 시간 구함 나이스 
--사원별 근태유형
_TXPRWkTypeEmp
1. 연장근무시간 계산 로직: 											-&gt;OTCnt
1)퇴근 간주시간 - 2)출근 간주시간(09:00) - 3)야간휴식시간
  1) 퇴근간주시간: MIN(ERP상 퇴근시간 / ERP시간외근무신청 상의 종료 시간 + "00:30")
  2) 출근 간주 시간: MAX(ERP상 출근시간, 개인별 정해진 출근 시간)
  3) 야간휴식시간 : ERP 상 퇴근시간이 20시 이후인 경우 “- 00:30”, 이전인 경우 “00:00” 으로 계산
select datediff(minute,'2020-01-01 10:30' , '2020-01-02 00:00')
_TXPRWkOverTimeApp --연장 근무
--ERP 출근시간,최근시간
_TXPRWkEmpWorkStatus-&gt;BegTime,EndTime
--출근시간/퇴근시간
select  empseq,SMWkKindSeq,DayTypeSeq, BegTime,EndTime
  from _TXPRWkTypeEmp as a 
       join _TXPRWkTypeTimeSet as b on a.WkTypeSeq = b.WkTypeSeq and WkFormSeq= -1
    where b.SMWkKindSeq = 5037002
      and DayTypeSeq =1
    order by empseq
--휴식시간
select  empseq,DayTypeSeq, BegTime,EndTime,BreakTimeName,b.*
  from _TXPRWkTypeEmp as a 
       join _TXPRWkTypeBreakTimeSet as b on a.WkTypeSeq = b.WkTypeSeq and WkFormSeq= -1 
    where DayTypeSeq =1
    order by empseq
=&gt;22 시 까지 
2. 휴일근무시간 계산 로직: 1) 퇴근 간주시간 - 2)출근 간주시간 - 3) "휴식시간"		-&gt;NTCnt
select datediff(minute,'2020-01-01 10:30' , '2020-01-02 00:00')
  1) ERP 상 퇴근시간
  2) ERP 상 출근시간
  3) 4시간 근무시 마다 30분씩 차감되도록 해야 함.
  _TXPRWkEmpWorkStatus-&gt;daytypeseq in(2,3,4) 하드코딩 판단 (근무시간+연장근무시간+야간근무시간)
  select * from _TXPRWkDayType =&gt;SMDayTypeSeq -&gt;1051003 --하드코딩 대신 휴일 
  select  empseq,SMWkKindSeq,DayTypeSeq, BegTime,EndTime
  from _TXPRWkTypeEmp as a 
       join _TXPRWkTypeTimeSet as b on a.WkTypeSeq = b.WkTypeSeq and WkFormSeq= -1
    where   WkItemSeq1 in(
1007      --휴일근무시간
,1008     --휴일연장근무시간
,1009)    --휴일야간근무시간
    order by empseq
3. 야간근무시간 계산 로직:시간외근무신청이 있고 22시~06시 사이에 근무한 시간
case 평일일 경우  야간근무 
	 휴일일 경우 야간연장근무
  end
</t>
    <phoneticPr fontId="4" type="noConversion"/>
  </si>
  <si>
    <t>select * from _TXPRWkTypeForm   --=&gt;_TXPRWkTypeEmp
select * from _TXPRWkDayType
select * from _TXPRWkType
select * from _TXPRWkTypeTimeSet
select  * from _TXBMsMinor where majorseq = 5037
select  empseq,SMWkKindSeq,DayTypeSeq, BegTime,EndTime,b.*
  from _TXPRWkTypeEmp as a 
       join _TXPRWkTypeTimeSet as b on a.WkTypeSeq = b.WkTypeSeq and WkFormSeq= -1
    where b.SMWkKindSeq = 5037002
      and DayTypeSeq =1
    order by empseq
    CompanySeq, WkTypeSeq, WkFormSeq, DayTypeSeq, SMWkKindSeq
select * from _TXPRWkTypeTimeSet
select * from _tdaemp 
select * from _TXPRWkDayType
select * from _tcacodehelpdata where codehelpseq = 2720108  --_TXPRWkTypeForm
select * from _tcacodehelpdata where codehelpseq = 2720104  --_TXPRWkDayType
select * from _tcacodehelpdata where tablename = '_TXPRWkType'
    SELECT EnvValue FROM _TXPRWkEnv WHERE CompanySeq = 1 AND EnvSeq = 4  
    create table #WkEmp(
    empseq int,
    WkDate nchar(8)
    )
    insert into #WkEmp
    select 25,'20220704'
             SELECT T.WkDate, T.EmpSeq, T.SMWkKindSeq, T.OKMinCnt
               FROM (
	                 SELECT S.WkDate, S.EmpSeq, S.SMWkKindSeq, S.OKOTMinCnt AS OKMinCnt, S.IsCfm, ISNULL(E.SMOverTimeOccurSeq,0) AS SMOverTimeOccurSeq, ISNULL(E.SMOverTimeTypeSeq,0) AS SMOverTimeTypeSeq
	                   FROM (
                             SELECT ROW_NUMBER() OVER(PARTITION BY A.WkDate, A.EmpSeq, A.SMWkKindSeq ORDER BY A.WkDate, A.EmpSeq, C.AppDate DESC, A.OTAppSeq DESC, A.Seq DESC) AS IdxNo,
					                A.WkDate, A.EmpSeq, A.SMWkKindSeq, A.OKOTMinCnt, A.OTAppSeq, A.Seq, C.IsCfm
			                   FROM #WkEmp AS B JOIN _TXPRWkOverTimeAppWkKind AS A WITH(NOLOCK) ON B.WkDate = A.WkDate
                                                                                               AND B.EmpSeq = A.EmpSeq
			                                    JOIN _TXPRWkOverTimeApp AS C WITH(NOLOCK) ON A.CompanySeq = C.CompanySeq
                                                                                         AND A.OTAppSeq   = C.OTAppSeq
			                  WHERE A.CompanySeq = @CompanySeq
			                    --AND C.IsCfm = '1'
		                    ) AS S JOIN _TXPRWkOverTimeAppDtl AS B WITH(NOLOCK) ON S.OTAppSeq = B.OTAppSeq
                                                                               AND S.Seq      = B.Seq
                                   LEFT OUTER JOIN _TXPRWkOverTimeAppCancel AS B1 WITH(NOLOCK) ON B.CompanySeq = B1.CompanySeq --##01
                                                                                              AND B.OTAppSeq   = B1.OTAppSeq
	                               LEFT OUTER JOIN _TXPRWkType AS E WITH(NOLOCK) ON B.CompanySeq = E.CompanySeq
                                                                                AND B.WkTypeSeq  = E.WkTypeSeq
	                  WHERE B.CompanySeq = 1
	                    AND S.IdxNo = 1
	                    AND ISNULL(E.SMOverTimeOccurSeq, 0) = 5053002    -- 시간외근무신청
                        AND (ISNULL(B.IsCancel,0) &lt;&gt; 1 OR ISNULL(B1.IsCancel,0) &lt;&gt; 1)  --##01
                    ) AS T
              WHERE T.IsCfm = '1' -- 확정된건</t>
    <phoneticPr fontId="4" type="noConversion"/>
  </si>
  <si>
    <t xml:space="preserve">근태조회 분석2 </t>
    <phoneticPr fontId="4" type="noConversion"/>
  </si>
  <si>
    <t>select * from _TXPRWkWorkApp     -- 외근, 출장, 교육</t>
    <phoneticPr fontId="4" type="noConversion"/>
  </si>
  <si>
    <t>CompanySeq</t>
  </si>
  <si>
    <t>법인내부코드</t>
  </si>
  <si>
    <t>INT</t>
  </si>
  <si>
    <t>WkAppSeq</t>
  </si>
  <si>
    <t>근무신청일련번호</t>
  </si>
  <si>
    <t>SMWkAppTermType</t>
  </si>
  <si>
    <t>신청기간구분</t>
  </si>
  <si>
    <t>EmpSeq</t>
  </si>
  <si>
    <t>사원코드</t>
  </si>
  <si>
    <t>AppDate</t>
  </si>
  <si>
    <t>신청일</t>
  </si>
  <si>
    <t>NCHAR</t>
  </si>
  <si>
    <t>WkItemSeq</t>
  </si>
  <si>
    <t>근태항목코드</t>
  </si>
  <si>
    <t>SMAbsWkSort</t>
  </si>
  <si>
    <t>결근근태종류코드</t>
  </si>
  <si>
    <t>WkFrDate</t>
  </si>
  <si>
    <t>근무시작일</t>
  </si>
  <si>
    <t>WkToDate</t>
  </si>
  <si>
    <t>근무종료일</t>
  </si>
  <si>
    <t>AppDays</t>
  </si>
  <si>
    <t>신청일수</t>
  </si>
  <si>
    <t>DECIMAL</t>
  </si>
  <si>
    <t>DTCnt</t>
  </si>
  <si>
    <t>신청시간</t>
  </si>
  <si>
    <t>MinCnt</t>
  </si>
  <si>
    <t>신청분수</t>
  </si>
  <si>
    <t>NVARCHAR</t>
  </si>
  <si>
    <t>WkEmpName</t>
  </si>
  <si>
    <t>대리근무자</t>
  </si>
  <si>
    <t>TelNo</t>
  </si>
  <si>
    <t>연락처</t>
  </si>
  <si>
    <t>SMInOutType</t>
  </si>
  <si>
    <t>사내외구분코드</t>
  </si>
  <si>
    <t>EduCourseName</t>
  </si>
  <si>
    <t>학습과정명</t>
  </si>
  <si>
    <t>SMAbrdSeq</t>
  </si>
  <si>
    <t>국내외코드</t>
  </si>
  <si>
    <t>SMNationSeq</t>
  </si>
  <si>
    <t>출장국가</t>
  </si>
  <si>
    <t>FileSeq</t>
  </si>
  <si>
    <t>파일코드</t>
  </si>
  <si>
    <t>IsCfm</t>
  </si>
  <si>
    <t>확정여부</t>
  </si>
  <si>
    <t>LastUserSeq</t>
  </si>
  <si>
    <t>작업자</t>
  </si>
  <si>
    <t>LastDateTime</t>
  </si>
  <si>
    <t>작업일시</t>
  </si>
  <si>
    <t>DATETIME</t>
  </si>
  <si>
    <t>AppEmpSeq</t>
  </si>
  <si>
    <t>신청자</t>
  </si>
  <si>
    <t>SMAppType</t>
  </si>
  <si>
    <t>신청구분</t>
  </si>
  <si>
    <t>WkTypeSeq</t>
  </si>
  <si>
    <t>근무유형코드</t>
  </si>
  <si>
    <t>WorkArea</t>
  </si>
  <si>
    <t>주소</t>
  </si>
  <si>
    <t>변경사유</t>
    <phoneticPr fontId="4" type="noConversion"/>
  </si>
  <si>
    <t>WkCReason</t>
    <phoneticPr fontId="4" type="noConversion"/>
  </si>
  <si>
    <t>WkTypeSeq</t>
    <phoneticPr fontId="4" type="noConversion"/>
  </si>
  <si>
    <t xml:space="preserve">select * from _TXPRWkWorkAppDtl  -- get the early time </t>
    <phoneticPr fontId="4" type="noConversion"/>
  </si>
  <si>
    <t>휴가신청일련번호</t>
  </si>
  <si>
    <t>Seq</t>
  </si>
  <si>
    <t>일련번호</t>
  </si>
  <si>
    <t>근태항목</t>
  </si>
  <si>
    <t>WkDate</t>
  </si>
  <si>
    <t>근무일자</t>
  </si>
  <si>
    <t>IsNextDate</t>
  </si>
  <si>
    <t>익일여부</t>
  </si>
  <si>
    <t>WkBegDate</t>
  </si>
  <si>
    <t>근태시작일자</t>
  </si>
  <si>
    <t>BegTime</t>
  </si>
  <si>
    <t>시작시간</t>
  </si>
  <si>
    <t>WkEndDate</t>
  </si>
  <si>
    <t>근태종료일자</t>
  </si>
  <si>
    <t>EndTime</t>
  </si>
  <si>
    <t>종료시간</t>
  </si>
  <si>
    <t>WkTeamSeq</t>
  </si>
  <si>
    <t>근무조코드</t>
  </si>
  <si>
    <t>WkFormSeq</t>
  </si>
  <si>
    <t>근무형태코드</t>
  </si>
  <si>
    <t>DayTypeSeq</t>
  </si>
  <si>
    <t>일구분코드</t>
  </si>
  <si>
    <t>AppDay</t>
  </si>
  <si>
    <t>시간수</t>
  </si>
  <si>
    <t>분수</t>
  </si>
  <si>
    <t>LimitWkCnt</t>
  </si>
  <si>
    <t>한도근로시간수</t>
  </si>
  <si>
    <t>TmTypeSeq</t>
  </si>
  <si>
    <t>시차구분코드</t>
  </si>
  <si>
    <t>RealDTCnt</t>
  </si>
  <si>
    <t>실제시간수</t>
  </si>
  <si>
    <t>RealMinCnt</t>
  </si>
  <si>
    <t>실제분수</t>
  </si>
  <si>
    <t>IsCancel</t>
  </si>
  <si>
    <t>취소여부</t>
  </si>
  <si>
    <t>DayConvertCnt</t>
  </si>
  <si>
    <t>일수변환시간수</t>
  </si>
  <si>
    <t>WkCSeq</t>
    <phoneticPr fontId="4" type="noConversion"/>
  </si>
  <si>
    <t>출퇴근변경코드</t>
    <phoneticPr fontId="4" type="noConversion"/>
  </si>
  <si>
    <t>사원코드</t>
    <phoneticPr fontId="4" type="noConversion"/>
  </si>
  <si>
    <t>출퇴근변경</t>
    <phoneticPr fontId="4" type="noConversion"/>
  </si>
  <si>
    <t>출퇴근변경상세</t>
    <phoneticPr fontId="4" type="noConversion"/>
  </si>
  <si>
    <t xml:space="preserve">park_TXPRWkCWorkAppDtl </t>
    <phoneticPr fontId="4" type="noConversion"/>
  </si>
  <si>
    <t>EmpSeq+B41Q38A41:Q42</t>
    <phoneticPr fontId="4" type="noConversion"/>
  </si>
  <si>
    <t>park_TXPRWkCWorkApp</t>
    <phoneticPr fontId="4" type="noConversion"/>
  </si>
  <si>
    <t>_SXPRWkWorkAppCfm</t>
  </si>
  <si>
    <t>_SWCOMGroupWareWkWorkProc</t>
    <phoneticPr fontId="4" type="noConversion"/>
  </si>
  <si>
    <t>ERP 결재 그룹웨어</t>
    <phoneticPr fontId="4" type="noConversion"/>
  </si>
  <si>
    <t xml:space="preserve">호출 서브 sp </t>
    <phoneticPr fontId="4" type="noConversion"/>
  </si>
  <si>
    <t>데이터 적용 내용 :</t>
    <phoneticPr fontId="4" type="noConversion"/>
  </si>
  <si>
    <t xml:space="preserve">1.본테이블 확정 컬럼 </t>
    <phoneticPr fontId="4" type="noConversion"/>
  </si>
  <si>
    <t xml:space="preserve">2.확정 공통테이블 컬럼 </t>
    <phoneticPr fontId="4" type="noConversion"/>
  </si>
  <si>
    <t xml:space="preserve">집계 sp 수정 </t>
    <phoneticPr fontId="4" type="noConversion"/>
  </si>
  <si>
    <t>key</t>
    <phoneticPr fontId="4" type="noConversion"/>
  </si>
  <si>
    <t>columnname</t>
    <phoneticPr fontId="4" type="noConversion"/>
  </si>
  <si>
    <t>remark</t>
    <phoneticPr fontId="4" type="noConversion"/>
  </si>
  <si>
    <t>order</t>
    <phoneticPr fontId="4" type="noConversion"/>
  </si>
  <si>
    <t>datatype</t>
    <phoneticPr fontId="4" type="noConversion"/>
  </si>
  <si>
    <t>length</t>
    <phoneticPr fontId="4" type="noConversion"/>
  </si>
  <si>
    <t>decimal length</t>
    <phoneticPr fontId="4" type="noConversion"/>
  </si>
  <si>
    <t xml:space="preserve">null option </t>
    <phoneticPr fontId="4" type="noConversion"/>
  </si>
  <si>
    <t xml:space="preserve">table info and request </t>
    <phoneticPr fontId="4" type="noConversion"/>
  </si>
  <si>
    <t>- Improvement is needed so that if a work application (outside work, business trip, training) is approved, the commuting time for that time is automatically entered.
- In this case, the way to display work start and finish times is as follows:
&lt;Display work time&gt;
SECOM First TAG time of the day
Time checked for attendance in ERP
Start time on the work application form (outside work, domestic business trip, overseas business trip, education, etc.)
The earliest time among the above times is displayed as the commute time.
&lt;Display work time&gt;
SECOM Last TAG time
Time checked at work in ERP
End time on the work application form (outside work, domestic business trip, overseas business trip, education, etc.)
Among the above times, the latest time is displayed as work time.</t>
    <phoneticPr fontId="4" type="noConversion"/>
  </si>
  <si>
    <t>1. Overtime work hour calculation logic:
1) Deemed time to leave work - 2) Deemed time to start work (09:00) - 3) Night rest time
   1) Leaving work time: MIN (leaving time according to ERP / end time according to ERP overtime work request + "00:30")
   2) Considered attendance time: MAX (Attendance time in ERP, individual determined attendance time)
   3) Night rest time: According to ERP, if the work time is after 20:00, it is calculated as “- 00:30”, if it is before, it is calculated as “00:00”
2. Logic for calculating holiday working hours: 1) Time to be considered to leave work - 2) Time to be considered to be to work - 3) "Break time"
   1) Leaving work time according to ERP
   2) Attendance time according to ERP
   3) 30 minutes must be deducted for every 4 hours worked.
3. Night work time calculation logic: Hours worked between 22:00 and 06:00 after requesting overtime work.</t>
    <phoneticPr fontId="4" type="noConversion"/>
  </si>
  <si>
    <t>wahyu/miqdad</t>
    <phoneticPr fontId="6" type="noConversion"/>
  </si>
  <si>
    <t>yusuf/nicholas</t>
    <phoneticPr fontId="6" type="noConversion"/>
  </si>
  <si>
    <t>dedy/chandra</t>
    <phoneticPr fontId="6" type="noConversion"/>
  </si>
  <si>
    <t>거래처요청확정_park</t>
  </si>
  <si>
    <t>출퇴근변경확정_park</t>
  </si>
  <si>
    <t>_TDACustReq</t>
    <phoneticPr fontId="4" type="noConversion"/>
  </si>
  <si>
    <t>To-be</t>
    <phoneticPr fontId="4" type="noConversion"/>
  </si>
  <si>
    <t>As-is</t>
    <phoneticPr fontId="4" type="noConversion"/>
  </si>
  <si>
    <t>Development logic(check pgm,table relation)</t>
    <phoneticPr fontId="4" type="noConversion"/>
  </si>
  <si>
    <t>Business</t>
    <phoneticPr fontId="4" type="noConversion"/>
  </si>
  <si>
    <r>
      <rPr>
        <b/>
        <sz val="10"/>
        <color rgb="FFC00000"/>
        <rFont val="맑은 고딕"/>
        <family val="3"/>
        <charset val="129"/>
      </rPr>
      <t>[예산과목별실적상세조회(집계)_park]</t>
    </r>
    <r>
      <rPr>
        <sz val="10"/>
        <rFont val="맑은 고딕"/>
        <family val="3"/>
        <charset val="129"/>
      </rPr>
      <t xml:space="preserve">
 1. 초기예산에 1년초기 예산이 조회되도록 수정</t>
    </r>
    <phoneticPr fontId="15" type="noConversion"/>
  </si>
  <si>
    <r>
      <rPr>
        <b/>
        <sz val="10"/>
        <color rgb="FFC00000"/>
        <rFont val="맑은 고딕"/>
        <family val="3"/>
        <charset val="129"/>
      </rPr>
      <t>[외화평가]</t>
    </r>
    <r>
      <rPr>
        <sz val="10"/>
        <rFont val="맑은 고딕"/>
        <family val="3"/>
        <charset val="129"/>
      </rPr>
      <t xml:space="preserve">
 1. 외화예금평가를 일기준으로 할 수 있도록 추가개발
 2. 외화예금평가(환원평가)를 일기준으로 할 수 있도록 추가개발</t>
    </r>
    <phoneticPr fontId="15" type="noConversion"/>
  </si>
  <si>
    <r>
      <rPr>
        <b/>
        <sz val="10"/>
        <color rgb="FFC00000"/>
        <rFont val="맑은 고딕"/>
        <family val="3"/>
        <charset val="129"/>
      </rPr>
      <t>[손익계산서(코스트센터별)]</t>
    </r>
    <r>
      <rPr>
        <sz val="10"/>
        <rFont val="맑은 고딕"/>
        <family val="3"/>
        <charset val="129"/>
      </rPr>
      <t xml:space="preserve">
 1. 예산과 동일하게 코스트센터별로 손익계산서를 조회하도록 추가개발</t>
    </r>
    <phoneticPr fontId="15" type="noConversion"/>
  </si>
  <si>
    <r>
      <rPr>
        <b/>
        <sz val="10"/>
        <color rgb="FFC00000"/>
        <rFont val="맑은 고딕"/>
        <family val="3"/>
        <charset val="129"/>
      </rPr>
      <t>[임직원다중검색]</t>
    </r>
    <r>
      <rPr>
        <sz val="10"/>
        <rFont val="맑은 고딕"/>
        <family val="3"/>
        <charset val="129"/>
      </rPr>
      <t xml:space="preserve">
 1. 임직원다중검색의 화면 고도화
 2. 조직레벨을 나누어 조회하도록 개발</t>
    </r>
    <phoneticPr fontId="15" type="noConversion"/>
  </si>
  <si>
    <r>
      <rPr>
        <b/>
        <sz val="10"/>
        <color rgb="FFC00000"/>
        <rFont val="맑은 고딕"/>
        <family val="3"/>
        <charset val="129"/>
      </rPr>
      <t>[휴일근무신청]</t>
    </r>
    <r>
      <rPr>
        <sz val="10"/>
        <rFont val="맑은 고딕"/>
        <family val="3"/>
        <charset val="129"/>
      </rPr>
      <t xml:space="preserve">
 1. 휴일근무신청의 결재완료시 기타휴가항목의 휴가일수 추가하여 일자관리</t>
    </r>
    <phoneticPr fontId="15" type="noConversion"/>
  </si>
  <si>
    <r>
      <rPr>
        <b/>
        <sz val="10"/>
        <color rgb="FFC00000"/>
        <rFont val="맑은 고딕"/>
        <family val="3"/>
        <charset val="129"/>
      </rPr>
      <t>[근무시간조정신청]</t>
    </r>
    <r>
      <rPr>
        <sz val="10"/>
        <rFont val="맑은 고딕"/>
        <family val="3"/>
        <charset val="129"/>
      </rPr>
      <t xml:space="preserve">
 1. 근무시간조정신청 프로세스 개발
 2. 근무시간조정신청(개인), 
    근무시간조정신청내역조회(개인), 
    근무시간조정신청내역조회(관리자), 
    결재문서, 
    결재문서 최종승인시 데이터 조정</t>
    </r>
    <phoneticPr fontId="15" type="noConversion"/>
  </si>
  <si>
    <r>
      <rPr>
        <b/>
        <sz val="10"/>
        <color rgb="FFC00000"/>
        <rFont val="맑은 고딕"/>
        <family val="3"/>
        <charset val="129"/>
      </rPr>
      <t>[거래처등록]</t>
    </r>
    <r>
      <rPr>
        <sz val="10"/>
        <rFont val="맑은 고딕"/>
        <family val="3"/>
        <charset val="129"/>
      </rPr>
      <t xml:space="preserve">
 1. 거래처등록에 대한 승인 프로세스 개발
 2. 거래처등록요청,
    거래처등록요청현황,
    결재문서,
    결재문서 최종승인시 거래처 데이터 생성
 3. 거래처 변경내역도 승인처리를 할 수 있도록 개발</t>
    </r>
    <phoneticPr fontId="15" type="noConversion"/>
  </si>
  <si>
    <r>
      <rPr>
        <b/>
        <sz val="10"/>
        <color rgb="FFC00000"/>
        <rFont val="맑은 고딕"/>
        <family val="3"/>
        <charset val="129"/>
      </rPr>
      <t>[전자세금계산서(정발행)]</t>
    </r>
    <r>
      <rPr>
        <sz val="10"/>
        <rFont val="맑은 고딕"/>
        <family val="3"/>
        <charset val="129"/>
      </rPr>
      <t xml:space="preserve">
 1. 전표승인없는 건은 전자세금계산서 전송이 불가능하도록 추가개발</t>
    </r>
    <phoneticPr fontId="15" type="noConversion"/>
  </si>
  <si>
    <r>
      <rPr>
        <b/>
        <sz val="10"/>
        <color rgb="FFC00000"/>
        <rFont val="맑은 고딕"/>
        <family val="3"/>
        <charset val="129"/>
      </rPr>
      <t>[법인카드사용내역 회계전표생성]</t>
    </r>
    <r>
      <rPr>
        <sz val="10"/>
        <rFont val="맑은 고딕"/>
        <family val="3"/>
        <charset val="129"/>
      </rPr>
      <t xml:space="preserve">
 1. 법인카드 사용내역 회계전표생성, 법인카드 사용내역 회계전표생성(개인) 화면에서 접대비/차량유지비 등의 계정은 부가세관련 적용되지 않도록 추가개발</t>
    </r>
    <phoneticPr fontId="15" type="noConversion"/>
  </si>
  <si>
    <r>
      <rPr>
        <b/>
        <sz val="10"/>
        <color rgb="FFC00000"/>
        <rFont val="맑은 고딕"/>
        <family val="3"/>
        <charset val="129"/>
      </rPr>
      <t>[근무신청서]</t>
    </r>
    <r>
      <rPr>
        <sz val="10"/>
        <rFont val="맑은 고딕"/>
        <family val="3"/>
        <charset val="129"/>
      </rPr>
      <t xml:space="preserve">
 1. 근무신청서 결재화면에 시작/종료시간 표기</t>
    </r>
    <phoneticPr fontId="15" type="noConversion"/>
  </si>
  <si>
    <r>
      <rPr>
        <b/>
        <sz val="10"/>
        <color rgb="FFC00000"/>
        <rFont val="맑은 고딕"/>
        <family val="3"/>
        <charset val="129"/>
      </rPr>
      <t>[월별재무상태표]</t>
    </r>
    <r>
      <rPr>
        <sz val="10"/>
        <rFont val="맑은 고딕"/>
        <family val="3"/>
        <charset val="129"/>
      </rPr>
      <t xml:space="preserve">
 1. 금액단위별 조회도도록 추가개발</t>
    </r>
    <phoneticPr fontId="15" type="noConversion"/>
  </si>
  <si>
    <r>
      <rPr>
        <b/>
        <sz val="10"/>
        <color rgb="FFC00000"/>
        <rFont val="맑은 고딕"/>
        <family val="3"/>
        <charset val="129"/>
      </rPr>
      <t>[손익계산서(부서별/월별)]</t>
    </r>
    <r>
      <rPr>
        <sz val="10"/>
        <rFont val="맑은 고딕"/>
        <family val="3"/>
        <charset val="129"/>
      </rPr>
      <t xml:space="preserve">
 1. 부서별/월별 손익계산서가 조회도도록 추가개발</t>
    </r>
    <phoneticPr fontId="15" type="noConversion"/>
  </si>
  <si>
    <r>
      <rPr>
        <b/>
        <sz val="10"/>
        <color rgb="FFC00000"/>
        <rFont val="맑은 고딕"/>
        <family val="3"/>
        <charset val="129"/>
      </rPr>
      <t>[전표파일첨부]</t>
    </r>
    <r>
      <rPr>
        <sz val="10"/>
        <rFont val="맑은 고딕"/>
        <family val="3"/>
        <charset val="129"/>
      </rPr>
      <t xml:space="preserve">
 1. Drag and Drop으로 파일 첨부할 수 있도록 신규개발</t>
    </r>
    <phoneticPr fontId="15" type="noConversion"/>
  </si>
  <si>
    <r>
      <rPr>
        <b/>
        <sz val="10"/>
        <color rgb="FFC00000"/>
        <rFont val="맑은 고딕"/>
        <family val="3"/>
        <charset val="129"/>
      </rPr>
      <t>[매출계정별/제품별 매출 및 매출원가조회]</t>
    </r>
    <r>
      <rPr>
        <sz val="10"/>
        <rFont val="맑은 고딕"/>
        <family val="3"/>
        <charset val="129"/>
      </rPr>
      <t xml:space="preserve">
 1. 매출계정별/제품별 매출 및 매출원가조회 신규개발</t>
    </r>
    <phoneticPr fontId="15" type="noConversion"/>
  </si>
  <si>
    <t>구분</t>
    <phoneticPr fontId="15" type="noConversion"/>
  </si>
  <si>
    <t>상세개발내역
(상세내역 자세히 기록)</t>
    <phoneticPr fontId="15" type="noConversion"/>
  </si>
  <si>
    <t>개발
구분</t>
    <phoneticPr fontId="15" type="noConversion"/>
  </si>
  <si>
    <t>추가개발</t>
    <phoneticPr fontId="15" type="noConversion"/>
  </si>
  <si>
    <t>수정</t>
    <phoneticPr fontId="15" type="noConversion"/>
  </si>
  <si>
    <t>신규</t>
    <phoneticPr fontId="15" type="noConversion"/>
  </si>
  <si>
    <r>
      <rPr>
        <b/>
        <sz val="10"/>
        <color rgb="FFC00000"/>
        <rFont val="맑은 고딕"/>
        <family val="3"/>
        <charset val="129"/>
      </rPr>
      <t>[근무내역현황_park]</t>
    </r>
    <r>
      <rPr>
        <sz val="10"/>
        <rFont val="맑은 고딕"/>
        <family val="3"/>
        <charset val="129"/>
      </rPr>
      <t xml:space="preserve">
 1. 근무내역현황 기준으로 근무신청/연장근무/휴일근무/야근근무 등 고려하여 고도화
</t>
    </r>
    <phoneticPr fontId="15" type="noConversion"/>
  </si>
  <si>
    <r>
      <rPr>
        <b/>
        <sz val="10"/>
        <color rgb="FFC00000"/>
        <rFont val="맑은 고딕"/>
        <family val="3"/>
        <charset val="129"/>
      </rPr>
      <t>[수출매출처리]</t>
    </r>
    <r>
      <rPr>
        <sz val="10"/>
        <rFont val="맑은 고딕"/>
        <family val="3"/>
        <charset val="129"/>
      </rPr>
      <t xml:space="preserve">
 1. 수출매출처리시 수출매출과 선수금의 평균환율로 적용하여 계산
 2. 선수금 선택 후 환율 적용
</t>
    </r>
    <phoneticPr fontId="15" type="noConversion"/>
  </si>
  <si>
    <t xml:space="preserve">개발 로직 설명 </t>
    <phoneticPr fontId="4" type="noConversion"/>
  </si>
  <si>
    <t xml:space="preserve">특이 상항 </t>
    <phoneticPr fontId="4" type="noConversion"/>
  </si>
  <si>
    <t xml:space="preserve">사이트 테이블 만들어 일자로 저장 할수 있게 개발 </t>
    <phoneticPr fontId="4" type="noConversion"/>
  </si>
  <si>
    <t xml:space="preserve">조직도 2레벨 부서 연결 코스트 센테 기준 조회/ </t>
    <phoneticPr fontId="4" type="noConversion"/>
  </si>
  <si>
    <t xml:space="preserve">ERP 결재 완료 시 기타휴가항목 테이블 데이터 넣어주기 기능 </t>
    <phoneticPr fontId="4" type="noConversion"/>
  </si>
  <si>
    <t xml:space="preserve">사이트 테이블 마스터 디테일 만들어 ERP 결재 완료 시 출근 시간 퇴근 시간 바꿔주기 </t>
    <phoneticPr fontId="4" type="noConversion"/>
  </si>
  <si>
    <t xml:space="preserve">출근 시간 /퇴근 시간을 입력 안할 경우 업데이트 하지 않음 </t>
    <phoneticPr fontId="4" type="noConversion"/>
  </si>
  <si>
    <t>&lt;출근시간 표시&gt;
SECOM 당일 첫 TAG한 시간
ERP에서 출근 체크한 시간
근무신청서(외근, 국내출장, 해외출장, 교육 등)상 시작 시간
위의 시간 중 가장 빠른 시간을 출근시간으로 표시
&lt;퇴근시간 표시&gt;
SECOM 마지막으로 TAG한 시간
ERP에서 퇴근 체크한 시간
근무신청서(외근, 국내출장, 해외출장, 교육 등)상 종료 시간
위의 시간 중 가장 늦은 시간을 퇴근시간으로 표시"</t>
    <phoneticPr fontId="4" type="noConversion"/>
  </si>
  <si>
    <t xml:space="preserve">출근 시간과 퇴근 시간이 기준이 변경 되어 해당 기준대로 항목 다시 계산 </t>
    <phoneticPr fontId="4" type="noConversion"/>
  </si>
  <si>
    <t xml:space="preserve">수출매출 화면에서 사이트 화면 점프하여 환율 계산 </t>
    <phoneticPr fontId="4" type="noConversion"/>
  </si>
  <si>
    <t xml:space="preserve">전표에서 외화선수금 잔액 있는 기준으로 데이터 가져오기 </t>
    <phoneticPr fontId="4" type="noConversion"/>
  </si>
  <si>
    <t xml:space="preserve">사이트 테이블 만들어 거래처 등록 하여 ERP 결재 완료시 거래처 /거래처계좌 데이터 생성 </t>
    <phoneticPr fontId="4" type="noConversion"/>
  </si>
  <si>
    <t xml:space="preserve">처리 유형이 신규 일경우 거래처 계좌가 있을 경우 저장 처리 유형이 수정일 경우 계좌번호가 다르게 입력 하면 해당 계좌로 신규 데이터 생성 </t>
    <phoneticPr fontId="4" type="noConversion"/>
  </si>
  <si>
    <t xml:space="preserve">세금계산서 전표 승인 안 했을 경우 체크로직 추가 </t>
    <phoneticPr fontId="4" type="noConversion"/>
  </si>
  <si>
    <t xml:space="preserve">루아에서 해당 계정 과목일 경우 부가세 적용 안함 </t>
    <phoneticPr fontId="4" type="noConversion"/>
  </si>
  <si>
    <t xml:space="preserve">ERP 결재 출력물 시작 시간 퇴근 시간 추가 </t>
    <phoneticPr fontId="4" type="noConversion"/>
  </si>
  <si>
    <t xml:space="preserve">금액 단위 조회 조건 추가 </t>
    <phoneticPr fontId="4" type="noConversion"/>
  </si>
  <si>
    <t xml:space="preserve">조직도 2레벨 부서 기준 조회 </t>
    <phoneticPr fontId="4" type="noConversion"/>
  </si>
  <si>
    <t xml:space="preserve">기존 버튼식에서 drag 형태로 바꿈/사이트 테이블 </t>
    <phoneticPr fontId="4" type="noConversion"/>
  </si>
  <si>
    <t>제품별 매출계정대분류/중분류 매출원가율 구하기</t>
    <phoneticPr fontId="4" type="noConversion"/>
  </si>
  <si>
    <t xml:space="preserve">기존 화면 오류로 인해 컬럼 1개  수정 진행 </t>
    <phoneticPr fontId="4" type="noConversion"/>
  </si>
  <si>
    <r>
      <t xml:space="preserve">대분류: 
상품매출
제품매출
반제품매출
기타매출
중분류:
</t>
    </r>
    <r>
      <rPr>
        <sz val="11"/>
        <color theme="1"/>
        <rFont val="맑은 고딕"/>
        <family val="3"/>
        <charset val="129"/>
        <scheme val="minor"/>
      </rPr>
      <t>국내_상품매출
해외_상품매출
상품매출원가(기표)
국내_제품매출
해외_제품매출
제품매출원가(기표)
국내_반제품매출
해외_반제품매출
반제품매출원가(기표)
국내_기타매출(용역매출)
해외_기타매출(용역매출)
기타매출원가_(기타)</t>
    </r>
    <phoneticPr fontId="4" type="noConversion"/>
  </si>
  <si>
    <t xml:space="preserve">조회 조건 여러 개 선택 하여 데이터 조회 /multi 코드도움 같은 기능을 대신해 시트에서 선택 할수 있게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</si>
</sst>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0" x14ac:knownFonts="1">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font>
    <font>
      <sz val="8"/>
      <name val="맑은 고딕"/>
      <family val="3"/>
      <charset val="129"/>
      <scheme val="minor"/>
    </font>
    <font>
      <sz val="11"/>
      <color theme="1"/>
      <name val="SimSun"/>
      <family val="2"/>
      <charset val="134"/>
    </font>
    <font>
      <sz val="8"/>
      <name val="맑은 고딕"/>
      <family val="2"/>
      <charset val="129"/>
      <scheme val="minor"/>
    </font>
    <font>
      <b/>
      <sz val="12"/>
      <color theme="1"/>
      <name val="맑은 고딕"/>
      <family val="3"/>
      <charset val="129"/>
      <scheme val="minor"/>
    </font>
    <font>
      <b/>
      <sz val="14"/>
      <color theme="1"/>
      <name val="맑은 고딕"/>
      <family val="3"/>
      <charset val="129"/>
      <scheme val="minor"/>
    </font>
    <font>
      <b/>
      <sz val="11"/>
      <color theme="1"/>
      <name val="맑은 고딕"/>
      <family val="3"/>
      <charset val="129"/>
      <scheme val="minor"/>
    </font>
    <font>
      <b/>
      <sz val="16"/>
      <color theme="1"/>
      <name val="맑은 고딕"/>
      <family val="3"/>
      <charset val="129"/>
      <scheme val="minor"/>
    </font>
    <font>
      <sz val="11"/>
      <color indexed="8"/>
      <name val="맑은 고딕"/>
      <family val="2"/>
      <scheme val="minor"/>
    </font>
    <font>
      <sz val="11"/>
      <name val="돋움"/>
      <family val="3"/>
      <charset val="129"/>
    </font>
    <font>
      <sz val="10"/>
      <name val="맑은 고딕"/>
      <family val="3"/>
      <charset val="129"/>
    </font>
    <font>
      <b/>
      <sz val="10"/>
      <color rgb="FFC00000"/>
      <name val="맑은 고딕"/>
      <family val="3"/>
      <charset val="129"/>
    </font>
    <font>
      <sz val="8"/>
      <name val="돋움"/>
      <family val="3"/>
      <charset val="129"/>
    </font>
    <font>
      <b/>
      <sz val="11"/>
      <color theme="0"/>
      <name val="맑은 고딕"/>
      <family val="3"/>
      <charset val="129"/>
    </font>
    <font>
      <b/>
      <sz val="11"/>
      <name val="맑은 고딕"/>
      <family val="3"/>
      <charset val="129"/>
    </font>
    <font>
      <sz val="11"/>
      <color theme="1"/>
      <name val="맑은 고딕"/>
      <family val="3"/>
      <charset val="129"/>
      <scheme val="minor"/>
    </font>
    <font>
      <sz val="11"/>
      <color theme="8" tint="-0.499984740745262"/>
      <name val="맑은 고딕"/>
      <family val="3"/>
      <charset val="129"/>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009944"/>
        <bgColor indexed="64"/>
      </patternFill>
    </fill>
    <fill>
      <patternFill patternType="solid">
        <fgColor rgb="FFDCEAE6"/>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style="thin">
        <color indexed="64"/>
      </left>
      <right/>
      <top style="thin">
        <color indexed="64"/>
      </top>
      <bottom style="thin">
        <color indexed="64"/>
      </bottom>
      <diagonal/>
    </border>
    <border>
      <left style="thin">
        <color indexed="64"/>
      </left>
      <right style="medium">
        <color rgb="FFFF0000"/>
      </right>
      <top style="medium">
        <color rgb="FFFF0000"/>
      </top>
      <bottom style="medium">
        <color rgb="FFFF0000"/>
      </bottom>
      <diagonal/>
    </border>
    <border>
      <left style="thin">
        <color indexed="64"/>
      </left>
      <right style="thin">
        <color indexed="64"/>
      </right>
      <top style="medium">
        <color rgb="FFFF0000"/>
      </top>
      <bottom style="medium">
        <color rgb="FFFF0000"/>
      </bottom>
      <diagonal/>
    </border>
    <border>
      <left style="medium">
        <color rgb="FFFF0000"/>
      </left>
      <right style="thin">
        <color indexed="64"/>
      </right>
      <top style="medium">
        <color rgb="FFFF0000"/>
      </top>
      <bottom style="medium">
        <color rgb="FFFF0000"/>
      </bottom>
      <diagonal/>
    </border>
    <border>
      <left style="thin">
        <color indexed="64"/>
      </left>
      <right style="thin">
        <color auto="1"/>
      </right>
      <top style="thin">
        <color indexed="64"/>
      </top>
      <bottom/>
      <diagonal/>
    </border>
    <border>
      <left style="thin">
        <color indexed="64"/>
      </left>
      <right style="thin">
        <color indexed="64"/>
      </right>
      <top/>
      <bottom/>
      <diagonal/>
    </border>
  </borders>
  <cellStyleXfs count="5">
    <xf numFmtId="0" fontId="0" fillId="0" borderId="0"/>
    <xf numFmtId="0" fontId="2" fillId="0" borderId="0">
      <alignment vertical="center"/>
    </xf>
    <xf numFmtId="0" fontId="2" fillId="0" borderId="0">
      <alignment vertical="center"/>
    </xf>
    <xf numFmtId="0" fontId="11" fillId="0" borderId="0">
      <alignment vertical="center"/>
    </xf>
    <xf numFmtId="0" fontId="12" fillId="0" borderId="0"/>
  </cellStyleXfs>
  <cellXfs count="49">
    <xf numFmtId="0" fontId="0" fillId="0" borderId="0" xfId="0"/>
    <xf numFmtId="0" fontId="0" fillId="0" borderId="1" xfId="0" applyBorder="1"/>
    <xf numFmtId="0" fontId="0" fillId="2" borderId="1" xfId="0" applyFill="1" applyBorder="1"/>
    <xf numFmtId="0" fontId="0" fillId="0" borderId="1" xfId="0" applyBorder="1" applyAlignment="1">
      <alignment vertical="center" wrapText="1"/>
    </xf>
    <xf numFmtId="0" fontId="0" fillId="0" borderId="1" xfId="0" applyBorder="1" applyAlignment="1">
      <alignment wrapText="1"/>
    </xf>
    <xf numFmtId="0" fontId="2" fillId="0" borderId="0" xfId="1">
      <alignment vertical="center"/>
    </xf>
    <xf numFmtId="0" fontId="2" fillId="0" borderId="0" xfId="1" applyAlignment="1">
      <alignment horizontal="center" vertical="center"/>
    </xf>
    <xf numFmtId="0" fontId="2" fillId="0" borderId="1" xfId="1" applyBorder="1">
      <alignment vertical="center"/>
    </xf>
    <xf numFmtId="0" fontId="2" fillId="0" borderId="1" xfId="1" applyBorder="1" applyAlignment="1">
      <alignment horizontal="center" vertical="center"/>
    </xf>
    <xf numFmtId="0" fontId="2" fillId="0" borderId="2" xfId="1" applyBorder="1" applyAlignment="1">
      <alignment horizontal="center" vertical="center"/>
    </xf>
    <xf numFmtId="0" fontId="9" fillId="2" borderId="3" xfId="1" applyFont="1" applyFill="1" applyBorder="1" applyAlignment="1">
      <alignment horizontal="center" vertical="center"/>
    </xf>
    <xf numFmtId="0" fontId="9" fillId="3" borderId="4" xfId="1" applyFont="1" applyFill="1" applyBorder="1" applyAlignment="1">
      <alignment horizontal="center" vertical="center"/>
    </xf>
    <xf numFmtId="0" fontId="9" fillId="3" borderId="1" xfId="1" applyFont="1" applyFill="1" applyBorder="1" applyAlignment="1">
      <alignment horizontal="center" vertical="center"/>
    </xf>
    <xf numFmtId="0" fontId="9" fillId="2" borderId="5" xfId="1" applyFont="1" applyFill="1" applyBorder="1" applyAlignment="1">
      <alignment horizontal="center" vertical="center"/>
    </xf>
    <xf numFmtId="0" fontId="9" fillId="2" borderId="6" xfId="1" applyFont="1" applyFill="1" applyBorder="1" applyAlignment="1">
      <alignment horizontal="center" vertical="center"/>
    </xf>
    <xf numFmtId="0" fontId="9" fillId="2" borderId="7" xfId="1" applyFont="1" applyFill="1" applyBorder="1" applyAlignment="1">
      <alignment horizontal="center" vertical="center"/>
    </xf>
    <xf numFmtId="0" fontId="8" fillId="0" borderId="0" xfId="1" applyFont="1">
      <alignment vertical="center"/>
    </xf>
    <xf numFmtId="0" fontId="10" fillId="0" borderId="0" xfId="2" applyFont="1">
      <alignment vertical="center"/>
    </xf>
    <xf numFmtId="0" fontId="2" fillId="0" borderId="0" xfId="2">
      <alignment vertical="center"/>
    </xf>
    <xf numFmtId="0" fontId="8" fillId="0" borderId="0" xfId="2" applyFont="1">
      <alignment vertical="center"/>
    </xf>
    <xf numFmtId="0" fontId="2" fillId="0" borderId="0" xfId="2" applyAlignment="1">
      <alignment horizontal="center" vertical="center"/>
    </xf>
    <xf numFmtId="0" fontId="2" fillId="0" borderId="1" xfId="2" applyBorder="1" applyAlignment="1">
      <alignment horizontal="center" vertical="center"/>
    </xf>
    <xf numFmtId="0" fontId="9" fillId="2" borderId="7" xfId="2" applyFont="1" applyFill="1" applyBorder="1" applyAlignment="1">
      <alignment horizontal="center" vertical="center"/>
    </xf>
    <xf numFmtId="0" fontId="9" fillId="2" borderId="6" xfId="2" applyFont="1" applyFill="1" applyBorder="1" applyAlignment="1">
      <alignment horizontal="center" vertical="center"/>
    </xf>
    <xf numFmtId="0" fontId="9" fillId="2" borderId="5"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4" xfId="2" applyFont="1" applyFill="1" applyBorder="1" applyAlignment="1">
      <alignment horizontal="center" vertical="center"/>
    </xf>
    <xf numFmtId="0" fontId="9" fillId="2" borderId="3" xfId="2" applyFont="1" applyFill="1" applyBorder="1" applyAlignment="1">
      <alignment horizontal="center" vertical="center"/>
    </xf>
    <xf numFmtId="0" fontId="2" fillId="0" borderId="2" xfId="2" applyBorder="1" applyAlignment="1">
      <alignment horizontal="center" vertical="center"/>
    </xf>
    <xf numFmtId="0" fontId="2" fillId="0" borderId="1" xfId="2" applyBorder="1">
      <alignment vertical="center"/>
    </xf>
    <xf numFmtId="0" fontId="8" fillId="0" borderId="0" xfId="2" applyFont="1" applyAlignment="1">
      <alignment horizontal="left" vertical="center"/>
    </xf>
    <xf numFmtId="0" fontId="8" fillId="2" borderId="0" xfId="2" applyFont="1" applyFill="1">
      <alignment vertical="center"/>
    </xf>
    <xf numFmtId="0" fontId="2" fillId="2" borderId="0" xfId="2" applyFill="1">
      <alignment vertical="center"/>
    </xf>
    <xf numFmtId="0" fontId="7" fillId="2" borderId="0" xfId="2" applyFont="1" applyFill="1">
      <alignment vertical="center"/>
    </xf>
    <xf numFmtId="0" fontId="11" fillId="0" borderId="0" xfId="3">
      <alignment vertical="center"/>
    </xf>
    <xf numFmtId="0" fontId="0" fillId="0" borderId="0" xfId="0" applyAlignment="1">
      <alignment wrapText="1"/>
    </xf>
    <xf numFmtId="0" fontId="0" fillId="4" borderId="0" xfId="0" applyFill="1"/>
    <xf numFmtId="0" fontId="1" fillId="0" borderId="1" xfId="3" quotePrefix="1" applyFont="1" applyBorder="1" applyAlignment="1">
      <alignment horizontal="left" vertical="center" wrapText="1"/>
    </xf>
    <xf numFmtId="0" fontId="1" fillId="0" borderId="1" xfId="3" applyFont="1" applyBorder="1" applyAlignment="1">
      <alignment vertical="center" wrapText="1"/>
    </xf>
    <xf numFmtId="0" fontId="0" fillId="0" borderId="1" xfId="0" applyBorder="1" applyAlignment="1">
      <alignment vertical="center"/>
    </xf>
    <xf numFmtId="0" fontId="0" fillId="0" borderId="0" xfId="0" applyAlignment="1">
      <alignment vertical="center"/>
    </xf>
    <xf numFmtId="176" fontId="13" fillId="0" borderId="1" xfId="4" applyNumberFormat="1" applyFont="1" applyBorder="1" applyAlignment="1">
      <alignment vertical="center" wrapText="1"/>
    </xf>
    <xf numFmtId="0" fontId="16" fillId="5" borderId="1" xfId="4" applyFont="1" applyFill="1" applyBorder="1" applyAlignment="1">
      <alignment horizontal="center" vertical="center" wrapText="1"/>
    </xf>
    <xf numFmtId="0" fontId="17" fillId="6" borderId="8" xfId="4" applyFont="1" applyFill="1" applyBorder="1" applyAlignment="1">
      <alignment horizontal="center" vertical="center"/>
    </xf>
    <xf numFmtId="176" fontId="13" fillId="0" borderId="1" xfId="4" applyNumberFormat="1" applyFont="1" applyBorder="1" applyAlignment="1">
      <alignment horizontal="center" vertical="center"/>
    </xf>
    <xf numFmtId="0" fontId="17" fillId="6" borderId="9" xfId="4" applyFont="1" applyFill="1" applyBorder="1" applyAlignment="1">
      <alignment horizontal="center" vertical="center"/>
    </xf>
    <xf numFmtId="0" fontId="19" fillId="7" borderId="1" xfId="0" applyFont="1" applyFill="1" applyBorder="1" applyAlignment="1">
      <alignment horizontal="center" vertical="center"/>
    </xf>
    <xf numFmtId="0" fontId="0" fillId="0" borderId="1" xfId="0" applyBorder="1" applyAlignment="1">
      <alignment horizontal="left" vertical="center"/>
    </xf>
    <xf numFmtId="176" fontId="0" fillId="0" borderId="1" xfId="0" applyNumberFormat="1" applyBorder="1" applyAlignment="1">
      <alignment horizontal="left" vertical="center"/>
    </xf>
  </cellXfs>
  <cellStyles count="5">
    <cellStyle name="표준" xfId="0" builtinId="0"/>
    <cellStyle name="표준 10" xfId="4" xr:uid="{DCA575E2-DFE0-4743-B0EF-E81014C532FA}"/>
    <cellStyle name="표준 2" xfId="3" xr:uid="{24A0F713-C52D-40E0-8CE0-5C0B2832303B}"/>
    <cellStyle name="표준 3" xfId="1" xr:uid="{7D8398CE-67C4-4416-BB5B-098DB12008AA}"/>
    <cellStyle name="표준 3 2" xfId="2" xr:uid="{7B217A90-005C-4F51-9112-6BC27BA746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8</xdr:row>
      <xdr:rowOff>74295</xdr:rowOff>
    </xdr:from>
    <xdr:to>
      <xdr:col>8</xdr:col>
      <xdr:colOff>384117</xdr:colOff>
      <xdr:row>12</xdr:row>
      <xdr:rowOff>201805</xdr:rowOff>
    </xdr:to>
    <xdr:pic>
      <xdr:nvPicPr>
        <xdr:cNvPr id="2" name="그림 1">
          <a:extLst>
            <a:ext uri="{FF2B5EF4-FFF2-40B4-BE49-F238E27FC236}">
              <a16:creationId xmlns:a16="http://schemas.microsoft.com/office/drawing/2014/main" id="{06935A63-B721-4FF2-94C8-DA4C1A1CE1E8}"/>
            </a:ext>
          </a:extLst>
        </xdr:cNvPr>
        <xdr:cNvPicPr>
          <a:picLocks noChangeAspect="1"/>
        </xdr:cNvPicPr>
      </xdr:nvPicPr>
      <xdr:blipFill>
        <a:blip xmlns:r="http://schemas.openxmlformats.org/officeDocument/2006/relationships" r:embed="rId1"/>
        <a:stretch>
          <a:fillRect/>
        </a:stretch>
      </xdr:blipFill>
      <xdr:spPr>
        <a:xfrm>
          <a:off x="171450" y="1826895"/>
          <a:ext cx="5546667" cy="1003810"/>
        </a:xfrm>
        <a:prstGeom prst="rect">
          <a:avLst/>
        </a:prstGeom>
      </xdr:spPr>
    </xdr:pic>
    <xdr:clientData/>
  </xdr:twoCellAnchor>
  <xdr:twoCellAnchor editAs="oneCell">
    <xdr:from>
      <xdr:col>0</xdr:col>
      <xdr:colOff>0</xdr:colOff>
      <xdr:row>13</xdr:row>
      <xdr:rowOff>142875</xdr:rowOff>
    </xdr:from>
    <xdr:to>
      <xdr:col>8</xdr:col>
      <xdr:colOff>56476</xdr:colOff>
      <xdr:row>18</xdr:row>
      <xdr:rowOff>18929</xdr:rowOff>
    </xdr:to>
    <xdr:pic>
      <xdr:nvPicPr>
        <xdr:cNvPr id="3" name="그림 2">
          <a:extLst>
            <a:ext uri="{FF2B5EF4-FFF2-40B4-BE49-F238E27FC236}">
              <a16:creationId xmlns:a16="http://schemas.microsoft.com/office/drawing/2014/main" id="{0DF3C14E-B978-4CB6-A6AF-8BBB340BA645}"/>
            </a:ext>
          </a:extLst>
        </xdr:cNvPr>
        <xdr:cNvPicPr>
          <a:picLocks noChangeAspect="1"/>
        </xdr:cNvPicPr>
      </xdr:nvPicPr>
      <xdr:blipFill>
        <a:blip xmlns:r="http://schemas.openxmlformats.org/officeDocument/2006/relationships" r:embed="rId2"/>
        <a:stretch>
          <a:fillRect/>
        </a:stretch>
      </xdr:blipFill>
      <xdr:spPr>
        <a:xfrm>
          <a:off x="0" y="2990850"/>
          <a:ext cx="5390476" cy="971429"/>
        </a:xfrm>
        <a:prstGeom prst="rect">
          <a:avLst/>
        </a:prstGeom>
      </xdr:spPr>
    </xdr:pic>
    <xdr:clientData/>
  </xdr:twoCellAnchor>
  <xdr:twoCellAnchor editAs="oneCell">
    <xdr:from>
      <xdr:col>10</xdr:col>
      <xdr:colOff>501015</xdr:colOff>
      <xdr:row>11</xdr:row>
      <xdr:rowOff>120015</xdr:rowOff>
    </xdr:from>
    <xdr:to>
      <xdr:col>18</xdr:col>
      <xdr:colOff>546064</xdr:colOff>
      <xdr:row>14</xdr:row>
      <xdr:rowOff>104694</xdr:rowOff>
    </xdr:to>
    <xdr:pic>
      <xdr:nvPicPr>
        <xdr:cNvPr id="4" name="그림 3">
          <a:extLst>
            <a:ext uri="{FF2B5EF4-FFF2-40B4-BE49-F238E27FC236}">
              <a16:creationId xmlns:a16="http://schemas.microsoft.com/office/drawing/2014/main" id="{0A2BC64B-6363-4A0E-A0E0-06C07C961AB8}"/>
            </a:ext>
          </a:extLst>
        </xdr:cNvPr>
        <xdr:cNvPicPr>
          <a:picLocks noChangeAspect="1"/>
        </xdr:cNvPicPr>
      </xdr:nvPicPr>
      <xdr:blipFill>
        <a:blip xmlns:r="http://schemas.openxmlformats.org/officeDocument/2006/relationships" r:embed="rId3"/>
        <a:stretch>
          <a:fillRect/>
        </a:stretch>
      </xdr:blipFill>
      <xdr:spPr>
        <a:xfrm>
          <a:off x="7168515" y="2529840"/>
          <a:ext cx="5379049" cy="641904"/>
        </a:xfrm>
        <a:prstGeom prst="rect">
          <a:avLst/>
        </a:prstGeom>
      </xdr:spPr>
    </xdr:pic>
    <xdr:clientData/>
  </xdr:twoCellAnchor>
  <xdr:twoCellAnchor editAs="oneCell">
    <xdr:from>
      <xdr:col>10</xdr:col>
      <xdr:colOff>449580</xdr:colOff>
      <xdr:row>3</xdr:row>
      <xdr:rowOff>211455</xdr:rowOff>
    </xdr:from>
    <xdr:to>
      <xdr:col>18</xdr:col>
      <xdr:colOff>355580</xdr:colOff>
      <xdr:row>9</xdr:row>
      <xdr:rowOff>197957</xdr:rowOff>
    </xdr:to>
    <xdr:pic>
      <xdr:nvPicPr>
        <xdr:cNvPr id="5" name="그림 4">
          <a:extLst>
            <a:ext uri="{FF2B5EF4-FFF2-40B4-BE49-F238E27FC236}">
              <a16:creationId xmlns:a16="http://schemas.microsoft.com/office/drawing/2014/main" id="{FEBDA59D-BE32-47DC-8E0E-14C7F703A863}"/>
            </a:ext>
          </a:extLst>
        </xdr:cNvPr>
        <xdr:cNvPicPr>
          <a:picLocks noChangeAspect="1"/>
        </xdr:cNvPicPr>
      </xdr:nvPicPr>
      <xdr:blipFill>
        <a:blip xmlns:r="http://schemas.openxmlformats.org/officeDocument/2006/relationships" r:embed="rId4"/>
        <a:stretch>
          <a:fillRect/>
        </a:stretch>
      </xdr:blipFill>
      <xdr:spPr>
        <a:xfrm>
          <a:off x="7117080" y="868680"/>
          <a:ext cx="5240000" cy="130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28575</xdr:rowOff>
    </xdr:from>
    <xdr:to>
      <xdr:col>15</xdr:col>
      <xdr:colOff>86369</xdr:colOff>
      <xdr:row>31</xdr:row>
      <xdr:rowOff>39210</xdr:rowOff>
    </xdr:to>
    <xdr:pic>
      <xdr:nvPicPr>
        <xdr:cNvPr id="2" name="그림 1">
          <a:extLst>
            <a:ext uri="{FF2B5EF4-FFF2-40B4-BE49-F238E27FC236}">
              <a16:creationId xmlns:a16="http://schemas.microsoft.com/office/drawing/2014/main" id="{5F240C0E-8118-669A-9790-E19C464D894C}"/>
            </a:ext>
          </a:extLst>
        </xdr:cNvPr>
        <xdr:cNvPicPr>
          <a:picLocks noChangeAspect="1"/>
        </xdr:cNvPicPr>
      </xdr:nvPicPr>
      <xdr:blipFill>
        <a:blip xmlns:r="http://schemas.openxmlformats.org/officeDocument/2006/relationships" r:embed="rId1"/>
        <a:stretch>
          <a:fillRect/>
        </a:stretch>
      </xdr:blipFill>
      <xdr:spPr>
        <a:xfrm>
          <a:off x="0" y="466725"/>
          <a:ext cx="10087619" cy="63638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8</xdr:col>
      <xdr:colOff>627988</xdr:colOff>
      <xdr:row>24</xdr:row>
      <xdr:rowOff>209004</xdr:rowOff>
    </xdr:to>
    <xdr:pic>
      <xdr:nvPicPr>
        <xdr:cNvPr id="3" name="그림 2">
          <a:extLst>
            <a:ext uri="{FF2B5EF4-FFF2-40B4-BE49-F238E27FC236}">
              <a16:creationId xmlns:a16="http://schemas.microsoft.com/office/drawing/2014/main" id="{74D71453-2591-A82B-A193-72540E6809F4}"/>
            </a:ext>
          </a:extLst>
        </xdr:cNvPr>
        <xdr:cNvPicPr>
          <a:picLocks noChangeAspect="1"/>
        </xdr:cNvPicPr>
      </xdr:nvPicPr>
      <xdr:blipFill>
        <a:blip xmlns:r="http://schemas.openxmlformats.org/officeDocument/2006/relationships" r:embed="rId1"/>
        <a:stretch>
          <a:fillRect/>
        </a:stretch>
      </xdr:blipFill>
      <xdr:spPr>
        <a:xfrm>
          <a:off x="666750" y="1095375"/>
          <a:ext cx="5295238" cy="4371429"/>
        </a:xfrm>
        <a:prstGeom prst="rect">
          <a:avLst/>
        </a:prstGeom>
      </xdr:spPr>
    </xdr:pic>
    <xdr:clientData/>
  </xdr:twoCellAnchor>
  <xdr:twoCellAnchor editAs="oneCell">
    <xdr:from>
      <xdr:col>0</xdr:col>
      <xdr:colOff>647700</xdr:colOff>
      <xdr:row>13</xdr:row>
      <xdr:rowOff>190500</xdr:rowOff>
    </xdr:from>
    <xdr:to>
      <xdr:col>5</xdr:col>
      <xdr:colOff>658712</xdr:colOff>
      <xdr:row>20</xdr:row>
      <xdr:rowOff>32214</xdr:rowOff>
    </xdr:to>
    <xdr:pic>
      <xdr:nvPicPr>
        <xdr:cNvPr id="4" name="그림 3">
          <a:extLst>
            <a:ext uri="{FF2B5EF4-FFF2-40B4-BE49-F238E27FC236}">
              <a16:creationId xmlns:a16="http://schemas.microsoft.com/office/drawing/2014/main" id="{0C6C76EC-7F30-5FA7-269F-9398BEC9987C}"/>
            </a:ext>
          </a:extLst>
        </xdr:cNvPr>
        <xdr:cNvPicPr>
          <a:picLocks noChangeAspect="1"/>
        </xdr:cNvPicPr>
      </xdr:nvPicPr>
      <xdr:blipFill>
        <a:blip xmlns:r="http://schemas.openxmlformats.org/officeDocument/2006/relationships" r:embed="rId2"/>
        <a:stretch>
          <a:fillRect/>
        </a:stretch>
      </xdr:blipFill>
      <xdr:spPr>
        <a:xfrm>
          <a:off x="647700" y="3038475"/>
          <a:ext cx="3344762" cy="13752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2</xdr:row>
      <xdr:rowOff>161925</xdr:rowOff>
    </xdr:from>
    <xdr:to>
      <xdr:col>8</xdr:col>
      <xdr:colOff>12700</xdr:colOff>
      <xdr:row>4</xdr:row>
      <xdr:rowOff>69850</xdr:rowOff>
    </xdr:to>
    <xdr:cxnSp macro="">
      <xdr:nvCxnSpPr>
        <xdr:cNvPr id="2" name="직선 화살표 연결선 1">
          <a:extLst>
            <a:ext uri="{FF2B5EF4-FFF2-40B4-BE49-F238E27FC236}">
              <a16:creationId xmlns:a16="http://schemas.microsoft.com/office/drawing/2014/main" id="{230F2FE4-106D-48AB-8C6A-3238956F93BC}"/>
            </a:ext>
          </a:extLst>
        </xdr:cNvPr>
        <xdr:cNvCxnSpPr>
          <a:endCxn id="3" idx="1"/>
        </xdr:cNvCxnSpPr>
      </xdr:nvCxnSpPr>
      <xdr:spPr>
        <a:xfrm flipV="1">
          <a:off x="3215640" y="702945"/>
          <a:ext cx="3167380" cy="403225"/>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xdr:col>
      <xdr:colOff>12700</xdr:colOff>
      <xdr:row>2</xdr:row>
      <xdr:rowOff>0</xdr:rowOff>
    </xdr:from>
    <xdr:to>
      <xdr:col>8</xdr:col>
      <xdr:colOff>2641600</xdr:colOff>
      <xdr:row>3</xdr:row>
      <xdr:rowOff>107950</xdr:rowOff>
    </xdr:to>
    <xdr:sp macro="" textlink="">
      <xdr:nvSpPr>
        <xdr:cNvPr id="3" name="직사각형 2">
          <a:extLst>
            <a:ext uri="{FF2B5EF4-FFF2-40B4-BE49-F238E27FC236}">
              <a16:creationId xmlns:a16="http://schemas.microsoft.com/office/drawing/2014/main" id="{5DD03F2D-8197-452E-AC3A-70041DE222C3}"/>
            </a:ext>
          </a:extLst>
        </xdr:cNvPr>
        <xdr:cNvSpPr/>
      </xdr:nvSpPr>
      <xdr:spPr>
        <a:xfrm>
          <a:off x="6383020" y="541020"/>
          <a:ext cx="2628900" cy="32893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현재</a:t>
          </a:r>
          <a:r>
            <a:rPr lang="ko-KR" altLang="en-US" sz="1100" b="1" baseline="0"/>
            <a:t> </a:t>
          </a:r>
          <a:r>
            <a:rPr lang="ko-KR" altLang="en-US" sz="1100" b="1"/>
            <a:t>컬럼에서 추가해야 하는 사항</a:t>
          </a:r>
        </a:p>
      </xdr:txBody>
    </xdr:sp>
    <xdr:clientData/>
  </xdr:twoCellAnchor>
  <xdr:oneCellAnchor>
    <xdr:from>
      <xdr:col>8</xdr:col>
      <xdr:colOff>3079750</xdr:colOff>
      <xdr:row>16</xdr:row>
      <xdr:rowOff>158750</xdr:rowOff>
    </xdr:from>
    <xdr:ext cx="2440386" cy="5417933"/>
    <xdr:pic>
      <xdr:nvPicPr>
        <xdr:cNvPr id="4" name="그림 3">
          <a:extLst>
            <a:ext uri="{FF2B5EF4-FFF2-40B4-BE49-F238E27FC236}">
              <a16:creationId xmlns:a16="http://schemas.microsoft.com/office/drawing/2014/main" id="{8795E171-14FF-4221-B568-1D140C308221}"/>
            </a:ext>
          </a:extLst>
        </xdr:cNvPr>
        <xdr:cNvPicPr>
          <a:picLocks noChangeAspect="1"/>
        </xdr:cNvPicPr>
      </xdr:nvPicPr>
      <xdr:blipFill>
        <a:blip xmlns:r="http://schemas.openxmlformats.org/officeDocument/2006/relationships" r:embed="rId1"/>
        <a:stretch>
          <a:fillRect/>
        </a:stretch>
      </xdr:blipFill>
      <xdr:spPr>
        <a:xfrm>
          <a:off x="9450070" y="3854450"/>
          <a:ext cx="2440386" cy="541793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xdr:from>
      <xdr:col>9</xdr:col>
      <xdr:colOff>360680</xdr:colOff>
      <xdr:row>16</xdr:row>
      <xdr:rowOff>19050</xdr:rowOff>
    </xdr:from>
    <xdr:to>
      <xdr:col>13</xdr:col>
      <xdr:colOff>114300</xdr:colOff>
      <xdr:row>19</xdr:row>
      <xdr:rowOff>76200</xdr:rowOff>
    </xdr:to>
    <xdr:grpSp>
      <xdr:nvGrpSpPr>
        <xdr:cNvPr id="5" name="그룹 4">
          <a:extLst>
            <a:ext uri="{FF2B5EF4-FFF2-40B4-BE49-F238E27FC236}">
              <a16:creationId xmlns:a16="http://schemas.microsoft.com/office/drawing/2014/main" id="{7D037A73-698B-4D25-AB78-3387F9B2E21C}"/>
            </a:ext>
          </a:extLst>
        </xdr:cNvPr>
        <xdr:cNvGrpSpPr/>
      </xdr:nvGrpSpPr>
      <xdr:grpSpPr>
        <a:xfrm>
          <a:off x="12446000" y="3714750"/>
          <a:ext cx="2496820" cy="765810"/>
          <a:chOff x="11893550" y="3797300"/>
          <a:chExt cx="2387600" cy="704850"/>
        </a:xfrm>
      </xdr:grpSpPr>
      <xdr:sp macro="" textlink="">
        <xdr:nvSpPr>
          <xdr:cNvPr id="6" name="직사각형 5">
            <a:extLst>
              <a:ext uri="{FF2B5EF4-FFF2-40B4-BE49-F238E27FC236}">
                <a16:creationId xmlns:a16="http://schemas.microsoft.com/office/drawing/2014/main" id="{089F7852-B7F7-9E6C-3FC9-48CF7EAEECAC}"/>
              </a:ext>
            </a:extLst>
          </xdr:cNvPr>
          <xdr:cNvSpPr/>
        </xdr:nvSpPr>
        <xdr:spPr>
          <a:xfrm>
            <a:off x="11893550" y="3797300"/>
            <a:ext cx="2387600" cy="70485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직사각형 6">
            <a:extLst>
              <a:ext uri="{FF2B5EF4-FFF2-40B4-BE49-F238E27FC236}">
                <a16:creationId xmlns:a16="http://schemas.microsoft.com/office/drawing/2014/main" id="{377AA42B-8318-D0F8-6EDC-632EF5D147A2}"/>
              </a:ext>
            </a:extLst>
          </xdr:cNvPr>
          <xdr:cNvSpPr/>
        </xdr:nvSpPr>
        <xdr:spPr>
          <a:xfrm>
            <a:off x="1196975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호봉</a:t>
            </a:r>
          </a:p>
        </xdr:txBody>
      </xdr:sp>
      <xdr:sp macro="" textlink="">
        <xdr:nvSpPr>
          <xdr:cNvPr id="8" name="직사각형 7">
            <a:extLst>
              <a:ext uri="{FF2B5EF4-FFF2-40B4-BE49-F238E27FC236}">
                <a16:creationId xmlns:a16="http://schemas.microsoft.com/office/drawing/2014/main" id="{F461E255-146F-CDE4-A64C-C30CAF4700EF}"/>
              </a:ext>
            </a:extLst>
          </xdr:cNvPr>
          <xdr:cNvSpPr/>
        </xdr:nvSpPr>
        <xdr:spPr>
          <a:xfrm>
            <a:off x="1251585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직책</a:t>
            </a:r>
          </a:p>
        </xdr:txBody>
      </xdr:sp>
      <xdr:sp macro="" textlink="">
        <xdr:nvSpPr>
          <xdr:cNvPr id="9" name="직사각형 8">
            <a:extLst>
              <a:ext uri="{FF2B5EF4-FFF2-40B4-BE49-F238E27FC236}">
                <a16:creationId xmlns:a16="http://schemas.microsoft.com/office/drawing/2014/main" id="{0E0E11D7-4EF4-D571-14D6-D2213EF2EAEF}"/>
              </a:ext>
            </a:extLst>
          </xdr:cNvPr>
          <xdr:cNvSpPr/>
        </xdr:nvSpPr>
        <xdr:spPr>
          <a:xfrm>
            <a:off x="1310005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직군</a:t>
            </a:r>
          </a:p>
        </xdr:txBody>
      </xdr:sp>
      <xdr:sp macro="" textlink="">
        <xdr:nvSpPr>
          <xdr:cNvPr id="10" name="직사각형 9">
            <a:extLst>
              <a:ext uri="{FF2B5EF4-FFF2-40B4-BE49-F238E27FC236}">
                <a16:creationId xmlns:a16="http://schemas.microsoft.com/office/drawing/2014/main" id="{057D199B-5994-4E85-A464-DBE9CD26278E}"/>
              </a:ext>
            </a:extLst>
          </xdr:cNvPr>
          <xdr:cNvSpPr/>
        </xdr:nvSpPr>
        <xdr:spPr>
          <a:xfrm>
            <a:off x="1369060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직무</a:t>
            </a:r>
          </a:p>
        </xdr:txBody>
      </xdr:sp>
      <xdr:sp macro="" textlink="">
        <xdr:nvSpPr>
          <xdr:cNvPr id="11" name="직사각형 10">
            <a:extLst>
              <a:ext uri="{FF2B5EF4-FFF2-40B4-BE49-F238E27FC236}">
                <a16:creationId xmlns:a16="http://schemas.microsoft.com/office/drawing/2014/main" id="{88902D40-EAB1-875A-7F67-9727C826123B}"/>
              </a:ext>
            </a:extLst>
          </xdr:cNvPr>
          <xdr:cNvSpPr/>
        </xdr:nvSpPr>
        <xdr:spPr>
          <a:xfrm>
            <a:off x="1369060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rPr>
              <a:t>...</a:t>
            </a:r>
            <a:endParaRPr lang="ko-KR" altLang="en-US" sz="800" b="1">
              <a:solidFill>
                <a:schemeClr val="tx1"/>
              </a:solidFill>
            </a:endParaRPr>
          </a:p>
        </xdr:txBody>
      </xdr:sp>
      <xdr:sp macro="" textlink="">
        <xdr:nvSpPr>
          <xdr:cNvPr id="12" name="직사각형 11">
            <a:extLst>
              <a:ext uri="{FF2B5EF4-FFF2-40B4-BE49-F238E27FC236}">
                <a16:creationId xmlns:a16="http://schemas.microsoft.com/office/drawing/2014/main" id="{93796AE6-DC25-F3C7-648B-191FDC936F7A}"/>
              </a:ext>
            </a:extLst>
          </xdr:cNvPr>
          <xdr:cNvSpPr/>
        </xdr:nvSpPr>
        <xdr:spPr>
          <a:xfrm>
            <a:off x="1310640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rPr>
              <a:t>...</a:t>
            </a:r>
            <a:endParaRPr lang="ko-KR" altLang="en-US" sz="800" b="1">
              <a:solidFill>
                <a:schemeClr val="tx1"/>
              </a:solidFill>
            </a:endParaRPr>
          </a:p>
        </xdr:txBody>
      </xdr:sp>
      <xdr:sp macro="" textlink="">
        <xdr:nvSpPr>
          <xdr:cNvPr id="13" name="직사각형 12">
            <a:extLst>
              <a:ext uri="{FF2B5EF4-FFF2-40B4-BE49-F238E27FC236}">
                <a16:creationId xmlns:a16="http://schemas.microsoft.com/office/drawing/2014/main" id="{F5E3F649-3F95-3FD8-1D28-E9E84694C78D}"/>
              </a:ext>
            </a:extLst>
          </xdr:cNvPr>
          <xdr:cNvSpPr/>
        </xdr:nvSpPr>
        <xdr:spPr>
          <a:xfrm>
            <a:off x="1252220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나이</a:t>
            </a:r>
          </a:p>
        </xdr:txBody>
      </xdr:sp>
      <xdr:sp macro="" textlink="">
        <xdr:nvSpPr>
          <xdr:cNvPr id="14" name="직사각형 13">
            <a:extLst>
              <a:ext uri="{FF2B5EF4-FFF2-40B4-BE49-F238E27FC236}">
                <a16:creationId xmlns:a16="http://schemas.microsoft.com/office/drawing/2014/main" id="{47ED1857-6FCA-CFFA-98D2-55B4BDD72EC0}"/>
              </a:ext>
            </a:extLst>
          </xdr:cNvPr>
          <xdr:cNvSpPr/>
        </xdr:nvSpPr>
        <xdr:spPr>
          <a:xfrm>
            <a:off x="1198245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국적</a:t>
            </a:r>
          </a:p>
        </xdr:txBody>
      </xdr:sp>
    </xdr:grpSp>
    <xdr:clientData/>
  </xdr:twoCellAnchor>
  <xdr:twoCellAnchor>
    <xdr:from>
      <xdr:col>8</xdr:col>
      <xdr:colOff>5238750</xdr:colOff>
      <xdr:row>17</xdr:row>
      <xdr:rowOff>120650</xdr:rowOff>
    </xdr:from>
    <xdr:to>
      <xdr:col>9</xdr:col>
      <xdr:colOff>336550</xdr:colOff>
      <xdr:row>18</xdr:row>
      <xdr:rowOff>50800</xdr:rowOff>
    </xdr:to>
    <xdr:cxnSp macro="">
      <xdr:nvCxnSpPr>
        <xdr:cNvPr id="15" name="직선 화살표 연결선 14">
          <a:extLst>
            <a:ext uri="{FF2B5EF4-FFF2-40B4-BE49-F238E27FC236}">
              <a16:creationId xmlns:a16="http://schemas.microsoft.com/office/drawing/2014/main" id="{C920BB85-16C9-4E4A-B6D6-754D7BB10A90}"/>
            </a:ext>
          </a:extLst>
        </xdr:cNvPr>
        <xdr:cNvCxnSpPr/>
      </xdr:nvCxnSpPr>
      <xdr:spPr>
        <a:xfrm flipH="1">
          <a:off x="11609070" y="4083050"/>
          <a:ext cx="812800" cy="151130"/>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xdr:col>
      <xdr:colOff>5524500</xdr:colOff>
      <xdr:row>18</xdr:row>
      <xdr:rowOff>69850</xdr:rowOff>
    </xdr:from>
    <xdr:to>
      <xdr:col>9</xdr:col>
      <xdr:colOff>273050</xdr:colOff>
      <xdr:row>19</xdr:row>
      <xdr:rowOff>177800</xdr:rowOff>
    </xdr:to>
    <xdr:sp macro="" textlink="">
      <xdr:nvSpPr>
        <xdr:cNvPr id="16" name="직사각형 15">
          <a:extLst>
            <a:ext uri="{FF2B5EF4-FFF2-40B4-BE49-F238E27FC236}">
              <a16:creationId xmlns:a16="http://schemas.microsoft.com/office/drawing/2014/main" id="{C331DCCB-1493-4589-8C7B-49EC0AE44217}"/>
            </a:ext>
          </a:extLst>
        </xdr:cNvPr>
        <xdr:cNvSpPr/>
      </xdr:nvSpPr>
      <xdr:spPr>
        <a:xfrm>
          <a:off x="11894820" y="4253230"/>
          <a:ext cx="463550" cy="32893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추가</a:t>
          </a:r>
        </a:p>
      </xdr:txBody>
    </xdr:sp>
    <xdr:clientData/>
  </xdr:twoCellAnchor>
  <xdr:twoCellAnchor>
    <xdr:from>
      <xdr:col>8</xdr:col>
      <xdr:colOff>176120</xdr:colOff>
      <xdr:row>21</xdr:row>
      <xdr:rowOff>156883</xdr:rowOff>
    </xdr:from>
    <xdr:to>
      <xdr:col>8</xdr:col>
      <xdr:colOff>2506943</xdr:colOff>
      <xdr:row>26</xdr:row>
      <xdr:rowOff>78441</xdr:rowOff>
    </xdr:to>
    <xdr:sp macro="" textlink="">
      <xdr:nvSpPr>
        <xdr:cNvPr id="17" name="화살표: 오른쪽 16">
          <a:extLst>
            <a:ext uri="{FF2B5EF4-FFF2-40B4-BE49-F238E27FC236}">
              <a16:creationId xmlns:a16="http://schemas.microsoft.com/office/drawing/2014/main" id="{3A0DF5E0-8D4D-4814-A5AA-AE653E0F3EAD}"/>
            </a:ext>
          </a:extLst>
        </xdr:cNvPr>
        <xdr:cNvSpPr/>
      </xdr:nvSpPr>
      <xdr:spPr>
        <a:xfrm>
          <a:off x="6546440" y="5003203"/>
          <a:ext cx="2330823" cy="102645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25400</xdr:colOff>
      <xdr:row>2</xdr:row>
      <xdr:rowOff>26850</xdr:rowOff>
    </xdr:from>
    <xdr:ext cx="9859496" cy="6350714"/>
    <xdr:pic>
      <xdr:nvPicPr>
        <xdr:cNvPr id="2" name="그림 1">
          <a:extLst>
            <a:ext uri="{FF2B5EF4-FFF2-40B4-BE49-F238E27FC236}">
              <a16:creationId xmlns:a16="http://schemas.microsoft.com/office/drawing/2014/main" id="{9077D7DB-C189-40CC-BF52-9D0319BB5BD9}"/>
            </a:ext>
          </a:extLst>
        </xdr:cNvPr>
        <xdr:cNvPicPr>
          <a:picLocks noChangeAspect="1"/>
        </xdr:cNvPicPr>
      </xdr:nvPicPr>
      <xdr:blipFill>
        <a:blip xmlns:r="http://schemas.openxmlformats.org/officeDocument/2006/relationships" r:embed="rId1"/>
        <a:stretch>
          <a:fillRect/>
        </a:stretch>
      </xdr:blipFill>
      <xdr:spPr>
        <a:xfrm>
          <a:off x="25400" y="514530"/>
          <a:ext cx="9859496" cy="635071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oneCellAnchor>
  <xdr:twoCellAnchor>
    <xdr:from>
      <xdr:col>0</xdr:col>
      <xdr:colOff>64060</xdr:colOff>
      <xdr:row>8</xdr:row>
      <xdr:rowOff>27267</xdr:rowOff>
    </xdr:from>
    <xdr:to>
      <xdr:col>9</xdr:col>
      <xdr:colOff>600261</xdr:colOff>
      <xdr:row>14</xdr:row>
      <xdr:rowOff>107203</xdr:rowOff>
    </xdr:to>
    <xdr:sp macro="" textlink="">
      <xdr:nvSpPr>
        <xdr:cNvPr id="3" name="직사각형 2">
          <a:extLst>
            <a:ext uri="{FF2B5EF4-FFF2-40B4-BE49-F238E27FC236}">
              <a16:creationId xmlns:a16="http://schemas.microsoft.com/office/drawing/2014/main" id="{2141200A-991B-46BE-9B57-FBD652C13096}"/>
            </a:ext>
          </a:extLst>
        </xdr:cNvPr>
        <xdr:cNvSpPr/>
      </xdr:nvSpPr>
      <xdr:spPr>
        <a:xfrm>
          <a:off x="64060" y="1840827"/>
          <a:ext cx="6708401" cy="140581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64060</xdr:colOff>
      <xdr:row>4</xdr:row>
      <xdr:rowOff>187811</xdr:rowOff>
    </xdr:from>
    <xdr:to>
      <xdr:col>9</xdr:col>
      <xdr:colOff>600261</xdr:colOff>
      <xdr:row>7</xdr:row>
      <xdr:rowOff>124240</xdr:rowOff>
    </xdr:to>
    <xdr:sp macro="" textlink="">
      <xdr:nvSpPr>
        <xdr:cNvPr id="4" name="직사각형 3">
          <a:extLst>
            <a:ext uri="{FF2B5EF4-FFF2-40B4-BE49-F238E27FC236}">
              <a16:creationId xmlns:a16="http://schemas.microsoft.com/office/drawing/2014/main" id="{D759AFC6-0FCE-4E4E-B485-1BCC1BCA13E5}"/>
            </a:ext>
          </a:extLst>
        </xdr:cNvPr>
        <xdr:cNvSpPr/>
      </xdr:nvSpPr>
      <xdr:spPr>
        <a:xfrm>
          <a:off x="64060" y="1117451"/>
          <a:ext cx="6708401" cy="59936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0</xdr:col>
      <xdr:colOff>35299</xdr:colOff>
      <xdr:row>10</xdr:row>
      <xdr:rowOff>171451</xdr:rowOff>
    </xdr:from>
    <xdr:ext cx="6815416" cy="4422401"/>
    <xdr:pic>
      <xdr:nvPicPr>
        <xdr:cNvPr id="5" name="그림 4">
          <a:extLst>
            <a:ext uri="{FF2B5EF4-FFF2-40B4-BE49-F238E27FC236}">
              <a16:creationId xmlns:a16="http://schemas.microsoft.com/office/drawing/2014/main" id="{D2172A6C-9F4F-48B2-A785-20B4AE432C16}"/>
            </a:ext>
          </a:extLst>
        </xdr:cNvPr>
        <xdr:cNvPicPr>
          <a:picLocks noChangeAspect="1"/>
        </xdr:cNvPicPr>
      </xdr:nvPicPr>
      <xdr:blipFill rotWithShape="1">
        <a:blip xmlns:r="http://schemas.openxmlformats.org/officeDocument/2006/relationships" r:embed="rId1"/>
        <a:srcRect t="19157" r="30174" b="23667"/>
        <a:stretch/>
      </xdr:blipFill>
      <xdr:spPr>
        <a:xfrm>
          <a:off x="35299" y="2426971"/>
          <a:ext cx="6815416" cy="4422401"/>
        </a:xfrm>
        <a:prstGeom prst="rect">
          <a:avLst/>
        </a:prstGeom>
        <a:ln w="38100" cap="sq">
          <a:solidFill>
            <a:srgbClr val="FF0000"/>
          </a:solidFill>
          <a:prstDash val="solid"/>
          <a:miter lim="800000"/>
        </a:ln>
        <a:effectLst>
          <a:outerShdw blurRad="50800" dist="38100" dir="2700000" algn="tl" rotWithShape="0">
            <a:srgbClr val="000000">
              <a:alpha val="43000"/>
            </a:srgbClr>
          </a:outerShdw>
        </a:effectLst>
      </xdr:spPr>
    </xdr:pic>
    <xdr:clientData/>
  </xdr:oneCellAnchor>
  <xdr:twoCellAnchor>
    <xdr:from>
      <xdr:col>5</xdr:col>
      <xdr:colOff>515471</xdr:colOff>
      <xdr:row>31</xdr:row>
      <xdr:rowOff>11205</xdr:rowOff>
    </xdr:from>
    <xdr:to>
      <xdr:col>7</xdr:col>
      <xdr:colOff>20357</xdr:colOff>
      <xdr:row>33</xdr:row>
      <xdr:rowOff>223745</xdr:rowOff>
    </xdr:to>
    <xdr:cxnSp macro="">
      <xdr:nvCxnSpPr>
        <xdr:cNvPr id="6" name="직선 화살표 연결선 5">
          <a:extLst>
            <a:ext uri="{FF2B5EF4-FFF2-40B4-BE49-F238E27FC236}">
              <a16:creationId xmlns:a16="http://schemas.microsoft.com/office/drawing/2014/main" id="{7ADED5BE-AD0C-4265-A1DF-9BF17C9DDF36}"/>
            </a:ext>
          </a:extLst>
        </xdr:cNvPr>
        <xdr:cNvCxnSpPr>
          <a:endCxn id="7" idx="1"/>
        </xdr:cNvCxnSpPr>
      </xdr:nvCxnSpPr>
      <xdr:spPr>
        <a:xfrm>
          <a:off x="3944471" y="6907305"/>
          <a:ext cx="876486" cy="654500"/>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20357</xdr:colOff>
      <xdr:row>33</xdr:row>
      <xdr:rowOff>59952</xdr:rowOff>
    </xdr:from>
    <xdr:to>
      <xdr:col>11</xdr:col>
      <xdr:colOff>20356</xdr:colOff>
      <xdr:row>34</xdr:row>
      <xdr:rowOff>166594</xdr:rowOff>
    </xdr:to>
    <xdr:sp macro="" textlink="">
      <xdr:nvSpPr>
        <xdr:cNvPr id="7" name="직사각형 6">
          <a:extLst>
            <a:ext uri="{FF2B5EF4-FFF2-40B4-BE49-F238E27FC236}">
              <a16:creationId xmlns:a16="http://schemas.microsoft.com/office/drawing/2014/main" id="{CE8D6551-0147-495E-AEC6-BB4E787FBBA1}"/>
            </a:ext>
          </a:extLst>
        </xdr:cNvPr>
        <xdr:cNvSpPr/>
      </xdr:nvSpPr>
      <xdr:spPr>
        <a:xfrm>
          <a:off x="4820957" y="7398012"/>
          <a:ext cx="2743199" cy="3276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사원리스트 표기</a:t>
          </a:r>
          <a:r>
            <a:rPr lang="en-US" altLang="ko-KR" sz="1100" b="1"/>
            <a:t>(</a:t>
          </a:r>
          <a:r>
            <a:rPr lang="ko-KR" altLang="en-US" sz="1100" b="1"/>
            <a:t>요청사항 </a:t>
          </a:r>
          <a:r>
            <a:rPr lang="en-US" altLang="ko-KR" sz="1100" b="1"/>
            <a:t>1</a:t>
          </a:r>
          <a:r>
            <a:rPr lang="ko-KR" altLang="en-US" sz="1100" b="1"/>
            <a:t>번항목 참고</a:t>
          </a:r>
          <a:r>
            <a:rPr lang="en-US" altLang="ko-KR" sz="1100" b="1"/>
            <a:t>)</a:t>
          </a:r>
          <a:endParaRPr lang="ko-KR" altLang="en-US" sz="1100" b="1"/>
        </a:p>
      </xdr:txBody>
    </xdr:sp>
    <xdr:clientData/>
  </xdr:twoCellAnchor>
  <xdr:twoCellAnchor>
    <xdr:from>
      <xdr:col>18</xdr:col>
      <xdr:colOff>38100</xdr:colOff>
      <xdr:row>34</xdr:row>
      <xdr:rowOff>161925</xdr:rowOff>
    </xdr:from>
    <xdr:to>
      <xdr:col>22</xdr:col>
      <xdr:colOff>12700</xdr:colOff>
      <xdr:row>36</xdr:row>
      <xdr:rowOff>69850</xdr:rowOff>
    </xdr:to>
    <xdr:cxnSp macro="">
      <xdr:nvCxnSpPr>
        <xdr:cNvPr id="8" name="직선 화살표 연결선 7">
          <a:extLst>
            <a:ext uri="{FF2B5EF4-FFF2-40B4-BE49-F238E27FC236}">
              <a16:creationId xmlns:a16="http://schemas.microsoft.com/office/drawing/2014/main" id="{8B839BB4-4515-4503-9DC0-2E30B308501A}"/>
            </a:ext>
          </a:extLst>
        </xdr:cNvPr>
        <xdr:cNvCxnSpPr>
          <a:endCxn id="9" idx="1"/>
        </xdr:cNvCxnSpPr>
      </xdr:nvCxnSpPr>
      <xdr:spPr>
        <a:xfrm flipV="1">
          <a:off x="13014960" y="7720965"/>
          <a:ext cx="2527300" cy="403225"/>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22</xdr:col>
      <xdr:colOff>12700</xdr:colOff>
      <xdr:row>34</xdr:row>
      <xdr:rowOff>0</xdr:rowOff>
    </xdr:from>
    <xdr:to>
      <xdr:col>22</xdr:col>
      <xdr:colOff>2641600</xdr:colOff>
      <xdr:row>35</xdr:row>
      <xdr:rowOff>107950</xdr:rowOff>
    </xdr:to>
    <xdr:sp macro="" textlink="">
      <xdr:nvSpPr>
        <xdr:cNvPr id="9" name="직사각형 8">
          <a:extLst>
            <a:ext uri="{FF2B5EF4-FFF2-40B4-BE49-F238E27FC236}">
              <a16:creationId xmlns:a16="http://schemas.microsoft.com/office/drawing/2014/main" id="{BD03A08D-5D66-40CC-91C1-736A6F81A3F9}"/>
            </a:ext>
          </a:extLst>
        </xdr:cNvPr>
        <xdr:cNvSpPr/>
      </xdr:nvSpPr>
      <xdr:spPr>
        <a:xfrm>
          <a:off x="15542260" y="7559040"/>
          <a:ext cx="2628900" cy="32893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현재</a:t>
          </a:r>
          <a:r>
            <a:rPr lang="ko-KR" altLang="en-US" sz="1100" b="1" baseline="0"/>
            <a:t> </a:t>
          </a:r>
          <a:r>
            <a:rPr lang="ko-KR" altLang="en-US" sz="1100" b="1"/>
            <a:t>컬럼에서 추가해야 하는 사항</a:t>
          </a:r>
        </a:p>
      </xdr:txBody>
    </xdr:sp>
    <xdr:clientData/>
  </xdr:twoCellAnchor>
  <xdr:twoCellAnchor>
    <xdr:from>
      <xdr:col>11</xdr:col>
      <xdr:colOff>67235</xdr:colOff>
      <xdr:row>34</xdr:row>
      <xdr:rowOff>47998</xdr:rowOff>
    </xdr:from>
    <xdr:to>
      <xdr:col>13</xdr:col>
      <xdr:colOff>649941</xdr:colOff>
      <xdr:row>35</xdr:row>
      <xdr:rowOff>156883</xdr:rowOff>
    </xdr:to>
    <xdr:cxnSp macro="">
      <xdr:nvCxnSpPr>
        <xdr:cNvPr id="10" name="직선 화살표 연결선 9">
          <a:extLst>
            <a:ext uri="{FF2B5EF4-FFF2-40B4-BE49-F238E27FC236}">
              <a16:creationId xmlns:a16="http://schemas.microsoft.com/office/drawing/2014/main" id="{5A71FBD8-296F-4716-9E5A-BF8BC6BFD2FC}"/>
            </a:ext>
          </a:extLst>
        </xdr:cNvPr>
        <xdr:cNvCxnSpPr/>
      </xdr:nvCxnSpPr>
      <xdr:spPr>
        <a:xfrm>
          <a:off x="7611035" y="7607038"/>
          <a:ext cx="1954306" cy="329865"/>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172682</xdr:colOff>
      <xdr:row>3</xdr:row>
      <xdr:rowOff>159510</xdr:rowOff>
    </xdr:from>
    <xdr:to>
      <xdr:col>17</xdr:col>
      <xdr:colOff>655394</xdr:colOff>
      <xdr:row>7</xdr:row>
      <xdr:rowOff>38635</xdr:rowOff>
    </xdr:to>
    <xdr:grpSp>
      <xdr:nvGrpSpPr>
        <xdr:cNvPr id="11" name="그룹 10">
          <a:extLst>
            <a:ext uri="{FF2B5EF4-FFF2-40B4-BE49-F238E27FC236}">
              <a16:creationId xmlns:a16="http://schemas.microsoft.com/office/drawing/2014/main" id="{2DD86E89-18B7-4E96-AA94-7A2BE030CBEC}"/>
            </a:ext>
          </a:extLst>
        </xdr:cNvPr>
        <xdr:cNvGrpSpPr/>
      </xdr:nvGrpSpPr>
      <xdr:grpSpPr>
        <a:xfrm>
          <a:off x="10535882" y="876686"/>
          <a:ext cx="2257724" cy="775596"/>
          <a:chOff x="11893550" y="3797300"/>
          <a:chExt cx="2387600" cy="704850"/>
        </a:xfrm>
      </xdr:grpSpPr>
      <xdr:sp macro="" textlink="">
        <xdr:nvSpPr>
          <xdr:cNvPr id="12" name="직사각형 11">
            <a:extLst>
              <a:ext uri="{FF2B5EF4-FFF2-40B4-BE49-F238E27FC236}">
                <a16:creationId xmlns:a16="http://schemas.microsoft.com/office/drawing/2014/main" id="{35EDF4D3-2598-F049-9C9F-336FF0D71D64}"/>
              </a:ext>
            </a:extLst>
          </xdr:cNvPr>
          <xdr:cNvSpPr/>
        </xdr:nvSpPr>
        <xdr:spPr>
          <a:xfrm>
            <a:off x="11893550" y="3797300"/>
            <a:ext cx="2387600" cy="70485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 name="직사각형 12">
            <a:extLst>
              <a:ext uri="{FF2B5EF4-FFF2-40B4-BE49-F238E27FC236}">
                <a16:creationId xmlns:a16="http://schemas.microsoft.com/office/drawing/2014/main" id="{62CFFCF0-CC58-50E7-DA38-7ECF739B37EE}"/>
              </a:ext>
            </a:extLst>
          </xdr:cNvPr>
          <xdr:cNvSpPr/>
        </xdr:nvSpPr>
        <xdr:spPr>
          <a:xfrm>
            <a:off x="1196975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호봉</a:t>
            </a:r>
          </a:p>
        </xdr:txBody>
      </xdr:sp>
      <xdr:sp macro="" textlink="">
        <xdr:nvSpPr>
          <xdr:cNvPr id="14" name="직사각형 13">
            <a:extLst>
              <a:ext uri="{FF2B5EF4-FFF2-40B4-BE49-F238E27FC236}">
                <a16:creationId xmlns:a16="http://schemas.microsoft.com/office/drawing/2014/main" id="{68F0D9A1-BAA6-836C-8550-C436C3041AD0}"/>
              </a:ext>
            </a:extLst>
          </xdr:cNvPr>
          <xdr:cNvSpPr/>
        </xdr:nvSpPr>
        <xdr:spPr>
          <a:xfrm>
            <a:off x="1251585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직책</a:t>
            </a:r>
          </a:p>
        </xdr:txBody>
      </xdr:sp>
      <xdr:sp macro="" textlink="">
        <xdr:nvSpPr>
          <xdr:cNvPr id="15" name="직사각형 14">
            <a:extLst>
              <a:ext uri="{FF2B5EF4-FFF2-40B4-BE49-F238E27FC236}">
                <a16:creationId xmlns:a16="http://schemas.microsoft.com/office/drawing/2014/main" id="{459D676B-06B3-69FA-EFAD-4F8754FF3BA2}"/>
              </a:ext>
            </a:extLst>
          </xdr:cNvPr>
          <xdr:cNvSpPr/>
        </xdr:nvSpPr>
        <xdr:spPr>
          <a:xfrm>
            <a:off x="1310005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직군</a:t>
            </a:r>
          </a:p>
        </xdr:txBody>
      </xdr:sp>
      <xdr:sp macro="" textlink="">
        <xdr:nvSpPr>
          <xdr:cNvPr id="16" name="직사각형 15">
            <a:extLst>
              <a:ext uri="{FF2B5EF4-FFF2-40B4-BE49-F238E27FC236}">
                <a16:creationId xmlns:a16="http://schemas.microsoft.com/office/drawing/2014/main" id="{EFF6AB4C-EB0E-53FF-B56E-6C8360E3B87C}"/>
              </a:ext>
            </a:extLst>
          </xdr:cNvPr>
          <xdr:cNvSpPr/>
        </xdr:nvSpPr>
        <xdr:spPr>
          <a:xfrm>
            <a:off x="13690600" y="386079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직무</a:t>
            </a:r>
          </a:p>
        </xdr:txBody>
      </xdr:sp>
      <xdr:sp macro="" textlink="">
        <xdr:nvSpPr>
          <xdr:cNvPr id="17" name="직사각형 16">
            <a:extLst>
              <a:ext uri="{FF2B5EF4-FFF2-40B4-BE49-F238E27FC236}">
                <a16:creationId xmlns:a16="http://schemas.microsoft.com/office/drawing/2014/main" id="{A21BC325-0254-C680-C449-97CC2EB67061}"/>
              </a:ext>
            </a:extLst>
          </xdr:cNvPr>
          <xdr:cNvSpPr/>
        </xdr:nvSpPr>
        <xdr:spPr>
          <a:xfrm>
            <a:off x="1369060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rPr>
              <a:t>...</a:t>
            </a:r>
            <a:endParaRPr lang="ko-KR" altLang="en-US" sz="800" b="1">
              <a:solidFill>
                <a:schemeClr val="tx1"/>
              </a:solidFill>
            </a:endParaRPr>
          </a:p>
        </xdr:txBody>
      </xdr:sp>
      <xdr:sp macro="" textlink="">
        <xdr:nvSpPr>
          <xdr:cNvPr id="18" name="직사각형 17">
            <a:extLst>
              <a:ext uri="{FF2B5EF4-FFF2-40B4-BE49-F238E27FC236}">
                <a16:creationId xmlns:a16="http://schemas.microsoft.com/office/drawing/2014/main" id="{6D978909-DB36-6E09-0996-13C54F9C897A}"/>
              </a:ext>
            </a:extLst>
          </xdr:cNvPr>
          <xdr:cNvSpPr/>
        </xdr:nvSpPr>
        <xdr:spPr>
          <a:xfrm>
            <a:off x="1310640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rPr>
              <a:t>...</a:t>
            </a:r>
            <a:endParaRPr lang="ko-KR" altLang="en-US" sz="800" b="1">
              <a:solidFill>
                <a:schemeClr val="tx1"/>
              </a:solidFill>
            </a:endParaRPr>
          </a:p>
        </xdr:txBody>
      </xdr:sp>
      <xdr:sp macro="" textlink="">
        <xdr:nvSpPr>
          <xdr:cNvPr id="19" name="직사각형 18">
            <a:extLst>
              <a:ext uri="{FF2B5EF4-FFF2-40B4-BE49-F238E27FC236}">
                <a16:creationId xmlns:a16="http://schemas.microsoft.com/office/drawing/2014/main" id="{28DD0E9B-D878-F19D-3EB1-4C17C012A4EF}"/>
              </a:ext>
            </a:extLst>
          </xdr:cNvPr>
          <xdr:cNvSpPr/>
        </xdr:nvSpPr>
        <xdr:spPr>
          <a:xfrm>
            <a:off x="1252220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나이</a:t>
            </a:r>
          </a:p>
        </xdr:txBody>
      </xdr:sp>
      <xdr:sp macro="" textlink="">
        <xdr:nvSpPr>
          <xdr:cNvPr id="20" name="직사각형 19">
            <a:extLst>
              <a:ext uri="{FF2B5EF4-FFF2-40B4-BE49-F238E27FC236}">
                <a16:creationId xmlns:a16="http://schemas.microsoft.com/office/drawing/2014/main" id="{D344DB96-D7F4-78AE-2EDB-93D83C4C2E11}"/>
              </a:ext>
            </a:extLst>
          </xdr:cNvPr>
          <xdr:cNvSpPr/>
        </xdr:nvSpPr>
        <xdr:spPr>
          <a:xfrm>
            <a:off x="11982450" y="4171949"/>
            <a:ext cx="488950" cy="239681"/>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국적</a:t>
            </a:r>
          </a:p>
        </xdr:txBody>
      </xdr:sp>
    </xdr:grpSp>
    <xdr:clientData/>
  </xdr:twoCellAnchor>
  <xdr:twoCellAnchor>
    <xdr:from>
      <xdr:col>14</xdr:col>
      <xdr:colOff>155574</xdr:colOff>
      <xdr:row>7</xdr:row>
      <xdr:rowOff>208594</xdr:rowOff>
    </xdr:from>
    <xdr:to>
      <xdr:col>16</xdr:col>
      <xdr:colOff>235324</xdr:colOff>
      <xdr:row>10</xdr:row>
      <xdr:rowOff>152216</xdr:rowOff>
    </xdr:to>
    <xdr:sp macro="" textlink="">
      <xdr:nvSpPr>
        <xdr:cNvPr id="21" name="직사각형 20">
          <a:extLst>
            <a:ext uri="{FF2B5EF4-FFF2-40B4-BE49-F238E27FC236}">
              <a16:creationId xmlns:a16="http://schemas.microsoft.com/office/drawing/2014/main" id="{0DC413CD-D370-405A-8127-76A997078901}"/>
            </a:ext>
          </a:extLst>
        </xdr:cNvPr>
        <xdr:cNvSpPr/>
      </xdr:nvSpPr>
      <xdr:spPr>
        <a:xfrm>
          <a:off x="9756774" y="1801174"/>
          <a:ext cx="1672330" cy="60656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추가</a:t>
          </a:r>
          <a:endParaRPr lang="en-US" altLang="ko-KR" sz="1100" b="1"/>
        </a:p>
        <a:p>
          <a:pPr algn="l"/>
          <a:r>
            <a:rPr lang="en-US" altLang="ko-KR" sz="1100" b="1"/>
            <a:t>(</a:t>
          </a:r>
          <a:r>
            <a:rPr lang="ko-KR" altLang="en-US" sz="1100" b="1"/>
            <a:t>요청사항 </a:t>
          </a:r>
          <a:r>
            <a:rPr lang="en-US" altLang="ko-KR" sz="1100" b="1"/>
            <a:t>2</a:t>
          </a:r>
          <a:r>
            <a:rPr lang="ko-KR" altLang="en-US" sz="1100" b="1"/>
            <a:t>번항목 참고</a:t>
          </a:r>
          <a:r>
            <a:rPr lang="en-US" altLang="ko-KR" sz="1100" b="1"/>
            <a:t>)</a:t>
          </a:r>
        </a:p>
        <a:p>
          <a:pPr algn="l"/>
          <a:endParaRPr lang="ko-KR" altLang="en-US" sz="1100" b="1"/>
        </a:p>
      </xdr:txBody>
    </xdr:sp>
    <xdr:clientData/>
  </xdr:twoCellAnchor>
  <xdr:twoCellAnchor>
    <xdr:from>
      <xdr:col>13</xdr:col>
      <xdr:colOff>649941</xdr:colOff>
      <xdr:row>5</xdr:row>
      <xdr:rowOff>99707</xdr:rowOff>
    </xdr:from>
    <xdr:to>
      <xdr:col>15</xdr:col>
      <xdr:colOff>179667</xdr:colOff>
      <xdr:row>6</xdr:row>
      <xdr:rowOff>29510</xdr:rowOff>
    </xdr:to>
    <xdr:cxnSp macro="">
      <xdr:nvCxnSpPr>
        <xdr:cNvPr id="22" name="직선 화살표 연결선 21">
          <a:extLst>
            <a:ext uri="{FF2B5EF4-FFF2-40B4-BE49-F238E27FC236}">
              <a16:creationId xmlns:a16="http://schemas.microsoft.com/office/drawing/2014/main" id="{E788A1C8-EC2B-4026-A73A-0F6934F2FB8B}"/>
            </a:ext>
          </a:extLst>
        </xdr:cNvPr>
        <xdr:cNvCxnSpPr>
          <a:stCxn id="12" idx="1"/>
        </xdr:cNvCxnSpPr>
      </xdr:nvCxnSpPr>
      <xdr:spPr>
        <a:xfrm flipH="1">
          <a:off x="9565341" y="1250327"/>
          <a:ext cx="916566" cy="150783"/>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124014</xdr:colOff>
      <xdr:row>5</xdr:row>
      <xdr:rowOff>121023</xdr:rowOff>
    </xdr:from>
    <xdr:to>
      <xdr:col>5</xdr:col>
      <xdr:colOff>237566</xdr:colOff>
      <xdr:row>8</xdr:row>
      <xdr:rowOff>50799</xdr:rowOff>
    </xdr:to>
    <xdr:sp macro="" textlink="">
      <xdr:nvSpPr>
        <xdr:cNvPr id="23" name="직사각형 22">
          <a:extLst>
            <a:ext uri="{FF2B5EF4-FFF2-40B4-BE49-F238E27FC236}">
              <a16:creationId xmlns:a16="http://schemas.microsoft.com/office/drawing/2014/main" id="{B2AB549C-3DC7-413A-95AC-24E4F7B80A8A}"/>
            </a:ext>
          </a:extLst>
        </xdr:cNvPr>
        <xdr:cNvSpPr/>
      </xdr:nvSpPr>
      <xdr:spPr>
        <a:xfrm>
          <a:off x="2867214" y="1271643"/>
          <a:ext cx="799352" cy="5927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900" b="1">
              <a:solidFill>
                <a:schemeClr val="tx1"/>
              </a:solidFill>
            </a:rPr>
            <a:t>□ 입사자</a:t>
          </a:r>
          <a:endParaRPr lang="en-US" altLang="ko-KR" sz="900" b="1">
            <a:solidFill>
              <a:schemeClr val="tx1"/>
            </a:solidFill>
          </a:endParaRPr>
        </a:p>
        <a:p>
          <a:pPr algn="l"/>
          <a:r>
            <a:rPr lang="ko-KR" altLang="en-US" sz="900" b="1">
              <a:solidFill>
                <a:schemeClr val="tx1"/>
              </a:solidFill>
            </a:rPr>
            <a:t>□ 퇴직자</a:t>
          </a:r>
        </a:p>
      </xdr:txBody>
    </xdr:sp>
    <xdr:clientData/>
  </xdr:twoCellAnchor>
  <xdr:oneCellAnchor>
    <xdr:from>
      <xdr:col>8</xdr:col>
      <xdr:colOff>294529</xdr:colOff>
      <xdr:row>6</xdr:row>
      <xdr:rowOff>40052</xdr:rowOff>
    </xdr:from>
    <xdr:ext cx="895908" cy="240050"/>
    <xdr:pic>
      <xdr:nvPicPr>
        <xdr:cNvPr id="24" name="그림 23">
          <a:extLst>
            <a:ext uri="{FF2B5EF4-FFF2-40B4-BE49-F238E27FC236}">
              <a16:creationId xmlns:a16="http://schemas.microsoft.com/office/drawing/2014/main" id="{350F62E9-E815-41B9-A966-49E19F6FBE21}"/>
            </a:ext>
          </a:extLst>
        </xdr:cNvPr>
        <xdr:cNvPicPr>
          <a:picLocks noChangeAspect="1"/>
        </xdr:cNvPicPr>
      </xdr:nvPicPr>
      <xdr:blipFill>
        <a:blip xmlns:r="http://schemas.openxmlformats.org/officeDocument/2006/relationships" r:embed="rId2"/>
        <a:stretch>
          <a:fillRect/>
        </a:stretch>
      </xdr:blipFill>
      <xdr:spPr>
        <a:xfrm>
          <a:off x="5780929" y="1411652"/>
          <a:ext cx="895908" cy="240050"/>
        </a:xfrm>
        <a:prstGeom prst="rect">
          <a:avLst/>
        </a:prstGeom>
      </xdr:spPr>
    </xdr:pic>
    <xdr:clientData/>
  </xdr:oneCellAnchor>
  <xdr:oneCellAnchor>
    <xdr:from>
      <xdr:col>0</xdr:col>
      <xdr:colOff>73238</xdr:colOff>
      <xdr:row>4</xdr:row>
      <xdr:rowOff>188258</xdr:rowOff>
    </xdr:from>
    <xdr:ext cx="687556" cy="172197"/>
    <xdr:pic>
      <xdr:nvPicPr>
        <xdr:cNvPr id="25" name="그림 24">
          <a:extLst>
            <a:ext uri="{FF2B5EF4-FFF2-40B4-BE49-F238E27FC236}">
              <a16:creationId xmlns:a16="http://schemas.microsoft.com/office/drawing/2014/main" id="{481CB245-5388-44FC-A77A-3FB71D0C8855}"/>
            </a:ext>
          </a:extLst>
        </xdr:cNvPr>
        <xdr:cNvPicPr>
          <a:picLocks noChangeAspect="1"/>
        </xdr:cNvPicPr>
      </xdr:nvPicPr>
      <xdr:blipFill>
        <a:blip xmlns:r="http://schemas.openxmlformats.org/officeDocument/2006/relationships" r:embed="rId3"/>
        <a:stretch>
          <a:fillRect/>
        </a:stretch>
      </xdr:blipFill>
      <xdr:spPr>
        <a:xfrm>
          <a:off x="73238" y="1117898"/>
          <a:ext cx="687556" cy="172197"/>
        </a:xfrm>
        <a:prstGeom prst="rect">
          <a:avLst/>
        </a:prstGeom>
      </xdr:spPr>
    </xdr:pic>
    <xdr:clientData/>
  </xdr:oneCellAnchor>
  <xdr:oneCellAnchor>
    <xdr:from>
      <xdr:col>5</xdr:col>
      <xdr:colOff>581025</xdr:colOff>
      <xdr:row>5</xdr:row>
      <xdr:rowOff>212479</xdr:rowOff>
    </xdr:from>
    <xdr:ext cx="1567890" cy="307408"/>
    <xdr:pic>
      <xdr:nvPicPr>
        <xdr:cNvPr id="26" name="그림 25">
          <a:extLst>
            <a:ext uri="{FF2B5EF4-FFF2-40B4-BE49-F238E27FC236}">
              <a16:creationId xmlns:a16="http://schemas.microsoft.com/office/drawing/2014/main" id="{C4338243-F7A4-462E-BB71-C29C9798B9AE}"/>
            </a:ext>
          </a:extLst>
        </xdr:cNvPr>
        <xdr:cNvPicPr>
          <a:picLocks noChangeAspect="1"/>
        </xdr:cNvPicPr>
      </xdr:nvPicPr>
      <xdr:blipFill>
        <a:blip xmlns:r="http://schemas.openxmlformats.org/officeDocument/2006/relationships" r:embed="rId4"/>
        <a:stretch>
          <a:fillRect/>
        </a:stretch>
      </xdr:blipFill>
      <xdr:spPr>
        <a:xfrm>
          <a:off x="4010025" y="1363099"/>
          <a:ext cx="1567890" cy="307408"/>
        </a:xfrm>
        <a:prstGeom prst="rect">
          <a:avLst/>
        </a:prstGeom>
      </xdr:spPr>
    </xdr:pic>
    <xdr:clientData/>
  </xdr:oneCellAnchor>
  <xdr:oneCellAnchor>
    <xdr:from>
      <xdr:col>5</xdr:col>
      <xdr:colOff>93570</xdr:colOff>
      <xdr:row>5</xdr:row>
      <xdr:rowOff>211235</xdr:rowOff>
    </xdr:from>
    <xdr:ext cx="476249" cy="276295"/>
    <xdr:pic>
      <xdr:nvPicPr>
        <xdr:cNvPr id="27" name="그림 26">
          <a:extLst>
            <a:ext uri="{FF2B5EF4-FFF2-40B4-BE49-F238E27FC236}">
              <a16:creationId xmlns:a16="http://schemas.microsoft.com/office/drawing/2014/main" id="{E466D858-0AA8-4E87-B07F-55D7950F6F2B}"/>
            </a:ext>
          </a:extLst>
        </xdr:cNvPr>
        <xdr:cNvPicPr>
          <a:picLocks noChangeAspect="1"/>
        </xdr:cNvPicPr>
      </xdr:nvPicPr>
      <xdr:blipFill>
        <a:blip xmlns:r="http://schemas.openxmlformats.org/officeDocument/2006/relationships" r:embed="rId5"/>
        <a:stretch>
          <a:fillRect/>
        </a:stretch>
      </xdr:blipFill>
      <xdr:spPr>
        <a:xfrm>
          <a:off x="3522570" y="1361855"/>
          <a:ext cx="476249" cy="276295"/>
        </a:xfrm>
        <a:prstGeom prst="rect">
          <a:avLst/>
        </a:prstGeom>
      </xdr:spPr>
    </xdr:pic>
    <xdr:clientData/>
  </xdr:oneCellAnchor>
  <xdr:twoCellAnchor>
    <xdr:from>
      <xdr:col>4</xdr:col>
      <xdr:colOff>95439</xdr:colOff>
      <xdr:row>4</xdr:row>
      <xdr:rowOff>133724</xdr:rowOff>
    </xdr:from>
    <xdr:to>
      <xdr:col>6</xdr:col>
      <xdr:colOff>606425</xdr:colOff>
      <xdr:row>5</xdr:row>
      <xdr:rowOff>123825</xdr:rowOff>
    </xdr:to>
    <xdr:sp macro="" textlink="">
      <xdr:nvSpPr>
        <xdr:cNvPr id="28" name="직사각형 27">
          <a:extLst>
            <a:ext uri="{FF2B5EF4-FFF2-40B4-BE49-F238E27FC236}">
              <a16:creationId xmlns:a16="http://schemas.microsoft.com/office/drawing/2014/main" id="{0DD36945-386C-4341-9035-8B7781F2998D}"/>
            </a:ext>
          </a:extLst>
        </xdr:cNvPr>
        <xdr:cNvSpPr/>
      </xdr:nvSpPr>
      <xdr:spPr>
        <a:xfrm>
          <a:off x="2838639" y="1063364"/>
          <a:ext cx="1882586" cy="2110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900" b="1">
              <a:solidFill>
                <a:schemeClr val="tx1"/>
              </a:solidFill>
            </a:rPr>
            <a:t>※ </a:t>
          </a:r>
          <a:r>
            <a:rPr lang="ko-KR" altLang="en-US" sz="900" b="1">
              <a:solidFill>
                <a:schemeClr val="tx1"/>
              </a:solidFill>
            </a:rPr>
            <a:t>입사자 및 퇴직자</a:t>
          </a:r>
          <a:r>
            <a:rPr lang="ko-KR" altLang="en-US" sz="900" b="1" baseline="0">
              <a:solidFill>
                <a:schemeClr val="tx1"/>
              </a:solidFill>
            </a:rPr>
            <a:t> </a:t>
          </a:r>
          <a:r>
            <a:rPr lang="ko-KR" altLang="en-US" sz="900" b="1">
              <a:solidFill>
                <a:schemeClr val="tx1"/>
              </a:solidFill>
            </a:rPr>
            <a:t>조회 </a:t>
          </a:r>
        </a:p>
      </xdr:txBody>
    </xdr:sp>
    <xdr:clientData/>
  </xdr:twoCellAnchor>
  <xdr:twoCellAnchor>
    <xdr:from>
      <xdr:col>1</xdr:col>
      <xdr:colOff>216089</xdr:colOff>
      <xdr:row>4</xdr:row>
      <xdr:rowOff>178174</xdr:rowOff>
    </xdr:from>
    <xdr:to>
      <xdr:col>4</xdr:col>
      <xdr:colOff>76200</xdr:colOff>
      <xdr:row>5</xdr:row>
      <xdr:rowOff>171450</xdr:rowOff>
    </xdr:to>
    <xdr:sp macro="" textlink="">
      <xdr:nvSpPr>
        <xdr:cNvPr id="29" name="직사각형 28">
          <a:extLst>
            <a:ext uri="{FF2B5EF4-FFF2-40B4-BE49-F238E27FC236}">
              <a16:creationId xmlns:a16="http://schemas.microsoft.com/office/drawing/2014/main" id="{B2F4B71C-C205-4EBC-848D-3339EDAAF788}"/>
            </a:ext>
          </a:extLst>
        </xdr:cNvPr>
        <xdr:cNvSpPr/>
      </xdr:nvSpPr>
      <xdr:spPr>
        <a:xfrm>
          <a:off x="901889" y="1107814"/>
          <a:ext cx="1917511" cy="2142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900" b="1">
              <a:solidFill>
                <a:schemeClr val="tx1"/>
              </a:solidFill>
            </a:rPr>
            <a:t>※ </a:t>
          </a:r>
          <a:r>
            <a:rPr lang="ko-KR" altLang="en-US" sz="900" b="1">
              <a:solidFill>
                <a:schemeClr val="tx1"/>
              </a:solidFill>
            </a:rPr>
            <a:t>인원 수</a:t>
          </a:r>
          <a:r>
            <a:rPr lang="en-US" altLang="ko-KR" sz="900" b="1" baseline="0">
              <a:solidFill>
                <a:schemeClr val="tx1"/>
              </a:solidFill>
            </a:rPr>
            <a:t> / </a:t>
          </a:r>
          <a:r>
            <a:rPr lang="ko-KR" altLang="en-US" sz="900" b="1" baseline="0">
              <a:solidFill>
                <a:schemeClr val="tx1"/>
              </a:solidFill>
            </a:rPr>
            <a:t>평균근속기간</a:t>
          </a:r>
          <a:endParaRPr lang="ko-KR" altLang="en-US" sz="900" b="1">
            <a:solidFill>
              <a:schemeClr val="tx1"/>
            </a:solidFill>
          </a:endParaRPr>
        </a:p>
      </xdr:txBody>
    </xdr:sp>
    <xdr:clientData/>
  </xdr:twoCellAnchor>
  <xdr:oneCellAnchor>
    <xdr:from>
      <xdr:col>2</xdr:col>
      <xdr:colOff>142875</xdr:colOff>
      <xdr:row>5</xdr:row>
      <xdr:rowOff>212478</xdr:rowOff>
    </xdr:from>
    <xdr:ext cx="724833" cy="333995"/>
    <xdr:pic>
      <xdr:nvPicPr>
        <xdr:cNvPr id="30" name="그림 29">
          <a:extLst>
            <a:ext uri="{FF2B5EF4-FFF2-40B4-BE49-F238E27FC236}">
              <a16:creationId xmlns:a16="http://schemas.microsoft.com/office/drawing/2014/main" id="{AED937DA-57C7-4763-BC5A-ADDBA84D3CF4}"/>
            </a:ext>
          </a:extLst>
        </xdr:cNvPr>
        <xdr:cNvPicPr>
          <a:picLocks noChangeAspect="1"/>
        </xdr:cNvPicPr>
      </xdr:nvPicPr>
      <xdr:blipFill rotWithShape="1">
        <a:blip xmlns:r="http://schemas.openxmlformats.org/officeDocument/2006/relationships" r:embed="rId4"/>
        <a:srcRect r="52897" b="-8483"/>
        <a:stretch/>
      </xdr:blipFill>
      <xdr:spPr>
        <a:xfrm>
          <a:off x="1514475" y="1363098"/>
          <a:ext cx="724833" cy="333995"/>
        </a:xfrm>
        <a:prstGeom prst="rect">
          <a:avLst/>
        </a:prstGeom>
      </xdr:spPr>
    </xdr:pic>
    <xdr:clientData/>
  </xdr:oneCellAnchor>
  <xdr:oneCellAnchor>
    <xdr:from>
      <xdr:col>1</xdr:col>
      <xdr:colOff>258670</xdr:colOff>
      <xdr:row>5</xdr:row>
      <xdr:rowOff>211235</xdr:rowOff>
    </xdr:from>
    <xdr:ext cx="508933" cy="276295"/>
    <xdr:pic>
      <xdr:nvPicPr>
        <xdr:cNvPr id="31" name="그림 30">
          <a:extLst>
            <a:ext uri="{FF2B5EF4-FFF2-40B4-BE49-F238E27FC236}">
              <a16:creationId xmlns:a16="http://schemas.microsoft.com/office/drawing/2014/main" id="{35DE96A5-E1F2-47F7-8835-31A8377CA001}"/>
            </a:ext>
          </a:extLst>
        </xdr:cNvPr>
        <xdr:cNvPicPr>
          <a:picLocks noChangeAspect="1"/>
        </xdr:cNvPicPr>
      </xdr:nvPicPr>
      <xdr:blipFill>
        <a:blip xmlns:r="http://schemas.openxmlformats.org/officeDocument/2006/relationships" r:embed="rId5"/>
        <a:stretch>
          <a:fillRect/>
        </a:stretch>
      </xdr:blipFill>
      <xdr:spPr>
        <a:xfrm>
          <a:off x="944470" y="1361855"/>
          <a:ext cx="508933" cy="276295"/>
        </a:xfrm>
        <a:prstGeom prst="rect">
          <a:avLst/>
        </a:prstGeom>
      </xdr:spPr>
    </xdr:pic>
    <xdr:clientData/>
  </xdr:oneCellAnchor>
  <xdr:twoCellAnchor>
    <xdr:from>
      <xdr:col>0</xdr:col>
      <xdr:colOff>76389</xdr:colOff>
      <xdr:row>8</xdr:row>
      <xdr:rowOff>47999</xdr:rowOff>
    </xdr:from>
    <xdr:to>
      <xdr:col>2</xdr:col>
      <xdr:colOff>590550</xdr:colOff>
      <xdr:row>9</xdr:row>
      <xdr:rowOff>34925</xdr:rowOff>
    </xdr:to>
    <xdr:sp macro="" textlink="">
      <xdr:nvSpPr>
        <xdr:cNvPr id="32" name="직사각형 31">
          <a:extLst>
            <a:ext uri="{FF2B5EF4-FFF2-40B4-BE49-F238E27FC236}">
              <a16:creationId xmlns:a16="http://schemas.microsoft.com/office/drawing/2014/main" id="{13E74FE5-DDA2-4F1C-B255-EA33D5C96314}"/>
            </a:ext>
          </a:extLst>
        </xdr:cNvPr>
        <xdr:cNvSpPr/>
      </xdr:nvSpPr>
      <xdr:spPr>
        <a:xfrm>
          <a:off x="76389" y="1861559"/>
          <a:ext cx="1885761" cy="2079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900" b="1">
              <a:solidFill>
                <a:schemeClr val="tx1"/>
              </a:solidFill>
            </a:rPr>
            <a:t>※  </a:t>
          </a:r>
          <a:r>
            <a:rPr lang="ko-KR" altLang="en-US" sz="900" b="1">
              <a:solidFill>
                <a:schemeClr val="tx1"/>
              </a:solidFill>
            </a:rPr>
            <a:t>요약</a:t>
          </a:r>
        </a:p>
      </xdr:txBody>
    </xdr:sp>
    <xdr:clientData/>
  </xdr:twoCellAnchor>
  <xdr:oneCellAnchor>
    <xdr:from>
      <xdr:col>0</xdr:col>
      <xdr:colOff>48187</xdr:colOff>
      <xdr:row>7</xdr:row>
      <xdr:rowOff>139700</xdr:rowOff>
    </xdr:from>
    <xdr:ext cx="2586688" cy="617058"/>
    <xdr:pic>
      <xdr:nvPicPr>
        <xdr:cNvPr id="33" name="그림 32">
          <a:extLst>
            <a:ext uri="{FF2B5EF4-FFF2-40B4-BE49-F238E27FC236}">
              <a16:creationId xmlns:a16="http://schemas.microsoft.com/office/drawing/2014/main" id="{FA92ACF1-2C49-4B6C-B030-F556ACC6A959}"/>
            </a:ext>
          </a:extLst>
        </xdr:cNvPr>
        <xdr:cNvPicPr>
          <a:picLocks noChangeAspect="1"/>
        </xdr:cNvPicPr>
      </xdr:nvPicPr>
      <xdr:blipFill rotWithShape="1">
        <a:blip xmlns:r="http://schemas.openxmlformats.org/officeDocument/2006/relationships" r:embed="rId6"/>
        <a:srcRect t="-28584" r="28166"/>
        <a:stretch/>
      </xdr:blipFill>
      <xdr:spPr>
        <a:xfrm>
          <a:off x="48187" y="1732280"/>
          <a:ext cx="2586688" cy="617058"/>
        </a:xfrm>
        <a:prstGeom prst="rect">
          <a:avLst/>
        </a:prstGeom>
      </xdr:spPr>
    </xdr:pic>
    <xdr:clientData/>
  </xdr:oneCellAnchor>
  <xdr:twoCellAnchor>
    <xdr:from>
      <xdr:col>0</xdr:col>
      <xdr:colOff>495414</xdr:colOff>
      <xdr:row>8</xdr:row>
      <xdr:rowOff>105102</xdr:rowOff>
    </xdr:from>
    <xdr:to>
      <xdr:col>2</xdr:col>
      <xdr:colOff>154842</xdr:colOff>
      <xdr:row>9</xdr:row>
      <xdr:rowOff>47734</xdr:rowOff>
    </xdr:to>
    <xdr:sp macro="" textlink="">
      <xdr:nvSpPr>
        <xdr:cNvPr id="34" name="직사각형 33">
          <a:extLst>
            <a:ext uri="{FF2B5EF4-FFF2-40B4-BE49-F238E27FC236}">
              <a16:creationId xmlns:a16="http://schemas.microsoft.com/office/drawing/2014/main" id="{C37DBFEC-146F-4321-A5B4-BF58DEE97F97}"/>
            </a:ext>
          </a:extLst>
        </xdr:cNvPr>
        <xdr:cNvSpPr/>
      </xdr:nvSpPr>
      <xdr:spPr>
        <a:xfrm>
          <a:off x="495414" y="1918662"/>
          <a:ext cx="1031028" cy="16361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다중조건 인원 수</a:t>
          </a:r>
        </a:p>
      </xdr:txBody>
    </xdr:sp>
    <xdr:clientData/>
  </xdr:twoCellAnchor>
  <xdr:twoCellAnchor>
    <xdr:from>
      <xdr:col>2</xdr:col>
      <xdr:colOff>209665</xdr:colOff>
      <xdr:row>8</xdr:row>
      <xdr:rowOff>101927</xdr:rowOff>
    </xdr:from>
    <xdr:to>
      <xdr:col>3</xdr:col>
      <xdr:colOff>528516</xdr:colOff>
      <xdr:row>9</xdr:row>
      <xdr:rowOff>44559</xdr:rowOff>
    </xdr:to>
    <xdr:sp macro="" textlink="">
      <xdr:nvSpPr>
        <xdr:cNvPr id="35" name="직사각형 34">
          <a:extLst>
            <a:ext uri="{FF2B5EF4-FFF2-40B4-BE49-F238E27FC236}">
              <a16:creationId xmlns:a16="http://schemas.microsoft.com/office/drawing/2014/main" id="{78DCAB96-540F-4134-8A6B-E80C2264601D}"/>
            </a:ext>
          </a:extLst>
        </xdr:cNvPr>
        <xdr:cNvSpPr/>
      </xdr:nvSpPr>
      <xdr:spPr>
        <a:xfrm>
          <a:off x="1581265" y="1915487"/>
          <a:ext cx="1004651" cy="16361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평균근속기간</a:t>
          </a:r>
        </a:p>
      </xdr:txBody>
    </xdr:sp>
    <xdr:clientData/>
  </xdr:twoCellAnchor>
  <xdr:twoCellAnchor>
    <xdr:from>
      <xdr:col>0</xdr:col>
      <xdr:colOff>495414</xdr:colOff>
      <xdr:row>9</xdr:row>
      <xdr:rowOff>115604</xdr:rowOff>
    </xdr:from>
    <xdr:to>
      <xdr:col>2</xdr:col>
      <xdr:colOff>154842</xdr:colOff>
      <xdr:row>10</xdr:row>
      <xdr:rowOff>58237</xdr:rowOff>
    </xdr:to>
    <xdr:sp macro="" textlink="">
      <xdr:nvSpPr>
        <xdr:cNvPr id="36" name="직사각형 35">
          <a:extLst>
            <a:ext uri="{FF2B5EF4-FFF2-40B4-BE49-F238E27FC236}">
              <a16:creationId xmlns:a16="http://schemas.microsoft.com/office/drawing/2014/main" id="{5308D9D9-D052-4826-90CD-AE11F8C558CE}"/>
            </a:ext>
          </a:extLst>
        </xdr:cNvPr>
        <xdr:cNvSpPr/>
      </xdr:nvSpPr>
      <xdr:spPr>
        <a:xfrm>
          <a:off x="495414" y="2150144"/>
          <a:ext cx="1031028" cy="163613"/>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altLang="ko-KR" sz="800" b="1">
              <a:solidFill>
                <a:schemeClr val="tx1"/>
              </a:solidFill>
            </a:rPr>
            <a:t>35</a:t>
          </a:r>
          <a:endParaRPr lang="ko-KR" altLang="en-US" sz="800" b="1">
            <a:solidFill>
              <a:schemeClr val="tx1"/>
            </a:solidFill>
          </a:endParaRPr>
        </a:p>
      </xdr:txBody>
    </xdr:sp>
    <xdr:clientData/>
  </xdr:twoCellAnchor>
  <xdr:twoCellAnchor>
    <xdr:from>
      <xdr:col>2</xdr:col>
      <xdr:colOff>268279</xdr:colOff>
      <xdr:row>9</xdr:row>
      <xdr:rowOff>115604</xdr:rowOff>
    </xdr:from>
    <xdr:to>
      <xdr:col>3</xdr:col>
      <xdr:colOff>587130</xdr:colOff>
      <xdr:row>10</xdr:row>
      <xdr:rowOff>58237</xdr:rowOff>
    </xdr:to>
    <xdr:sp macro="" textlink="">
      <xdr:nvSpPr>
        <xdr:cNvPr id="37" name="직사각형 36">
          <a:extLst>
            <a:ext uri="{FF2B5EF4-FFF2-40B4-BE49-F238E27FC236}">
              <a16:creationId xmlns:a16="http://schemas.microsoft.com/office/drawing/2014/main" id="{385CE42E-B1F0-4242-8F21-286B8FBC77AC}"/>
            </a:ext>
          </a:extLst>
        </xdr:cNvPr>
        <xdr:cNvSpPr/>
      </xdr:nvSpPr>
      <xdr:spPr>
        <a:xfrm>
          <a:off x="1639879" y="2150144"/>
          <a:ext cx="1004651" cy="163613"/>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altLang="ko-KR" sz="800" b="1">
              <a:solidFill>
                <a:schemeClr val="tx1"/>
              </a:solidFill>
            </a:rPr>
            <a:t>3</a:t>
          </a:r>
          <a:r>
            <a:rPr lang="ko-KR" altLang="en-US" sz="800" b="1">
              <a:solidFill>
                <a:schemeClr val="tx1"/>
              </a:solidFill>
            </a:rPr>
            <a:t>년 </a:t>
          </a:r>
          <a:r>
            <a:rPr lang="en-US" altLang="ko-KR" sz="800" b="1">
              <a:solidFill>
                <a:schemeClr val="tx1"/>
              </a:solidFill>
            </a:rPr>
            <a:t>2</a:t>
          </a:r>
          <a:r>
            <a:rPr lang="ko-KR" altLang="en-US" sz="800" b="1">
              <a:solidFill>
                <a:schemeClr val="tx1"/>
              </a:solidFill>
            </a:rPr>
            <a:t>개월 </a:t>
          </a:r>
          <a:r>
            <a:rPr lang="en-US" altLang="ko-KR" sz="800" b="1">
              <a:solidFill>
                <a:schemeClr val="tx1"/>
              </a:solidFill>
            </a:rPr>
            <a:t>5</a:t>
          </a:r>
          <a:r>
            <a:rPr lang="ko-KR" altLang="en-US" sz="800" b="1">
              <a:solidFill>
                <a:schemeClr val="tx1"/>
              </a:solidFill>
            </a:rPr>
            <a:t>일</a:t>
          </a:r>
        </a:p>
      </xdr:txBody>
    </xdr:sp>
    <xdr:clientData/>
  </xdr:twoCellAnchor>
  <xdr:twoCellAnchor>
    <xdr:from>
      <xdr:col>0</xdr:col>
      <xdr:colOff>28575</xdr:colOff>
      <xdr:row>7</xdr:row>
      <xdr:rowOff>200025</xdr:rowOff>
    </xdr:from>
    <xdr:to>
      <xdr:col>10</xdr:col>
      <xdr:colOff>0</xdr:colOff>
      <xdr:row>10</xdr:row>
      <xdr:rowOff>114300</xdr:rowOff>
    </xdr:to>
    <xdr:sp macro="" textlink="">
      <xdr:nvSpPr>
        <xdr:cNvPr id="38" name="직사각형 37">
          <a:extLst>
            <a:ext uri="{FF2B5EF4-FFF2-40B4-BE49-F238E27FC236}">
              <a16:creationId xmlns:a16="http://schemas.microsoft.com/office/drawing/2014/main" id="{17DD52D0-7CED-4AD2-BB2F-0D3FC09EC908}"/>
            </a:ext>
          </a:extLst>
        </xdr:cNvPr>
        <xdr:cNvSpPr/>
      </xdr:nvSpPr>
      <xdr:spPr>
        <a:xfrm>
          <a:off x="28575" y="1792605"/>
          <a:ext cx="6829425" cy="57721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514349</xdr:colOff>
      <xdr:row>7</xdr:row>
      <xdr:rowOff>170494</xdr:rowOff>
    </xdr:from>
    <xdr:to>
      <xdr:col>9</xdr:col>
      <xdr:colOff>628650</xdr:colOff>
      <xdr:row>9</xdr:row>
      <xdr:rowOff>44450</xdr:rowOff>
    </xdr:to>
    <xdr:sp macro="" textlink="">
      <xdr:nvSpPr>
        <xdr:cNvPr id="39" name="직사각형 38">
          <a:extLst>
            <a:ext uri="{FF2B5EF4-FFF2-40B4-BE49-F238E27FC236}">
              <a16:creationId xmlns:a16="http://schemas.microsoft.com/office/drawing/2014/main" id="{C3312D75-E0A4-47B3-B893-93591C672977}"/>
            </a:ext>
          </a:extLst>
        </xdr:cNvPr>
        <xdr:cNvSpPr/>
      </xdr:nvSpPr>
      <xdr:spPr>
        <a:xfrm>
          <a:off x="6000749" y="1763074"/>
          <a:ext cx="800101" cy="3159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요약화면</a:t>
          </a:r>
        </a:p>
      </xdr:txBody>
    </xdr:sp>
    <xdr:clientData/>
  </xdr:twoCellAnchor>
  <xdr:twoCellAnchor>
    <xdr:from>
      <xdr:col>7</xdr:col>
      <xdr:colOff>294529</xdr:colOff>
      <xdr:row>11</xdr:row>
      <xdr:rowOff>50427</xdr:rowOff>
    </xdr:from>
    <xdr:to>
      <xdr:col>9</xdr:col>
      <xdr:colOff>523876</xdr:colOff>
      <xdr:row>14</xdr:row>
      <xdr:rowOff>89647</xdr:rowOff>
    </xdr:to>
    <xdr:sp macro="" textlink="">
      <xdr:nvSpPr>
        <xdr:cNvPr id="40" name="직사각형 39">
          <a:extLst>
            <a:ext uri="{FF2B5EF4-FFF2-40B4-BE49-F238E27FC236}">
              <a16:creationId xmlns:a16="http://schemas.microsoft.com/office/drawing/2014/main" id="{066AA6CE-0DDC-4ECD-AF6F-8CEF4E936170}"/>
            </a:ext>
          </a:extLst>
        </xdr:cNvPr>
        <xdr:cNvSpPr/>
      </xdr:nvSpPr>
      <xdr:spPr>
        <a:xfrm>
          <a:off x="5095129" y="2526927"/>
          <a:ext cx="1600947" cy="702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1"/>
            <a:t>다중조건에 부합한</a:t>
          </a:r>
          <a:endParaRPr lang="en-US" altLang="ko-KR" sz="1100" b="1"/>
        </a:p>
        <a:p>
          <a:pPr algn="l"/>
          <a:r>
            <a:rPr lang="ko-KR" altLang="en-US" sz="1100" b="1"/>
            <a:t>사원리스트</a:t>
          </a:r>
        </a:p>
      </xdr:txBody>
    </xdr:sp>
    <xdr:clientData/>
  </xdr:twoCellAnchor>
  <xdr:oneCellAnchor>
    <xdr:from>
      <xdr:col>4</xdr:col>
      <xdr:colOff>409950</xdr:colOff>
      <xdr:row>7</xdr:row>
      <xdr:rowOff>117288</xdr:rowOff>
    </xdr:from>
    <xdr:ext cx="2609101" cy="626583"/>
    <xdr:pic>
      <xdr:nvPicPr>
        <xdr:cNvPr id="41" name="그림 40">
          <a:extLst>
            <a:ext uri="{FF2B5EF4-FFF2-40B4-BE49-F238E27FC236}">
              <a16:creationId xmlns:a16="http://schemas.microsoft.com/office/drawing/2014/main" id="{E5E9A2DA-5380-4445-8AFA-7B9C4D37348E}"/>
            </a:ext>
          </a:extLst>
        </xdr:cNvPr>
        <xdr:cNvPicPr>
          <a:picLocks noChangeAspect="1"/>
        </xdr:cNvPicPr>
      </xdr:nvPicPr>
      <xdr:blipFill rotWithShape="1">
        <a:blip xmlns:r="http://schemas.openxmlformats.org/officeDocument/2006/relationships" r:embed="rId6"/>
        <a:srcRect t="-28584" r="28166"/>
        <a:stretch/>
      </xdr:blipFill>
      <xdr:spPr>
        <a:xfrm>
          <a:off x="3153150" y="1709868"/>
          <a:ext cx="2609101" cy="626583"/>
        </a:xfrm>
        <a:prstGeom prst="rect">
          <a:avLst/>
        </a:prstGeom>
      </xdr:spPr>
    </xdr:pic>
    <xdr:clientData/>
  </xdr:oneCellAnchor>
  <xdr:twoCellAnchor>
    <xdr:from>
      <xdr:col>5</xdr:col>
      <xdr:colOff>209665</xdr:colOff>
      <xdr:row>8</xdr:row>
      <xdr:rowOff>105102</xdr:rowOff>
    </xdr:from>
    <xdr:to>
      <xdr:col>6</xdr:col>
      <xdr:colOff>525341</xdr:colOff>
      <xdr:row>9</xdr:row>
      <xdr:rowOff>47734</xdr:rowOff>
    </xdr:to>
    <xdr:sp macro="" textlink="">
      <xdr:nvSpPr>
        <xdr:cNvPr id="42" name="직사각형 41">
          <a:extLst>
            <a:ext uri="{FF2B5EF4-FFF2-40B4-BE49-F238E27FC236}">
              <a16:creationId xmlns:a16="http://schemas.microsoft.com/office/drawing/2014/main" id="{086D374E-FD4F-40B5-9241-4F13568DC372}"/>
            </a:ext>
          </a:extLst>
        </xdr:cNvPr>
        <xdr:cNvSpPr/>
      </xdr:nvSpPr>
      <xdr:spPr>
        <a:xfrm>
          <a:off x="3638665" y="1918662"/>
          <a:ext cx="1001476" cy="16361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입사자 수</a:t>
          </a:r>
        </a:p>
      </xdr:txBody>
    </xdr:sp>
    <xdr:clientData/>
  </xdr:twoCellAnchor>
  <xdr:twoCellAnchor>
    <xdr:from>
      <xdr:col>6</xdr:col>
      <xdr:colOff>568253</xdr:colOff>
      <xdr:row>8</xdr:row>
      <xdr:rowOff>101927</xdr:rowOff>
    </xdr:from>
    <xdr:to>
      <xdr:col>8</xdr:col>
      <xdr:colOff>219607</xdr:colOff>
      <xdr:row>9</xdr:row>
      <xdr:rowOff>44559</xdr:rowOff>
    </xdr:to>
    <xdr:sp macro="" textlink="">
      <xdr:nvSpPr>
        <xdr:cNvPr id="43" name="직사각형 42">
          <a:extLst>
            <a:ext uri="{FF2B5EF4-FFF2-40B4-BE49-F238E27FC236}">
              <a16:creationId xmlns:a16="http://schemas.microsoft.com/office/drawing/2014/main" id="{EE5FC3EF-2318-4793-A3AB-2C0B216044EB}"/>
            </a:ext>
          </a:extLst>
        </xdr:cNvPr>
        <xdr:cNvSpPr/>
      </xdr:nvSpPr>
      <xdr:spPr>
        <a:xfrm>
          <a:off x="4683053" y="1915487"/>
          <a:ext cx="1022954" cy="16361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800" b="1">
              <a:solidFill>
                <a:schemeClr val="tx1"/>
              </a:solidFill>
            </a:rPr>
            <a:t>퇴직자 수</a:t>
          </a:r>
        </a:p>
      </xdr:txBody>
    </xdr:sp>
    <xdr:clientData/>
  </xdr:twoCellAnchor>
  <xdr:twoCellAnchor>
    <xdr:from>
      <xdr:col>5</xdr:col>
      <xdr:colOff>578222</xdr:colOff>
      <xdr:row>5</xdr:row>
      <xdr:rowOff>125294</xdr:rowOff>
    </xdr:from>
    <xdr:to>
      <xdr:col>5</xdr:col>
      <xdr:colOff>616324</xdr:colOff>
      <xdr:row>8</xdr:row>
      <xdr:rowOff>33617</xdr:rowOff>
    </xdr:to>
    <xdr:cxnSp macro="">
      <xdr:nvCxnSpPr>
        <xdr:cNvPr id="44" name="직선 화살표 연결선 43">
          <a:extLst>
            <a:ext uri="{FF2B5EF4-FFF2-40B4-BE49-F238E27FC236}">
              <a16:creationId xmlns:a16="http://schemas.microsoft.com/office/drawing/2014/main" id="{440E0F17-4980-4C35-BBF5-BAC6BBFC10F3}"/>
            </a:ext>
          </a:extLst>
        </xdr:cNvPr>
        <xdr:cNvCxnSpPr/>
      </xdr:nvCxnSpPr>
      <xdr:spPr>
        <a:xfrm>
          <a:off x="4007222" y="1275914"/>
          <a:ext cx="38102" cy="571263"/>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67235</xdr:colOff>
      <xdr:row>5</xdr:row>
      <xdr:rowOff>221291</xdr:rowOff>
    </xdr:from>
    <xdr:to>
      <xdr:col>2</xdr:col>
      <xdr:colOff>93194</xdr:colOff>
      <xdr:row>8</xdr:row>
      <xdr:rowOff>64060</xdr:rowOff>
    </xdr:to>
    <xdr:cxnSp macro="">
      <xdr:nvCxnSpPr>
        <xdr:cNvPr id="45" name="직선 화살표 연결선 44">
          <a:extLst>
            <a:ext uri="{FF2B5EF4-FFF2-40B4-BE49-F238E27FC236}">
              <a16:creationId xmlns:a16="http://schemas.microsoft.com/office/drawing/2014/main" id="{E55C9D1B-A9A2-4EFD-BABA-4D389FF6276A}"/>
            </a:ext>
          </a:extLst>
        </xdr:cNvPr>
        <xdr:cNvCxnSpPr/>
      </xdr:nvCxnSpPr>
      <xdr:spPr>
        <a:xfrm flipH="1">
          <a:off x="1438835" y="1371911"/>
          <a:ext cx="25959" cy="505709"/>
        </a:xfrm>
        <a:prstGeom prst="straightConnector1">
          <a:avLst/>
        </a:prstGeom>
        <a:ln w="9525"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7</xdr:col>
      <xdr:colOff>526676</xdr:colOff>
      <xdr:row>5</xdr:row>
      <xdr:rowOff>11206</xdr:rowOff>
    </xdr:from>
    <xdr:ext cx="1295983" cy="219262"/>
    <xdr:pic>
      <xdr:nvPicPr>
        <xdr:cNvPr id="46" name="그림 45">
          <a:extLst>
            <a:ext uri="{FF2B5EF4-FFF2-40B4-BE49-F238E27FC236}">
              <a16:creationId xmlns:a16="http://schemas.microsoft.com/office/drawing/2014/main" id="{FFBD2898-D4F3-41E4-A063-A50E5CBE96A7}"/>
            </a:ext>
          </a:extLst>
        </xdr:cNvPr>
        <xdr:cNvPicPr>
          <a:picLocks noChangeAspect="1"/>
        </xdr:cNvPicPr>
      </xdr:nvPicPr>
      <xdr:blipFill>
        <a:blip xmlns:r="http://schemas.openxmlformats.org/officeDocument/2006/relationships" r:embed="rId7"/>
        <a:stretch>
          <a:fillRect/>
        </a:stretch>
      </xdr:blipFill>
      <xdr:spPr>
        <a:xfrm>
          <a:off x="5327276" y="1161826"/>
          <a:ext cx="1295983" cy="219262"/>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542925</xdr:colOff>
      <xdr:row>34</xdr:row>
      <xdr:rowOff>66675</xdr:rowOff>
    </xdr:to>
    <xdr:pic>
      <xdr:nvPicPr>
        <xdr:cNvPr id="2" name="그림 9">
          <a:extLst>
            <a:ext uri="{FF2B5EF4-FFF2-40B4-BE49-F238E27FC236}">
              <a16:creationId xmlns:a16="http://schemas.microsoft.com/office/drawing/2014/main" id="{1DBC17A1-E67F-44AE-B767-195116EC91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30765" cy="75799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314326</xdr:colOff>
      <xdr:row>20</xdr:row>
      <xdr:rowOff>57151</xdr:rowOff>
    </xdr:from>
    <xdr:to>
      <xdr:col>7</xdr:col>
      <xdr:colOff>219076</xdr:colOff>
      <xdr:row>21</xdr:row>
      <xdr:rowOff>114301</xdr:rowOff>
    </xdr:to>
    <xdr:sp macro="" textlink="">
      <xdr:nvSpPr>
        <xdr:cNvPr id="3" name="직사각형 2">
          <a:extLst>
            <a:ext uri="{FF2B5EF4-FFF2-40B4-BE49-F238E27FC236}">
              <a16:creationId xmlns:a16="http://schemas.microsoft.com/office/drawing/2014/main" id="{38B2DF0F-CC94-40AF-9F75-85F61FF40FAF}"/>
            </a:ext>
          </a:extLst>
        </xdr:cNvPr>
        <xdr:cNvSpPr/>
      </xdr:nvSpPr>
      <xdr:spPr>
        <a:xfrm>
          <a:off x="2326006" y="4476751"/>
          <a:ext cx="2586990" cy="27813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
  <sheetViews>
    <sheetView workbookViewId="0">
      <selection activeCell="C5" sqref="C5"/>
    </sheetView>
  </sheetViews>
  <sheetFormatPr defaultRowHeight="17.399999999999999" x14ac:dyDescent="0.4"/>
  <cols>
    <col min="2" max="6" width="61.59765625" customWidth="1"/>
    <col min="7" max="7" width="35.59765625" customWidth="1"/>
    <col min="9" max="9" width="24.8984375" customWidth="1"/>
    <col min="10" max="10" width="25.69921875" customWidth="1"/>
    <col min="11" max="12" width="29.69921875" customWidth="1"/>
    <col min="13" max="13" width="64.69921875" customWidth="1"/>
    <col min="14" max="14" width="37.69921875" customWidth="1"/>
  </cols>
  <sheetData>
    <row r="1" spans="1:14" x14ac:dyDescent="0.4">
      <c r="A1" s="2" t="s">
        <v>6</v>
      </c>
      <c r="B1" s="2" t="s">
        <v>2</v>
      </c>
      <c r="C1" s="2" t="s">
        <v>229</v>
      </c>
      <c r="D1" s="2" t="s">
        <v>227</v>
      </c>
      <c r="E1" s="2" t="s">
        <v>226</v>
      </c>
      <c r="F1" s="2" t="s">
        <v>228</v>
      </c>
      <c r="G1" s="2" t="s">
        <v>3</v>
      </c>
      <c r="H1" s="2" t="s">
        <v>4</v>
      </c>
      <c r="I1" s="2" t="s">
        <v>38</v>
      </c>
      <c r="J1" s="2" t="s">
        <v>29</v>
      </c>
      <c r="K1" s="2" t="s">
        <v>30</v>
      </c>
      <c r="L1" s="2" t="s">
        <v>40</v>
      </c>
      <c r="M1" s="2" t="s">
        <v>5</v>
      </c>
      <c r="N1" s="2" t="s">
        <v>16</v>
      </c>
    </row>
    <row r="2" spans="1:14" ht="68.400000000000006" customHeight="1" x14ac:dyDescent="0.4">
      <c r="A2" s="1">
        <v>1</v>
      </c>
      <c r="B2" s="3" t="s">
        <v>7</v>
      </c>
      <c r="C2" s="3"/>
      <c r="D2" s="3"/>
      <c r="E2" s="3"/>
      <c r="F2" s="3"/>
      <c r="G2" s="1" t="s">
        <v>8</v>
      </c>
      <c r="H2" s="1">
        <v>2</v>
      </c>
      <c r="I2" s="1">
        <v>1</v>
      </c>
      <c r="J2" s="1">
        <v>500892</v>
      </c>
      <c r="K2" s="1">
        <v>72220093</v>
      </c>
      <c r="L2" s="1"/>
      <c r="M2" s="1" t="s">
        <v>28</v>
      </c>
      <c r="N2" s="1"/>
    </row>
    <row r="3" spans="1:14" ht="52.2" x14ac:dyDescent="0.4">
      <c r="A3" s="1">
        <v>2</v>
      </c>
      <c r="B3" s="3" t="s">
        <v>9</v>
      </c>
      <c r="C3" s="3"/>
      <c r="D3" s="3"/>
      <c r="E3" s="3"/>
      <c r="F3" s="3"/>
      <c r="G3" s="1" t="s">
        <v>1</v>
      </c>
      <c r="H3" s="1">
        <v>8</v>
      </c>
      <c r="I3" s="1">
        <v>2</v>
      </c>
      <c r="J3" s="4" t="s">
        <v>10</v>
      </c>
      <c r="K3" s="1"/>
      <c r="L3" s="1"/>
      <c r="M3" s="1" t="s">
        <v>27</v>
      </c>
      <c r="N3" s="1"/>
    </row>
    <row r="4" spans="1:14" ht="75" customHeight="1" x14ac:dyDescent="0.4">
      <c r="A4" s="1">
        <v>3</v>
      </c>
      <c r="B4" s="3" t="s">
        <v>11</v>
      </c>
      <c r="C4" s="3"/>
      <c r="D4" s="3"/>
      <c r="E4" s="3"/>
      <c r="F4" s="3"/>
      <c r="G4" s="1" t="s">
        <v>1</v>
      </c>
      <c r="H4" s="1">
        <v>5</v>
      </c>
      <c r="I4" s="1">
        <v>1</v>
      </c>
      <c r="J4" s="1"/>
      <c r="K4" s="1">
        <v>72220090</v>
      </c>
      <c r="L4" s="1"/>
      <c r="M4" s="1" t="s">
        <v>12</v>
      </c>
      <c r="N4" s="1"/>
    </row>
    <row r="5" spans="1:14" ht="85.2" customHeight="1" x14ac:dyDescent="0.4">
      <c r="A5" s="1">
        <v>4</v>
      </c>
      <c r="B5" s="3" t="s">
        <v>13</v>
      </c>
      <c r="C5" s="3"/>
      <c r="D5" s="3"/>
      <c r="E5" s="3"/>
      <c r="F5" s="3"/>
      <c r="G5" s="1" t="s">
        <v>1</v>
      </c>
      <c r="H5" s="1">
        <v>4</v>
      </c>
      <c r="I5" s="1">
        <v>1</v>
      </c>
      <c r="J5" s="1">
        <v>525926</v>
      </c>
      <c r="K5" s="1"/>
      <c r="L5" s="1"/>
      <c r="M5" s="4" t="s">
        <v>14</v>
      </c>
      <c r="N5" s="4" t="s">
        <v>15</v>
      </c>
    </row>
    <row r="6" spans="1:14" ht="69.599999999999994" x14ac:dyDescent="0.4">
      <c r="A6" s="1">
        <v>6</v>
      </c>
      <c r="B6" s="3" t="s">
        <v>17</v>
      </c>
      <c r="C6" s="3"/>
      <c r="D6" s="3"/>
      <c r="E6" s="3"/>
      <c r="F6" s="3"/>
      <c r="G6" s="1" t="s">
        <v>1</v>
      </c>
      <c r="H6" s="1">
        <v>2</v>
      </c>
      <c r="I6" s="1">
        <v>1</v>
      </c>
      <c r="J6" s="1">
        <v>2720642</v>
      </c>
      <c r="K6" s="1"/>
      <c r="L6" s="1" t="s">
        <v>41</v>
      </c>
      <c r="M6" s="4" t="s">
        <v>86</v>
      </c>
      <c r="N6" s="1"/>
    </row>
    <row r="7" spans="1:14" ht="121.8" x14ac:dyDescent="0.4">
      <c r="A7" s="1">
        <v>7</v>
      </c>
      <c r="B7" s="3" t="s">
        <v>18</v>
      </c>
      <c r="C7" s="3"/>
      <c r="E7" s="3"/>
      <c r="F7" s="3"/>
      <c r="G7" s="1" t="s">
        <v>1</v>
      </c>
      <c r="H7" s="1">
        <v>15</v>
      </c>
      <c r="I7" s="1">
        <v>4</v>
      </c>
      <c r="J7" s="1"/>
      <c r="K7" s="1"/>
      <c r="L7" s="1" t="s">
        <v>41</v>
      </c>
      <c r="M7" s="4" t="s">
        <v>87</v>
      </c>
      <c r="N7" s="1"/>
    </row>
    <row r="8" spans="1:14" ht="69.599999999999994" x14ac:dyDescent="0.4">
      <c r="A8" s="1">
        <v>8</v>
      </c>
      <c r="B8" s="3" t="s">
        <v>19</v>
      </c>
      <c r="C8" s="3"/>
      <c r="D8" s="3"/>
      <c r="E8" s="3"/>
      <c r="F8" s="3"/>
      <c r="G8" s="1" t="s">
        <v>0</v>
      </c>
      <c r="H8" s="1">
        <v>6</v>
      </c>
      <c r="I8" s="1">
        <v>1</v>
      </c>
      <c r="J8" s="1"/>
      <c r="K8" s="1">
        <v>72220004</v>
      </c>
      <c r="L8" s="1" t="s">
        <v>41</v>
      </c>
      <c r="M8" s="1" t="s">
        <v>20</v>
      </c>
      <c r="N8" s="1"/>
    </row>
    <row r="9" spans="1:14" ht="69.599999999999994" x14ac:dyDescent="0.4">
      <c r="A9" s="1">
        <v>9</v>
      </c>
      <c r="B9" s="3" t="s">
        <v>21</v>
      </c>
      <c r="C9" s="3"/>
      <c r="D9" s="3"/>
      <c r="E9" s="3"/>
      <c r="F9" s="3"/>
      <c r="G9" s="1" t="s">
        <v>1</v>
      </c>
      <c r="H9" s="1">
        <v>4</v>
      </c>
      <c r="I9" s="1" t="s">
        <v>39</v>
      </c>
      <c r="J9" s="1">
        <v>501046</v>
      </c>
      <c r="K9" s="1"/>
      <c r="L9" s="1" t="s">
        <v>41</v>
      </c>
      <c r="M9" s="4" t="s">
        <v>89</v>
      </c>
      <c r="N9" s="1"/>
    </row>
    <row r="10" spans="1:14" ht="104.4" x14ac:dyDescent="0.4">
      <c r="A10" s="1">
        <v>10</v>
      </c>
      <c r="B10" s="3" t="s">
        <v>90</v>
      </c>
      <c r="C10" s="3"/>
      <c r="D10" s="3"/>
      <c r="E10" s="3"/>
      <c r="F10" s="3"/>
      <c r="G10" s="1" t="s">
        <v>1</v>
      </c>
      <c r="H10" s="1">
        <v>13</v>
      </c>
      <c r="I10" s="1">
        <v>3</v>
      </c>
      <c r="J10" s="4" t="s">
        <v>31</v>
      </c>
      <c r="K10" s="1"/>
      <c r="L10" s="1"/>
      <c r="M10" s="4" t="s">
        <v>22</v>
      </c>
      <c r="N10" s="1"/>
    </row>
    <row r="11" spans="1:14" ht="34.799999999999997" x14ac:dyDescent="0.4">
      <c r="A11" s="1">
        <v>14</v>
      </c>
      <c r="B11" s="3" t="s">
        <v>32</v>
      </c>
      <c r="C11" s="3"/>
      <c r="D11" s="3"/>
      <c r="E11" s="3"/>
      <c r="F11" s="3"/>
      <c r="G11" s="1" t="s">
        <v>1</v>
      </c>
      <c r="H11" s="1">
        <v>2</v>
      </c>
      <c r="I11" s="1">
        <v>1</v>
      </c>
      <c r="J11" s="1">
        <v>501218</v>
      </c>
      <c r="K11" s="1"/>
      <c r="L11" s="1"/>
      <c r="M11" s="1" t="s">
        <v>23</v>
      </c>
      <c r="N11" s="1"/>
    </row>
    <row r="12" spans="1:14" ht="69.599999999999994" x14ac:dyDescent="0.4">
      <c r="A12" s="1">
        <v>15</v>
      </c>
      <c r="B12" s="3" t="s">
        <v>33</v>
      </c>
      <c r="C12" s="3"/>
      <c r="D12" s="3"/>
      <c r="E12" s="3"/>
      <c r="F12" s="3"/>
      <c r="G12" s="1" t="s">
        <v>1</v>
      </c>
      <c r="H12" s="1">
        <v>4</v>
      </c>
      <c r="J12" s="4" t="s">
        <v>34</v>
      </c>
      <c r="K12" s="1"/>
      <c r="L12" s="1"/>
      <c r="M12" s="1" t="s">
        <v>24</v>
      </c>
      <c r="N12" s="1" t="s">
        <v>88</v>
      </c>
    </row>
    <row r="13" spans="1:14" ht="34.799999999999997" x14ac:dyDescent="0.4">
      <c r="A13" s="1">
        <v>16</v>
      </c>
      <c r="B13" s="3" t="s">
        <v>35</v>
      </c>
      <c r="C13" s="3"/>
      <c r="D13" s="3"/>
      <c r="E13" s="3"/>
      <c r="F13" s="3"/>
      <c r="G13" s="1" t="s">
        <v>0</v>
      </c>
      <c r="H13" s="1">
        <v>1</v>
      </c>
      <c r="I13" s="1">
        <v>1</v>
      </c>
      <c r="J13" s="4" t="s">
        <v>36</v>
      </c>
      <c r="K13" s="1"/>
      <c r="L13" s="1" t="s">
        <v>41</v>
      </c>
      <c r="M13" s="1" t="s">
        <v>25</v>
      </c>
      <c r="N13" s="1"/>
    </row>
    <row r="14" spans="1:14" ht="34.799999999999997" x14ac:dyDescent="0.4">
      <c r="A14" s="1">
        <v>17</v>
      </c>
      <c r="B14" s="3" t="s">
        <v>37</v>
      </c>
      <c r="C14" s="3"/>
      <c r="D14" s="3"/>
      <c r="E14" s="3"/>
      <c r="F14" s="3"/>
      <c r="G14" s="1" t="s">
        <v>1</v>
      </c>
      <c r="H14" s="1">
        <v>2</v>
      </c>
      <c r="I14" s="1">
        <v>1</v>
      </c>
      <c r="J14" s="1">
        <v>500563</v>
      </c>
      <c r="K14" s="1"/>
      <c r="L14" s="1" t="s">
        <v>41</v>
      </c>
      <c r="M14" s="1" t="s">
        <v>26</v>
      </c>
      <c r="N14" s="1"/>
    </row>
    <row r="15" spans="1:14" x14ac:dyDescent="0.4">
      <c r="I15">
        <f>SUM(I2:I14)</f>
        <v>17</v>
      </c>
    </row>
  </sheetData>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FC660-A32D-440C-B860-93E871071E00}">
  <dimension ref="A1:E19"/>
  <sheetViews>
    <sheetView tabSelected="1" workbookViewId="0">
      <selection activeCell="B6" sqref="B6"/>
    </sheetView>
  </sheetViews>
  <sheetFormatPr defaultRowHeight="17.399999999999999" x14ac:dyDescent="0.4"/>
  <cols>
    <col min="1" max="1" width="20.59765625" customWidth="1"/>
    <col min="2" max="2" width="138.59765625" customWidth="1"/>
    <col min="3" max="3" width="14.19921875" customWidth="1"/>
    <col min="4" max="4" width="103.5" customWidth="1"/>
    <col min="5" max="5" width="132.19921875" bestFit="1" customWidth="1"/>
  </cols>
  <sheetData>
    <row r="1" spans="1:5" x14ac:dyDescent="0.4">
      <c r="A1" s="42" t="s">
        <v>244</v>
      </c>
      <c r="B1" s="42" t="s">
        <v>245</v>
      </c>
      <c r="C1" s="42" t="s">
        <v>246</v>
      </c>
      <c r="D1" s="46" t="s">
        <v>252</v>
      </c>
      <c r="E1" s="46" t="s">
        <v>253</v>
      </c>
    </row>
    <row r="2" spans="1:5" x14ac:dyDescent="0.4">
      <c r="A2" s="42"/>
      <c r="B2" s="42"/>
      <c r="C2" s="42"/>
      <c r="D2" s="46"/>
      <c r="E2" s="46"/>
    </row>
    <row r="3" spans="1:5" x14ac:dyDescent="0.4">
      <c r="A3" s="42"/>
      <c r="B3" s="42"/>
      <c r="C3" s="42"/>
      <c r="D3" s="46"/>
      <c r="E3" s="46"/>
    </row>
    <row r="4" spans="1:5" ht="31.2" x14ac:dyDescent="0.4">
      <c r="A4" s="43" t="s">
        <v>247</v>
      </c>
      <c r="B4" s="41" t="s">
        <v>230</v>
      </c>
      <c r="C4" s="44" t="s">
        <v>248</v>
      </c>
      <c r="D4" s="47" t="s">
        <v>272</v>
      </c>
      <c r="E4" s="1"/>
    </row>
    <row r="5" spans="1:5" ht="46.8" x14ac:dyDescent="0.4">
      <c r="A5" s="45"/>
      <c r="B5" s="41" t="s">
        <v>231</v>
      </c>
      <c r="C5" s="44" t="s">
        <v>249</v>
      </c>
      <c r="D5" s="47" t="s">
        <v>254</v>
      </c>
      <c r="E5" s="1"/>
    </row>
    <row r="6" spans="1:5" ht="31.2" x14ac:dyDescent="0.4">
      <c r="A6" s="45"/>
      <c r="B6" s="41" t="s">
        <v>232</v>
      </c>
      <c r="C6" s="44" t="s">
        <v>249</v>
      </c>
      <c r="D6" s="47" t="s">
        <v>255</v>
      </c>
      <c r="E6" s="1"/>
    </row>
    <row r="7" spans="1:5" ht="46.8" x14ac:dyDescent="0.4">
      <c r="A7" s="45"/>
      <c r="B7" s="41" t="s">
        <v>233</v>
      </c>
      <c r="C7" s="44" t="s">
        <v>249</v>
      </c>
      <c r="D7" s="47" t="s">
        <v>274</v>
      </c>
      <c r="E7" s="1"/>
    </row>
    <row r="8" spans="1:5" ht="31.2" x14ac:dyDescent="0.4">
      <c r="A8" s="45"/>
      <c r="B8" s="41" t="s">
        <v>234</v>
      </c>
      <c r="C8" s="44" t="s">
        <v>249</v>
      </c>
      <c r="D8" s="47" t="s">
        <v>256</v>
      </c>
      <c r="E8" s="1"/>
    </row>
    <row r="9" spans="1:5" ht="109.2" x14ac:dyDescent="0.4">
      <c r="A9" s="45"/>
      <c r="B9" s="41" t="s">
        <v>235</v>
      </c>
      <c r="C9" s="44" t="s">
        <v>249</v>
      </c>
      <c r="D9" s="47" t="s">
        <v>257</v>
      </c>
      <c r="E9" s="39" t="s">
        <v>258</v>
      </c>
    </row>
    <row r="10" spans="1:5" ht="226.2" x14ac:dyDescent="0.4">
      <c r="A10" s="45"/>
      <c r="B10" s="41" t="s">
        <v>250</v>
      </c>
      <c r="C10" s="44" t="s">
        <v>248</v>
      </c>
      <c r="D10" s="47" t="s">
        <v>260</v>
      </c>
      <c r="E10" s="4" t="s">
        <v>259</v>
      </c>
    </row>
    <row r="11" spans="1:5" ht="62.4" x14ac:dyDescent="0.4">
      <c r="A11" s="45"/>
      <c r="B11" s="41" t="s">
        <v>251</v>
      </c>
      <c r="C11" s="44" t="s">
        <v>249</v>
      </c>
      <c r="D11" s="47" t="s">
        <v>261</v>
      </c>
      <c r="E11" s="1" t="s">
        <v>262</v>
      </c>
    </row>
    <row r="12" spans="1:5" ht="109.2" x14ac:dyDescent="0.4">
      <c r="A12" s="45"/>
      <c r="B12" s="41" t="s">
        <v>236</v>
      </c>
      <c r="C12" s="44" t="s">
        <v>249</v>
      </c>
      <c r="D12" s="47" t="s">
        <v>263</v>
      </c>
      <c r="E12" s="47" t="s">
        <v>264</v>
      </c>
    </row>
    <row r="13" spans="1:5" ht="31.2" x14ac:dyDescent="0.4">
      <c r="A13" s="45"/>
      <c r="B13" s="41" t="s">
        <v>237</v>
      </c>
      <c r="C13" s="44" t="s">
        <v>249</v>
      </c>
      <c r="D13" s="47" t="s">
        <v>265</v>
      </c>
      <c r="E13" s="1"/>
    </row>
    <row r="14" spans="1:5" ht="31.2" x14ac:dyDescent="0.4">
      <c r="A14" s="45"/>
      <c r="B14" s="41" t="s">
        <v>238</v>
      </c>
      <c r="C14" s="44" t="s">
        <v>249</v>
      </c>
      <c r="D14" s="47" t="s">
        <v>266</v>
      </c>
      <c r="E14" s="1"/>
    </row>
    <row r="15" spans="1:5" ht="31.2" x14ac:dyDescent="0.4">
      <c r="A15" s="45"/>
      <c r="B15" s="41" t="s">
        <v>239</v>
      </c>
      <c r="C15" s="44" t="s">
        <v>248</v>
      </c>
      <c r="D15" s="47" t="s">
        <v>267</v>
      </c>
      <c r="E15" s="1"/>
    </row>
    <row r="16" spans="1:5" ht="31.2" x14ac:dyDescent="0.4">
      <c r="A16" s="45"/>
      <c r="B16" s="41" t="s">
        <v>240</v>
      </c>
      <c r="C16" s="44" t="s">
        <v>249</v>
      </c>
      <c r="D16" s="47" t="s">
        <v>268</v>
      </c>
      <c r="E16" s="1"/>
    </row>
    <row r="17" spans="1:5" ht="31.2" x14ac:dyDescent="0.4">
      <c r="A17" s="45"/>
      <c r="B17" s="41" t="s">
        <v>241</v>
      </c>
      <c r="C17" s="44" t="s">
        <v>249</v>
      </c>
      <c r="D17" s="47" t="s">
        <v>269</v>
      </c>
      <c r="E17" s="1"/>
    </row>
    <row r="18" spans="1:5" ht="31.2" x14ac:dyDescent="0.4">
      <c r="A18" s="45"/>
      <c r="B18" s="41" t="s">
        <v>242</v>
      </c>
      <c r="C18" s="44" t="s">
        <v>249</v>
      </c>
      <c r="D18" s="48" t="s">
        <v>270</v>
      </c>
      <c r="E18" s="1"/>
    </row>
    <row r="19" spans="1:5" ht="313.2" x14ac:dyDescent="0.4">
      <c r="A19" s="45"/>
      <c r="B19" s="41" t="s">
        <v>243</v>
      </c>
      <c r="C19" s="44" t="s">
        <v>249</v>
      </c>
      <c r="D19" s="47" t="s">
        <v>271</v>
      </c>
      <c r="E19" s="4" t="s">
        <v>273</v>
      </c>
    </row>
  </sheetData>
  <mergeCells count="6">
    <mergeCell ref="A1:A3"/>
    <mergeCell ref="B1:B3"/>
    <mergeCell ref="C1:C3"/>
    <mergeCell ref="A4:A19"/>
    <mergeCell ref="D1:D3"/>
    <mergeCell ref="E1:E3"/>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DDA3E-139C-43BA-BD90-D2643731462C}">
  <dimension ref="B2:H5"/>
  <sheetViews>
    <sheetView workbookViewId="0">
      <selection activeCell="H6" sqref="H6"/>
    </sheetView>
  </sheetViews>
  <sheetFormatPr defaultRowHeight="17.399999999999999" x14ac:dyDescent="0.4"/>
  <sheetData>
    <row r="2" spans="2:8" x14ac:dyDescent="0.4">
      <c r="B2" s="39"/>
      <c r="C2" s="39" t="s">
        <v>220</v>
      </c>
      <c r="D2" s="40"/>
      <c r="E2" s="40"/>
      <c r="F2" s="40"/>
      <c r="G2" s="40"/>
      <c r="H2" s="40"/>
    </row>
    <row r="3" spans="2:8" x14ac:dyDescent="0.4">
      <c r="B3" s="39"/>
      <c r="C3" s="39" t="s">
        <v>221</v>
      </c>
      <c r="D3" s="40"/>
      <c r="E3" s="40"/>
      <c r="F3" s="40"/>
      <c r="G3" s="40"/>
      <c r="H3" s="40"/>
    </row>
    <row r="4" spans="2:8" x14ac:dyDescent="0.4">
      <c r="B4" s="39"/>
      <c r="C4" s="39" t="s">
        <v>222</v>
      </c>
      <c r="D4" s="40"/>
      <c r="E4" s="40"/>
      <c r="F4" s="40"/>
      <c r="G4" s="40"/>
      <c r="H4" s="40"/>
    </row>
    <row r="5" spans="2:8" x14ac:dyDescent="0.4">
      <c r="B5" s="40"/>
      <c r="C5" s="40"/>
      <c r="D5" s="40"/>
      <c r="E5" s="40"/>
      <c r="F5" s="40"/>
      <c r="G5" s="40"/>
      <c r="H5" s="40"/>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5DD71-E7CB-4666-94DE-265A171E2DEF}">
  <dimension ref="A1"/>
  <sheetViews>
    <sheetView topLeftCell="A4" workbookViewId="0">
      <selection activeCell="A3" sqref="A3"/>
    </sheetView>
  </sheetViews>
  <sheetFormatPr defaultRowHeight="17.399999999999999" x14ac:dyDescent="0.4"/>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5DB21-E4C5-4757-8346-A627E2289F9E}">
  <dimension ref="A1"/>
  <sheetViews>
    <sheetView workbookViewId="0">
      <selection activeCell="A3" sqref="A3"/>
    </sheetView>
  </sheetViews>
  <sheetFormatPr defaultRowHeight="17.399999999999999" x14ac:dyDescent="0.4"/>
  <sheetData/>
  <phoneticPr fontId="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0FFB-443B-4F7E-8107-8AABD4DE7A96}">
  <dimension ref="C2:X61"/>
  <sheetViews>
    <sheetView topLeftCell="A46" workbookViewId="0">
      <selection activeCell="E66" sqref="E66"/>
    </sheetView>
  </sheetViews>
  <sheetFormatPr defaultRowHeight="17.399999999999999" x14ac:dyDescent="0.4"/>
  <cols>
    <col min="4" max="4" width="18.296875" customWidth="1"/>
    <col min="5" max="5" width="21.3984375" customWidth="1"/>
    <col min="17" max="17" width="27.69921875" customWidth="1"/>
    <col min="18" max="18" width="29.19921875" customWidth="1"/>
  </cols>
  <sheetData>
    <row r="2" spans="3:24" x14ac:dyDescent="0.4">
      <c r="E2" t="s">
        <v>94</v>
      </c>
    </row>
    <row r="3" spans="3:24" x14ac:dyDescent="0.4">
      <c r="E3" t="s">
        <v>155</v>
      </c>
    </row>
    <row r="7" spans="3:24" x14ac:dyDescent="0.4">
      <c r="C7" t="b">
        <v>1</v>
      </c>
      <c r="D7" t="s">
        <v>95</v>
      </c>
      <c r="E7" t="s">
        <v>96</v>
      </c>
      <c r="F7">
        <v>1</v>
      </c>
      <c r="G7" t="s">
        <v>97</v>
      </c>
      <c r="H7">
        <v>0</v>
      </c>
      <c r="I7">
        <v>0</v>
      </c>
      <c r="J7" t="b">
        <v>0</v>
      </c>
      <c r="K7" t="b">
        <v>0</v>
      </c>
      <c r="P7" t="b">
        <v>1</v>
      </c>
      <c r="Q7" t="s">
        <v>95</v>
      </c>
      <c r="R7" t="s">
        <v>96</v>
      </c>
      <c r="S7">
        <v>1</v>
      </c>
      <c r="T7" t="s">
        <v>97</v>
      </c>
      <c r="U7">
        <v>0</v>
      </c>
      <c r="V7">
        <v>0</v>
      </c>
      <c r="W7" t="b">
        <v>0</v>
      </c>
      <c r="X7" t="b">
        <v>0</v>
      </c>
    </row>
    <row r="8" spans="3:24" x14ac:dyDescent="0.4">
      <c r="C8" t="b">
        <v>1</v>
      </c>
      <c r="D8" t="s">
        <v>98</v>
      </c>
      <c r="E8" t="s">
        <v>99</v>
      </c>
      <c r="F8">
        <v>2</v>
      </c>
      <c r="G8" t="s">
        <v>97</v>
      </c>
      <c r="H8">
        <v>0</v>
      </c>
      <c r="I8">
        <v>0</v>
      </c>
      <c r="J8" t="b">
        <v>0</v>
      </c>
      <c r="K8" t="b">
        <v>0</v>
      </c>
      <c r="P8" t="b">
        <v>1</v>
      </c>
      <c r="Q8" t="s">
        <v>98</v>
      </c>
      <c r="R8" t="s">
        <v>156</v>
      </c>
      <c r="S8">
        <v>2</v>
      </c>
      <c r="T8" t="s">
        <v>97</v>
      </c>
      <c r="U8">
        <v>0</v>
      </c>
      <c r="V8">
        <v>0</v>
      </c>
      <c r="W8" t="b">
        <v>0</v>
      </c>
      <c r="X8" t="b">
        <v>0</v>
      </c>
    </row>
    <row r="9" spans="3:24" x14ac:dyDescent="0.4">
      <c r="C9" s="36" t="b">
        <v>0</v>
      </c>
      <c r="D9" s="36" t="s">
        <v>100</v>
      </c>
      <c r="E9" s="36" t="s">
        <v>101</v>
      </c>
      <c r="F9" s="36">
        <v>3</v>
      </c>
      <c r="G9" s="36" t="s">
        <v>97</v>
      </c>
      <c r="H9" s="36">
        <v>0</v>
      </c>
      <c r="I9" s="36">
        <v>0</v>
      </c>
      <c r="J9" s="36" t="b">
        <v>1</v>
      </c>
      <c r="K9" s="36" t="b">
        <v>0</v>
      </c>
      <c r="P9" t="b">
        <v>1</v>
      </c>
      <c r="Q9" t="s">
        <v>157</v>
      </c>
      <c r="R9" t="s">
        <v>158</v>
      </c>
      <c r="S9">
        <v>3</v>
      </c>
      <c r="T9" t="s">
        <v>97</v>
      </c>
      <c r="U9">
        <v>0</v>
      </c>
      <c r="V9">
        <v>0</v>
      </c>
      <c r="W9" t="b">
        <v>0</v>
      </c>
      <c r="X9" t="b">
        <v>0</v>
      </c>
    </row>
    <row r="10" spans="3:24" x14ac:dyDescent="0.4">
      <c r="C10" t="b">
        <v>0</v>
      </c>
      <c r="D10" t="s">
        <v>102</v>
      </c>
      <c r="E10" t="s">
        <v>103</v>
      </c>
      <c r="F10">
        <v>4</v>
      </c>
      <c r="G10" t="s">
        <v>97</v>
      </c>
      <c r="H10">
        <v>0</v>
      </c>
      <c r="I10">
        <v>0</v>
      </c>
      <c r="J10" t="b">
        <v>1</v>
      </c>
      <c r="K10" t="b">
        <v>0</v>
      </c>
      <c r="P10" t="b">
        <v>0</v>
      </c>
      <c r="Q10" t="s">
        <v>102</v>
      </c>
      <c r="R10" t="s">
        <v>103</v>
      </c>
      <c r="S10">
        <v>4</v>
      </c>
      <c r="T10" t="s">
        <v>97</v>
      </c>
      <c r="U10">
        <v>0</v>
      </c>
      <c r="V10">
        <v>0</v>
      </c>
      <c r="W10" t="b">
        <v>1</v>
      </c>
      <c r="X10" t="b">
        <v>0</v>
      </c>
    </row>
    <row r="11" spans="3:24" x14ac:dyDescent="0.4">
      <c r="C11" t="b">
        <v>0</v>
      </c>
      <c r="D11" t="s">
        <v>104</v>
      </c>
      <c r="E11" t="s">
        <v>105</v>
      </c>
      <c r="F11">
        <v>5</v>
      </c>
      <c r="G11" t="s">
        <v>106</v>
      </c>
      <c r="H11">
        <v>8</v>
      </c>
      <c r="I11">
        <v>0</v>
      </c>
      <c r="J11" t="b">
        <v>1</v>
      </c>
      <c r="K11" t="b">
        <v>0</v>
      </c>
      <c r="P11" s="36" t="b">
        <v>0</v>
      </c>
      <c r="Q11" s="36" t="s">
        <v>107</v>
      </c>
      <c r="R11" s="36" t="s">
        <v>159</v>
      </c>
      <c r="S11" s="36">
        <v>5</v>
      </c>
      <c r="T11" s="36" t="s">
        <v>97</v>
      </c>
      <c r="U11" s="36">
        <v>0</v>
      </c>
      <c r="V11" s="36">
        <v>0</v>
      </c>
      <c r="W11" s="36" t="b">
        <v>1</v>
      </c>
      <c r="X11" s="36" t="b">
        <v>0</v>
      </c>
    </row>
    <row r="12" spans="3:24" x14ac:dyDescent="0.4">
      <c r="C12" s="36" t="b">
        <v>0</v>
      </c>
      <c r="D12" s="36" t="s">
        <v>107</v>
      </c>
      <c r="E12" s="36" t="s">
        <v>108</v>
      </c>
      <c r="F12" s="36">
        <v>6</v>
      </c>
      <c r="G12" s="36" t="s">
        <v>97</v>
      </c>
      <c r="H12" s="36">
        <v>0</v>
      </c>
      <c r="I12" s="36">
        <v>0</v>
      </c>
      <c r="J12" s="36" t="b">
        <v>1</v>
      </c>
      <c r="K12" s="36" t="b">
        <v>0</v>
      </c>
      <c r="P12" t="b">
        <v>0</v>
      </c>
      <c r="Q12" t="s">
        <v>160</v>
      </c>
      <c r="R12" t="s">
        <v>161</v>
      </c>
      <c r="S12">
        <v>6</v>
      </c>
      <c r="T12" t="s">
        <v>106</v>
      </c>
      <c r="U12">
        <v>8</v>
      </c>
      <c r="V12">
        <v>0</v>
      </c>
      <c r="W12" t="b">
        <v>1</v>
      </c>
      <c r="X12" t="b">
        <v>0</v>
      </c>
    </row>
    <row r="13" spans="3:24" x14ac:dyDescent="0.4">
      <c r="C13" s="36" t="b">
        <v>0</v>
      </c>
      <c r="D13" s="36" t="s">
        <v>109</v>
      </c>
      <c r="E13" s="36" t="s">
        <v>110</v>
      </c>
      <c r="F13" s="36">
        <v>7</v>
      </c>
      <c r="G13" s="36" t="s">
        <v>97</v>
      </c>
      <c r="H13" s="36">
        <v>0</v>
      </c>
      <c r="I13" s="36">
        <v>0</v>
      </c>
      <c r="J13" s="36" t="b">
        <v>1</v>
      </c>
      <c r="K13" s="36" t="b">
        <v>0</v>
      </c>
      <c r="P13" s="36" t="b">
        <v>0</v>
      </c>
      <c r="Q13" s="36" t="s">
        <v>162</v>
      </c>
      <c r="R13" s="36" t="s">
        <v>163</v>
      </c>
      <c r="S13" s="36">
        <v>7</v>
      </c>
      <c r="T13" s="36" t="s">
        <v>106</v>
      </c>
      <c r="U13" s="36">
        <v>1</v>
      </c>
      <c r="V13" s="36">
        <v>0</v>
      </c>
      <c r="W13" s="36" t="b">
        <v>1</v>
      </c>
      <c r="X13" s="36" t="b">
        <v>0</v>
      </c>
    </row>
    <row r="14" spans="3:24" x14ac:dyDescent="0.4">
      <c r="C14" t="b">
        <v>0</v>
      </c>
      <c r="D14" t="s">
        <v>111</v>
      </c>
      <c r="E14" t="s">
        <v>112</v>
      </c>
      <c r="F14">
        <v>8</v>
      </c>
      <c r="G14" t="s">
        <v>106</v>
      </c>
      <c r="H14">
        <v>8</v>
      </c>
      <c r="I14">
        <v>0</v>
      </c>
      <c r="J14" t="b">
        <v>1</v>
      </c>
      <c r="K14" t="b">
        <v>0</v>
      </c>
      <c r="P14" s="36" t="b">
        <v>0</v>
      </c>
      <c r="Q14" s="36" t="s">
        <v>164</v>
      </c>
      <c r="R14" s="36" t="s">
        <v>165</v>
      </c>
      <c r="S14" s="36">
        <v>8</v>
      </c>
      <c r="T14" s="36" t="s">
        <v>106</v>
      </c>
      <c r="U14" s="36">
        <v>8</v>
      </c>
      <c r="V14" s="36">
        <v>0</v>
      </c>
      <c r="W14" s="36" t="b">
        <v>1</v>
      </c>
      <c r="X14" s="36" t="b">
        <v>0</v>
      </c>
    </row>
    <row r="15" spans="3:24" x14ac:dyDescent="0.4">
      <c r="C15" t="b">
        <v>0</v>
      </c>
      <c r="D15" t="s">
        <v>113</v>
      </c>
      <c r="E15" t="s">
        <v>114</v>
      </c>
      <c r="F15">
        <v>9</v>
      </c>
      <c r="G15" t="s">
        <v>106</v>
      </c>
      <c r="H15">
        <v>8</v>
      </c>
      <c r="I15">
        <v>0</v>
      </c>
      <c r="J15" t="b">
        <v>1</v>
      </c>
      <c r="K15" t="b">
        <v>0</v>
      </c>
      <c r="P15" t="b">
        <v>0</v>
      </c>
      <c r="Q15" t="s">
        <v>166</v>
      </c>
      <c r="R15" t="s">
        <v>167</v>
      </c>
      <c r="S15">
        <v>9</v>
      </c>
      <c r="T15" t="s">
        <v>106</v>
      </c>
      <c r="U15">
        <v>4</v>
      </c>
      <c r="V15">
        <v>0</v>
      </c>
      <c r="W15" t="b">
        <v>1</v>
      </c>
      <c r="X15" t="b">
        <v>0</v>
      </c>
    </row>
    <row r="16" spans="3:24" x14ac:dyDescent="0.4">
      <c r="C16" t="b">
        <v>0</v>
      </c>
      <c r="D16" t="s">
        <v>115</v>
      </c>
      <c r="E16" t="s">
        <v>116</v>
      </c>
      <c r="F16">
        <v>10</v>
      </c>
      <c r="G16" t="s">
        <v>117</v>
      </c>
      <c r="H16">
        <v>19</v>
      </c>
      <c r="I16">
        <v>5</v>
      </c>
      <c r="J16" t="b">
        <v>1</v>
      </c>
      <c r="K16" t="b">
        <v>0</v>
      </c>
      <c r="P16" s="36" t="b">
        <v>0</v>
      </c>
      <c r="Q16" s="36" t="s">
        <v>168</v>
      </c>
      <c r="R16" s="36" t="s">
        <v>169</v>
      </c>
      <c r="S16" s="36">
        <v>10</v>
      </c>
      <c r="T16" s="36" t="s">
        <v>106</v>
      </c>
      <c r="U16" s="36">
        <v>8</v>
      </c>
      <c r="V16" s="36">
        <v>0</v>
      </c>
      <c r="W16" s="36" t="b">
        <v>1</v>
      </c>
      <c r="X16" s="36" t="b">
        <v>0</v>
      </c>
    </row>
    <row r="17" spans="3:24" x14ac:dyDescent="0.4">
      <c r="C17" t="b">
        <v>0</v>
      </c>
      <c r="D17" t="s">
        <v>118</v>
      </c>
      <c r="E17" t="s">
        <v>119</v>
      </c>
      <c r="F17">
        <v>11</v>
      </c>
      <c r="G17" t="s">
        <v>117</v>
      </c>
      <c r="H17">
        <v>19</v>
      </c>
      <c r="I17">
        <v>5</v>
      </c>
      <c r="J17" t="b">
        <v>1</v>
      </c>
      <c r="K17" t="b">
        <v>0</v>
      </c>
      <c r="P17" t="b">
        <v>0</v>
      </c>
      <c r="Q17" t="s">
        <v>170</v>
      </c>
      <c r="R17" t="s">
        <v>171</v>
      </c>
      <c r="S17">
        <v>11</v>
      </c>
      <c r="T17" t="s">
        <v>106</v>
      </c>
      <c r="U17">
        <v>4</v>
      </c>
      <c r="V17">
        <v>0</v>
      </c>
      <c r="W17" t="b">
        <v>1</v>
      </c>
      <c r="X17" t="b">
        <v>0</v>
      </c>
    </row>
    <row r="18" spans="3:24" x14ac:dyDescent="0.4">
      <c r="C18" t="b">
        <v>0</v>
      </c>
      <c r="D18" t="s">
        <v>120</v>
      </c>
      <c r="E18" t="s">
        <v>121</v>
      </c>
      <c r="F18">
        <v>12</v>
      </c>
      <c r="G18" t="s">
        <v>97</v>
      </c>
      <c r="H18">
        <v>0</v>
      </c>
      <c r="I18">
        <v>0</v>
      </c>
      <c r="J18" t="b">
        <v>1</v>
      </c>
      <c r="K18" t="b">
        <v>0</v>
      </c>
      <c r="P18" t="b">
        <v>0</v>
      </c>
      <c r="Q18" t="s">
        <v>148</v>
      </c>
      <c r="R18" t="s">
        <v>149</v>
      </c>
      <c r="S18">
        <v>12</v>
      </c>
      <c r="T18" t="s">
        <v>97</v>
      </c>
      <c r="U18">
        <v>0</v>
      </c>
      <c r="V18">
        <v>0</v>
      </c>
      <c r="W18" t="b">
        <v>1</v>
      </c>
      <c r="X18" t="b">
        <v>0</v>
      </c>
    </row>
    <row r="19" spans="3:24" x14ac:dyDescent="0.4">
      <c r="C19" t="b">
        <v>0</v>
      </c>
      <c r="D19" t="s">
        <v>153</v>
      </c>
      <c r="E19" t="s">
        <v>152</v>
      </c>
      <c r="F19">
        <v>13</v>
      </c>
      <c r="G19" t="s">
        <v>122</v>
      </c>
      <c r="H19">
        <v>200</v>
      </c>
      <c r="I19">
        <v>0</v>
      </c>
      <c r="J19" t="b">
        <v>1</v>
      </c>
      <c r="K19" t="b">
        <v>0</v>
      </c>
      <c r="P19" t="b">
        <v>0</v>
      </c>
      <c r="Q19" t="s">
        <v>172</v>
      </c>
      <c r="R19" t="s">
        <v>173</v>
      </c>
      <c r="S19">
        <v>13</v>
      </c>
      <c r="T19" t="s">
        <v>97</v>
      </c>
      <c r="U19">
        <v>0</v>
      </c>
      <c r="V19">
        <v>0</v>
      </c>
      <c r="W19" t="b">
        <v>1</v>
      </c>
      <c r="X19" t="b">
        <v>0</v>
      </c>
    </row>
    <row r="20" spans="3:24" x14ac:dyDescent="0.4">
      <c r="C20" s="36" t="b">
        <v>0</v>
      </c>
      <c r="D20" s="36" t="s">
        <v>123</v>
      </c>
      <c r="E20" s="36" t="s">
        <v>124</v>
      </c>
      <c r="F20" s="36">
        <v>14</v>
      </c>
      <c r="G20" s="36" t="s">
        <v>122</v>
      </c>
      <c r="H20" s="36">
        <v>100</v>
      </c>
      <c r="I20" s="36">
        <v>0</v>
      </c>
      <c r="J20" s="36" t="b">
        <v>1</v>
      </c>
      <c r="K20" s="36" t="b">
        <v>0</v>
      </c>
      <c r="P20" t="b">
        <v>0</v>
      </c>
      <c r="Q20" t="s">
        <v>174</v>
      </c>
      <c r="R20" t="s">
        <v>175</v>
      </c>
      <c r="S20">
        <v>14</v>
      </c>
      <c r="T20" t="s">
        <v>97</v>
      </c>
      <c r="U20">
        <v>0</v>
      </c>
      <c r="V20">
        <v>0</v>
      </c>
      <c r="W20" t="b">
        <v>1</v>
      </c>
      <c r="X20" t="b">
        <v>0</v>
      </c>
    </row>
    <row r="21" spans="3:24" x14ac:dyDescent="0.4">
      <c r="C21" s="36" t="b">
        <v>0</v>
      </c>
      <c r="D21" s="36" t="s">
        <v>125</v>
      </c>
      <c r="E21" s="36" t="s">
        <v>126</v>
      </c>
      <c r="F21" s="36">
        <v>15</v>
      </c>
      <c r="G21" s="36" t="s">
        <v>122</v>
      </c>
      <c r="H21" s="36">
        <v>20</v>
      </c>
      <c r="I21" s="36">
        <v>0</v>
      </c>
      <c r="J21" s="36" t="b">
        <v>1</v>
      </c>
      <c r="K21" s="36" t="b">
        <v>0</v>
      </c>
      <c r="P21" t="b">
        <v>0</v>
      </c>
      <c r="Q21" t="s">
        <v>176</v>
      </c>
      <c r="R21" t="s">
        <v>177</v>
      </c>
      <c r="S21">
        <v>15</v>
      </c>
      <c r="T21" t="s">
        <v>97</v>
      </c>
      <c r="U21">
        <v>0</v>
      </c>
      <c r="V21">
        <v>0</v>
      </c>
      <c r="W21" t="b">
        <v>1</v>
      </c>
      <c r="X21" t="b">
        <v>0</v>
      </c>
    </row>
    <row r="22" spans="3:24" x14ac:dyDescent="0.4">
      <c r="C22" s="36" t="b">
        <v>0</v>
      </c>
      <c r="D22" s="36" t="s">
        <v>127</v>
      </c>
      <c r="E22" s="36" t="s">
        <v>128</v>
      </c>
      <c r="F22" s="36">
        <v>16</v>
      </c>
      <c r="G22" s="36" t="s">
        <v>97</v>
      </c>
      <c r="H22" s="36">
        <v>0</v>
      </c>
      <c r="I22" s="36">
        <v>0</v>
      </c>
      <c r="J22" s="36" t="b">
        <v>1</v>
      </c>
      <c r="K22" s="36" t="b">
        <v>0</v>
      </c>
      <c r="P22" t="b">
        <v>0</v>
      </c>
      <c r="Q22" t="s">
        <v>178</v>
      </c>
      <c r="R22" t="s">
        <v>116</v>
      </c>
      <c r="S22">
        <v>16</v>
      </c>
      <c r="T22" t="s">
        <v>117</v>
      </c>
      <c r="U22">
        <v>19</v>
      </c>
      <c r="V22">
        <v>5</v>
      </c>
      <c r="W22" t="b">
        <v>1</v>
      </c>
      <c r="X22" t="b">
        <v>0</v>
      </c>
    </row>
    <row r="23" spans="3:24" x14ac:dyDescent="0.4">
      <c r="C23" s="36" t="b">
        <v>0</v>
      </c>
      <c r="D23" s="36" t="s">
        <v>129</v>
      </c>
      <c r="E23" s="36" t="s">
        <v>130</v>
      </c>
      <c r="F23" s="36">
        <v>17</v>
      </c>
      <c r="G23" s="36" t="s">
        <v>122</v>
      </c>
      <c r="H23" s="36">
        <v>100</v>
      </c>
      <c r="I23" s="36">
        <v>0</v>
      </c>
      <c r="J23" s="36" t="b">
        <v>1</v>
      </c>
      <c r="K23" s="36" t="b">
        <v>0</v>
      </c>
      <c r="P23" t="b">
        <v>0</v>
      </c>
      <c r="Q23" t="s">
        <v>118</v>
      </c>
      <c r="R23" t="s">
        <v>179</v>
      </c>
      <c r="S23">
        <v>17</v>
      </c>
      <c r="T23" t="s">
        <v>117</v>
      </c>
      <c r="U23">
        <v>19</v>
      </c>
      <c r="V23">
        <v>5</v>
      </c>
      <c r="W23" t="b">
        <v>1</v>
      </c>
      <c r="X23" t="b">
        <v>0</v>
      </c>
    </row>
    <row r="24" spans="3:24" x14ac:dyDescent="0.4">
      <c r="C24" s="36" t="b">
        <v>0</v>
      </c>
      <c r="D24" s="36" t="s">
        <v>131</v>
      </c>
      <c r="E24" s="36" t="s">
        <v>132</v>
      </c>
      <c r="F24" s="36">
        <v>18</v>
      </c>
      <c r="G24" s="36" t="s">
        <v>97</v>
      </c>
      <c r="H24" s="36">
        <v>0</v>
      </c>
      <c r="I24" s="36">
        <v>0</v>
      </c>
      <c r="J24" s="36" t="b">
        <v>1</v>
      </c>
      <c r="K24" s="36" t="b">
        <v>0</v>
      </c>
      <c r="P24" t="b">
        <v>0</v>
      </c>
      <c r="Q24" t="s">
        <v>120</v>
      </c>
      <c r="R24" t="s">
        <v>180</v>
      </c>
      <c r="S24">
        <v>18</v>
      </c>
      <c r="T24" t="s">
        <v>97</v>
      </c>
      <c r="U24">
        <v>0</v>
      </c>
      <c r="V24">
        <v>0</v>
      </c>
      <c r="W24" t="b">
        <v>1</v>
      </c>
      <c r="X24" t="b">
        <v>0</v>
      </c>
    </row>
    <row r="25" spans="3:24" x14ac:dyDescent="0.4">
      <c r="C25" s="36" t="b">
        <v>0</v>
      </c>
      <c r="D25" s="36" t="s">
        <v>133</v>
      </c>
      <c r="E25" s="36" t="s">
        <v>134</v>
      </c>
      <c r="F25" s="36">
        <v>19</v>
      </c>
      <c r="G25" s="36" t="s">
        <v>97</v>
      </c>
      <c r="H25" s="36">
        <v>0</v>
      </c>
      <c r="I25" s="36">
        <v>0</v>
      </c>
      <c r="J25" s="36" t="b">
        <v>1</v>
      </c>
      <c r="K25" s="36" t="b">
        <v>0</v>
      </c>
      <c r="P25" s="36" t="b">
        <v>0</v>
      </c>
      <c r="Q25" s="36" t="s">
        <v>181</v>
      </c>
      <c r="R25" s="36" t="s">
        <v>182</v>
      </c>
      <c r="S25" s="36">
        <v>19</v>
      </c>
      <c r="T25" s="36" t="s">
        <v>117</v>
      </c>
      <c r="U25" s="36">
        <v>19</v>
      </c>
      <c r="V25" s="36">
        <v>5</v>
      </c>
      <c r="W25" s="36" t="b">
        <v>1</v>
      </c>
      <c r="X25" s="36" t="b">
        <v>0</v>
      </c>
    </row>
    <row r="26" spans="3:24" x14ac:dyDescent="0.4">
      <c r="C26" s="36" t="b">
        <v>0</v>
      </c>
      <c r="D26" s="36" t="s">
        <v>135</v>
      </c>
      <c r="E26" s="36" t="s">
        <v>136</v>
      </c>
      <c r="F26" s="36">
        <v>20</v>
      </c>
      <c r="G26" s="36" t="s">
        <v>97</v>
      </c>
      <c r="H26" s="36">
        <v>0</v>
      </c>
      <c r="I26" s="36">
        <v>0</v>
      </c>
      <c r="J26" s="36" t="b">
        <v>1</v>
      </c>
      <c r="K26" s="36" t="b">
        <v>0</v>
      </c>
      <c r="P26" t="b">
        <v>0</v>
      </c>
      <c r="Q26" t="s">
        <v>139</v>
      </c>
      <c r="R26" t="s">
        <v>140</v>
      </c>
      <c r="S26">
        <v>21</v>
      </c>
      <c r="T26" t="s">
        <v>97</v>
      </c>
      <c r="U26">
        <v>0</v>
      </c>
      <c r="V26">
        <v>0</v>
      </c>
      <c r="W26" t="b">
        <v>1</v>
      </c>
      <c r="X26" t="b">
        <v>0</v>
      </c>
    </row>
    <row r="27" spans="3:24" x14ac:dyDescent="0.4">
      <c r="C27" t="b">
        <v>0</v>
      </c>
      <c r="D27" t="s">
        <v>137</v>
      </c>
      <c r="E27" t="s">
        <v>138</v>
      </c>
      <c r="F27">
        <v>21</v>
      </c>
      <c r="G27" t="s">
        <v>106</v>
      </c>
      <c r="H27">
        <v>1</v>
      </c>
      <c r="I27">
        <v>0</v>
      </c>
      <c r="J27" t="b">
        <v>1</v>
      </c>
      <c r="K27" t="b">
        <v>0</v>
      </c>
      <c r="P27" t="b">
        <v>0</v>
      </c>
      <c r="Q27" t="s">
        <v>141</v>
      </c>
      <c r="R27" t="s">
        <v>142</v>
      </c>
      <c r="S27">
        <v>22</v>
      </c>
      <c r="T27" t="s">
        <v>143</v>
      </c>
      <c r="U27">
        <v>0</v>
      </c>
      <c r="V27">
        <v>0</v>
      </c>
      <c r="W27" t="b">
        <v>1</v>
      </c>
      <c r="X27" t="b">
        <v>0</v>
      </c>
    </row>
    <row r="28" spans="3:24" x14ac:dyDescent="0.4">
      <c r="C28" t="b">
        <v>0</v>
      </c>
      <c r="D28" t="s">
        <v>139</v>
      </c>
      <c r="E28" t="s">
        <v>140</v>
      </c>
      <c r="F28">
        <v>22</v>
      </c>
      <c r="G28" t="s">
        <v>97</v>
      </c>
      <c r="H28">
        <v>0</v>
      </c>
      <c r="I28">
        <v>0</v>
      </c>
      <c r="J28" t="b">
        <v>1</v>
      </c>
      <c r="K28" t="b">
        <v>0</v>
      </c>
      <c r="P28" s="36" t="b">
        <v>0</v>
      </c>
      <c r="Q28" s="36" t="s">
        <v>183</v>
      </c>
      <c r="R28" s="36" t="s">
        <v>184</v>
      </c>
      <c r="S28" s="36">
        <v>24</v>
      </c>
      <c r="T28" s="36" t="s">
        <v>97</v>
      </c>
      <c r="U28" s="36">
        <v>0</v>
      </c>
      <c r="V28" s="36">
        <v>0</v>
      </c>
      <c r="W28" s="36" t="b">
        <v>1</v>
      </c>
      <c r="X28" s="36" t="b">
        <v>0</v>
      </c>
    </row>
    <row r="29" spans="3:24" x14ac:dyDescent="0.4">
      <c r="C29" t="b">
        <v>0</v>
      </c>
      <c r="D29" t="s">
        <v>141</v>
      </c>
      <c r="E29" t="s">
        <v>142</v>
      </c>
      <c r="F29">
        <v>23</v>
      </c>
      <c r="G29" t="s">
        <v>143</v>
      </c>
      <c r="H29">
        <v>0</v>
      </c>
      <c r="I29">
        <v>0</v>
      </c>
      <c r="J29" t="b">
        <v>1</v>
      </c>
      <c r="K29" t="b">
        <v>0</v>
      </c>
      <c r="P29" s="36" t="b">
        <v>0</v>
      </c>
      <c r="Q29" s="36" t="s">
        <v>185</v>
      </c>
      <c r="R29" s="36" t="s">
        <v>186</v>
      </c>
      <c r="S29" s="36">
        <v>25</v>
      </c>
      <c r="T29" s="36" t="s">
        <v>117</v>
      </c>
      <c r="U29" s="36">
        <v>19</v>
      </c>
      <c r="V29" s="36">
        <v>5</v>
      </c>
      <c r="W29" s="36" t="b">
        <v>1</v>
      </c>
      <c r="X29" s="36" t="b">
        <v>0</v>
      </c>
    </row>
    <row r="30" spans="3:24" x14ac:dyDescent="0.4">
      <c r="C30" t="b">
        <v>0</v>
      </c>
      <c r="D30" t="s">
        <v>144</v>
      </c>
      <c r="E30" t="s">
        <v>145</v>
      </c>
      <c r="F30">
        <v>24</v>
      </c>
      <c r="G30" t="s">
        <v>97</v>
      </c>
      <c r="H30">
        <v>0</v>
      </c>
      <c r="I30">
        <v>0</v>
      </c>
      <c r="J30" t="b">
        <v>1</v>
      </c>
      <c r="K30" t="b">
        <v>0</v>
      </c>
      <c r="P30" s="36" t="b">
        <v>0</v>
      </c>
      <c r="Q30" s="36" t="s">
        <v>187</v>
      </c>
      <c r="R30" s="36" t="s">
        <v>188</v>
      </c>
      <c r="S30" s="36">
        <v>26</v>
      </c>
      <c r="T30" s="36" t="s">
        <v>97</v>
      </c>
      <c r="U30" s="36">
        <v>0</v>
      </c>
      <c r="V30" s="36">
        <v>0</v>
      </c>
      <c r="W30" s="36" t="b">
        <v>1</v>
      </c>
      <c r="X30" s="36" t="b">
        <v>0</v>
      </c>
    </row>
    <row r="31" spans="3:24" x14ac:dyDescent="0.4">
      <c r="C31" s="36" t="b">
        <v>0</v>
      </c>
      <c r="D31" s="36" t="s">
        <v>146</v>
      </c>
      <c r="E31" s="36" t="s">
        <v>147</v>
      </c>
      <c r="F31" s="36">
        <v>25</v>
      </c>
      <c r="G31" s="36" t="s">
        <v>97</v>
      </c>
      <c r="H31" s="36">
        <v>0</v>
      </c>
      <c r="I31" s="36">
        <v>0</v>
      </c>
      <c r="J31" s="36" t="b">
        <v>1</v>
      </c>
      <c r="K31" s="36" t="b">
        <v>0</v>
      </c>
      <c r="P31" t="b">
        <v>0</v>
      </c>
      <c r="Q31" t="s">
        <v>189</v>
      </c>
      <c r="R31" t="s">
        <v>190</v>
      </c>
      <c r="S31">
        <v>27</v>
      </c>
      <c r="T31" t="s">
        <v>106</v>
      </c>
      <c r="U31">
        <v>1</v>
      </c>
      <c r="V31">
        <v>0</v>
      </c>
      <c r="W31" t="b">
        <v>1</v>
      </c>
      <c r="X31" t="b">
        <v>0</v>
      </c>
    </row>
    <row r="32" spans="3:24" x14ac:dyDescent="0.4">
      <c r="C32" s="36" t="b">
        <v>0</v>
      </c>
      <c r="D32" s="36" t="s">
        <v>154</v>
      </c>
      <c r="E32" s="36" t="s">
        <v>149</v>
      </c>
      <c r="F32" s="36">
        <v>26</v>
      </c>
      <c r="G32" s="36" t="s">
        <v>97</v>
      </c>
      <c r="H32" s="36">
        <v>0</v>
      </c>
      <c r="I32" s="36">
        <v>0</v>
      </c>
      <c r="J32" s="36" t="b">
        <v>1</v>
      </c>
      <c r="K32" s="36" t="b">
        <v>0</v>
      </c>
      <c r="P32" s="36" t="b">
        <v>0</v>
      </c>
      <c r="Q32" s="36" t="s">
        <v>191</v>
      </c>
      <c r="R32" s="36" t="s">
        <v>192</v>
      </c>
      <c r="S32" s="36">
        <v>28</v>
      </c>
      <c r="T32" s="36" t="s">
        <v>117</v>
      </c>
      <c r="U32" s="36">
        <v>19</v>
      </c>
      <c r="V32" s="36">
        <v>5</v>
      </c>
      <c r="W32" s="36" t="b">
        <v>1</v>
      </c>
      <c r="X32" s="36" t="b">
        <v>0</v>
      </c>
    </row>
    <row r="33" spans="3:23" x14ac:dyDescent="0.4">
      <c r="C33" s="36" t="b">
        <v>0</v>
      </c>
      <c r="D33" s="36" t="s">
        <v>150</v>
      </c>
      <c r="E33" s="36" t="s">
        <v>151</v>
      </c>
      <c r="F33" s="36">
        <v>27</v>
      </c>
      <c r="G33" s="36" t="s">
        <v>122</v>
      </c>
      <c r="H33" s="36">
        <v>200</v>
      </c>
      <c r="I33" s="36">
        <v>0</v>
      </c>
      <c r="J33" s="36" t="b">
        <v>1</v>
      </c>
      <c r="K33" s="36" t="b">
        <v>0</v>
      </c>
    </row>
    <row r="37" spans="3:23" x14ac:dyDescent="0.4">
      <c r="D37" t="s">
        <v>200</v>
      </c>
      <c r="E37" t="s">
        <v>196</v>
      </c>
      <c r="Q37" t="s">
        <v>198</v>
      </c>
      <c r="R37" t="s">
        <v>197</v>
      </c>
    </row>
    <row r="38" spans="3:23" x14ac:dyDescent="0.4">
      <c r="C38" s="1" t="s">
        <v>209</v>
      </c>
      <c r="D38" s="1" t="s">
        <v>210</v>
      </c>
      <c r="E38" s="1" t="s">
        <v>211</v>
      </c>
      <c r="F38" s="1" t="s">
        <v>212</v>
      </c>
      <c r="G38" s="1" t="s">
        <v>213</v>
      </c>
      <c r="H38" s="1" t="s">
        <v>214</v>
      </c>
      <c r="I38" s="1" t="s">
        <v>215</v>
      </c>
      <c r="J38" s="1" t="s">
        <v>216</v>
      </c>
    </row>
    <row r="39" spans="3:23" x14ac:dyDescent="0.4">
      <c r="C39" s="1" t="b">
        <v>1</v>
      </c>
      <c r="D39" s="1" t="s">
        <v>95</v>
      </c>
      <c r="E39" s="1" t="s">
        <v>96</v>
      </c>
      <c r="F39" s="1">
        <v>1</v>
      </c>
      <c r="G39" s="1" t="s">
        <v>97</v>
      </c>
      <c r="H39" s="1">
        <v>0</v>
      </c>
      <c r="I39" s="1">
        <v>0</v>
      </c>
      <c r="J39" s="1" t="b">
        <v>0</v>
      </c>
      <c r="P39" s="1" t="b">
        <v>1</v>
      </c>
      <c r="Q39" s="1" t="s">
        <v>95</v>
      </c>
      <c r="R39" s="1" t="s">
        <v>96</v>
      </c>
      <c r="S39" s="1">
        <v>1</v>
      </c>
      <c r="T39" s="1" t="s">
        <v>97</v>
      </c>
      <c r="U39" s="1">
        <v>0</v>
      </c>
      <c r="V39" s="1">
        <v>0</v>
      </c>
      <c r="W39" s="1" t="b">
        <v>0</v>
      </c>
    </row>
    <row r="40" spans="3:23" x14ac:dyDescent="0.4">
      <c r="C40" s="1" t="b">
        <v>1</v>
      </c>
      <c r="D40" s="1" t="s">
        <v>193</v>
      </c>
      <c r="E40" s="1" t="s">
        <v>194</v>
      </c>
      <c r="F40" s="1">
        <v>2</v>
      </c>
      <c r="G40" s="1" t="s">
        <v>97</v>
      </c>
      <c r="H40" s="1">
        <v>0</v>
      </c>
      <c r="I40" s="1">
        <v>0</v>
      </c>
      <c r="J40" s="1" t="b">
        <v>0</v>
      </c>
      <c r="P40" s="1" t="b">
        <v>1</v>
      </c>
      <c r="Q40" s="1" t="s">
        <v>193</v>
      </c>
      <c r="R40" s="1" t="s">
        <v>194</v>
      </c>
      <c r="S40" s="1">
        <v>2</v>
      </c>
      <c r="T40" s="1" t="s">
        <v>97</v>
      </c>
      <c r="U40" s="1">
        <v>0</v>
      </c>
      <c r="V40" s="1">
        <v>0</v>
      </c>
      <c r="W40" s="1" t="b">
        <v>0</v>
      </c>
    </row>
    <row r="41" spans="3:23" x14ac:dyDescent="0.4">
      <c r="C41" s="1" t="b">
        <v>0</v>
      </c>
      <c r="D41" s="1" t="s">
        <v>102</v>
      </c>
      <c r="E41" s="1" t="s">
        <v>195</v>
      </c>
      <c r="F41" s="1">
        <v>4</v>
      </c>
      <c r="G41" s="1" t="s">
        <v>97</v>
      </c>
      <c r="H41" s="1">
        <v>0</v>
      </c>
      <c r="I41" s="1">
        <v>0</v>
      </c>
      <c r="J41" s="1" t="b">
        <v>1</v>
      </c>
      <c r="P41" s="1" t="b">
        <v>1</v>
      </c>
      <c r="Q41" s="1" t="s">
        <v>157</v>
      </c>
      <c r="R41" s="1" t="s">
        <v>158</v>
      </c>
      <c r="S41" s="1">
        <v>3</v>
      </c>
      <c r="T41" s="1" t="s">
        <v>97</v>
      </c>
      <c r="U41" s="1">
        <v>0</v>
      </c>
      <c r="V41" s="1">
        <v>0</v>
      </c>
      <c r="W41" s="1" t="b">
        <v>0</v>
      </c>
    </row>
    <row r="42" spans="3:23" x14ac:dyDescent="0.4">
      <c r="C42" s="1" t="b">
        <v>0</v>
      </c>
      <c r="D42" s="1" t="s">
        <v>104</v>
      </c>
      <c r="E42" s="1" t="s">
        <v>105</v>
      </c>
      <c r="F42" s="1">
        <v>5</v>
      </c>
      <c r="G42" s="1" t="s">
        <v>106</v>
      </c>
      <c r="H42" s="1">
        <v>8</v>
      </c>
      <c r="I42" s="1">
        <v>0</v>
      </c>
      <c r="J42" s="1" t="b">
        <v>1</v>
      </c>
      <c r="P42" s="1" t="b">
        <v>0</v>
      </c>
      <c r="Q42" s="1" t="s">
        <v>199</v>
      </c>
      <c r="R42" s="1" t="s">
        <v>103</v>
      </c>
      <c r="S42" s="1">
        <v>4</v>
      </c>
      <c r="T42" s="1" t="s">
        <v>97</v>
      </c>
      <c r="U42" s="1">
        <v>0</v>
      </c>
      <c r="V42" s="1">
        <v>0</v>
      </c>
      <c r="W42" s="1" t="b">
        <v>1</v>
      </c>
    </row>
    <row r="43" spans="3:23" x14ac:dyDescent="0.4">
      <c r="C43" s="1" t="b">
        <v>0</v>
      </c>
      <c r="D43" s="1" t="s">
        <v>111</v>
      </c>
      <c r="E43" s="1" t="s">
        <v>112</v>
      </c>
      <c r="F43" s="1">
        <v>8</v>
      </c>
      <c r="G43" s="1" t="s">
        <v>106</v>
      </c>
      <c r="H43" s="1">
        <v>8</v>
      </c>
      <c r="I43" s="1">
        <v>0</v>
      </c>
      <c r="J43" s="1" t="b">
        <v>1</v>
      </c>
      <c r="P43" s="1" t="b">
        <v>0</v>
      </c>
      <c r="Q43" s="1" t="s">
        <v>160</v>
      </c>
      <c r="R43" s="1" t="s">
        <v>161</v>
      </c>
      <c r="S43" s="1">
        <v>6</v>
      </c>
      <c r="T43" s="1" t="s">
        <v>106</v>
      </c>
      <c r="U43" s="1">
        <v>8</v>
      </c>
      <c r="V43" s="1">
        <v>0</v>
      </c>
      <c r="W43" s="1" t="b">
        <v>1</v>
      </c>
    </row>
    <row r="44" spans="3:23" x14ac:dyDescent="0.4">
      <c r="C44" s="1" t="b">
        <v>0</v>
      </c>
      <c r="D44" s="1" t="s">
        <v>113</v>
      </c>
      <c r="E44" s="1" t="s">
        <v>114</v>
      </c>
      <c r="F44" s="1">
        <v>9</v>
      </c>
      <c r="G44" s="1" t="s">
        <v>106</v>
      </c>
      <c r="H44" s="1">
        <v>8</v>
      </c>
      <c r="I44" s="1">
        <v>0</v>
      </c>
      <c r="J44" s="1" t="b">
        <v>1</v>
      </c>
      <c r="P44" s="1" t="b">
        <v>0</v>
      </c>
      <c r="Q44" s="1" t="s">
        <v>166</v>
      </c>
      <c r="R44" s="1" t="s">
        <v>167</v>
      </c>
      <c r="S44" s="1">
        <v>9</v>
      </c>
      <c r="T44" s="1" t="s">
        <v>106</v>
      </c>
      <c r="U44" s="1">
        <v>4</v>
      </c>
      <c r="V44" s="1">
        <v>0</v>
      </c>
      <c r="W44" s="1" t="b">
        <v>1</v>
      </c>
    </row>
    <row r="45" spans="3:23" x14ac:dyDescent="0.4">
      <c r="C45" s="1" t="b">
        <v>0</v>
      </c>
      <c r="D45" s="1" t="s">
        <v>115</v>
      </c>
      <c r="E45" s="1" t="s">
        <v>116</v>
      </c>
      <c r="F45" s="1">
        <v>10</v>
      </c>
      <c r="G45" s="1" t="s">
        <v>117</v>
      </c>
      <c r="H45" s="1">
        <v>19</v>
      </c>
      <c r="I45" s="1">
        <v>5</v>
      </c>
      <c r="J45" s="1" t="b">
        <v>1</v>
      </c>
      <c r="P45" s="1" t="b">
        <v>0</v>
      </c>
      <c r="Q45" s="1" t="s">
        <v>170</v>
      </c>
      <c r="R45" s="1" t="s">
        <v>171</v>
      </c>
      <c r="S45" s="1">
        <v>11</v>
      </c>
      <c r="T45" s="1" t="s">
        <v>106</v>
      </c>
      <c r="U45" s="1">
        <v>4</v>
      </c>
      <c r="V45" s="1">
        <v>0</v>
      </c>
      <c r="W45" s="1" t="b">
        <v>1</v>
      </c>
    </row>
    <row r="46" spans="3:23" x14ac:dyDescent="0.4">
      <c r="C46" s="1" t="b">
        <v>0</v>
      </c>
      <c r="D46" s="1" t="s">
        <v>118</v>
      </c>
      <c r="E46" s="1" t="s">
        <v>119</v>
      </c>
      <c r="F46" s="1">
        <v>11</v>
      </c>
      <c r="G46" s="1" t="s">
        <v>117</v>
      </c>
      <c r="H46" s="1">
        <v>19</v>
      </c>
      <c r="I46" s="1">
        <v>5</v>
      </c>
      <c r="J46" s="1" t="b">
        <v>1</v>
      </c>
      <c r="P46" s="1" t="b">
        <v>0</v>
      </c>
      <c r="Q46" s="1" t="s">
        <v>148</v>
      </c>
      <c r="R46" s="1" t="s">
        <v>149</v>
      </c>
      <c r="S46" s="1">
        <v>12</v>
      </c>
      <c r="T46" s="1" t="s">
        <v>97</v>
      </c>
      <c r="U46" s="1">
        <v>0</v>
      </c>
      <c r="V46" s="1">
        <v>0</v>
      </c>
      <c r="W46" s="1" t="b">
        <v>1</v>
      </c>
    </row>
    <row r="47" spans="3:23" x14ac:dyDescent="0.4">
      <c r="C47" s="1" t="b">
        <v>0</v>
      </c>
      <c r="D47" s="1" t="s">
        <v>120</v>
      </c>
      <c r="E47" s="1" t="s">
        <v>121</v>
      </c>
      <c r="F47" s="1">
        <v>12</v>
      </c>
      <c r="G47" s="1" t="s">
        <v>97</v>
      </c>
      <c r="H47" s="1">
        <v>0</v>
      </c>
      <c r="I47" s="1">
        <v>0</v>
      </c>
      <c r="J47" s="1" t="b">
        <v>1</v>
      </c>
      <c r="P47" s="1" t="b">
        <v>0</v>
      </c>
      <c r="Q47" s="1" t="s">
        <v>172</v>
      </c>
      <c r="R47" s="1" t="s">
        <v>173</v>
      </c>
      <c r="S47" s="1">
        <v>13</v>
      </c>
      <c r="T47" s="1" t="s">
        <v>97</v>
      </c>
      <c r="U47" s="1">
        <v>0</v>
      </c>
      <c r="V47" s="1">
        <v>0</v>
      </c>
      <c r="W47" s="1" t="b">
        <v>1</v>
      </c>
    </row>
    <row r="48" spans="3:23" x14ac:dyDescent="0.4">
      <c r="C48" s="1" t="b">
        <v>0</v>
      </c>
      <c r="D48" s="1" t="s">
        <v>153</v>
      </c>
      <c r="E48" s="1" t="s">
        <v>152</v>
      </c>
      <c r="F48" s="1">
        <v>13</v>
      </c>
      <c r="G48" s="1" t="s">
        <v>122</v>
      </c>
      <c r="H48" s="1">
        <v>200</v>
      </c>
      <c r="I48" s="1">
        <v>0</v>
      </c>
      <c r="J48" s="1" t="b">
        <v>1</v>
      </c>
      <c r="P48" s="1" t="b">
        <v>0</v>
      </c>
      <c r="Q48" s="1" t="s">
        <v>174</v>
      </c>
      <c r="R48" s="1" t="s">
        <v>175</v>
      </c>
      <c r="S48" s="1">
        <v>14</v>
      </c>
      <c r="T48" s="1" t="s">
        <v>97</v>
      </c>
      <c r="U48" s="1">
        <v>0</v>
      </c>
      <c r="V48" s="1">
        <v>0</v>
      </c>
      <c r="W48" s="1" t="b">
        <v>1</v>
      </c>
    </row>
    <row r="49" spans="3:23" x14ac:dyDescent="0.4">
      <c r="C49" s="1" t="b">
        <v>0</v>
      </c>
      <c r="D49" s="1" t="s">
        <v>137</v>
      </c>
      <c r="E49" s="1" t="s">
        <v>138</v>
      </c>
      <c r="F49" s="1">
        <v>21</v>
      </c>
      <c r="G49" s="1" t="s">
        <v>106</v>
      </c>
      <c r="H49" s="1">
        <v>1</v>
      </c>
      <c r="I49" s="1">
        <v>0</v>
      </c>
      <c r="J49" s="1" t="b">
        <v>1</v>
      </c>
      <c r="P49" s="1" t="b">
        <v>0</v>
      </c>
      <c r="Q49" s="1" t="s">
        <v>176</v>
      </c>
      <c r="R49" s="1" t="s">
        <v>177</v>
      </c>
      <c r="S49" s="1">
        <v>15</v>
      </c>
      <c r="T49" s="1" t="s">
        <v>97</v>
      </c>
      <c r="U49" s="1">
        <v>0</v>
      </c>
      <c r="V49" s="1">
        <v>0</v>
      </c>
      <c r="W49" s="1" t="b">
        <v>1</v>
      </c>
    </row>
    <row r="50" spans="3:23" x14ac:dyDescent="0.4">
      <c r="C50" s="1" t="b">
        <v>0</v>
      </c>
      <c r="D50" s="1" t="s">
        <v>144</v>
      </c>
      <c r="E50" s="1" t="s">
        <v>145</v>
      </c>
      <c r="F50" s="1">
        <v>24</v>
      </c>
      <c r="G50" s="1" t="s">
        <v>97</v>
      </c>
      <c r="H50" s="1">
        <v>0</v>
      </c>
      <c r="I50" s="1">
        <v>0</v>
      </c>
      <c r="J50" s="1" t="b">
        <v>1</v>
      </c>
      <c r="P50" s="1" t="b">
        <v>0</v>
      </c>
      <c r="Q50" s="1" t="s">
        <v>178</v>
      </c>
      <c r="R50" s="1" t="s">
        <v>116</v>
      </c>
      <c r="S50" s="1">
        <v>16</v>
      </c>
      <c r="T50" s="1" t="s">
        <v>117</v>
      </c>
      <c r="U50" s="1">
        <v>19</v>
      </c>
      <c r="V50" s="1">
        <v>5</v>
      </c>
      <c r="W50" s="1" t="b">
        <v>1</v>
      </c>
    </row>
    <row r="51" spans="3:23" x14ac:dyDescent="0.4">
      <c r="C51" s="1" t="b">
        <v>0</v>
      </c>
      <c r="D51" s="1" t="s">
        <v>139</v>
      </c>
      <c r="E51" s="1" t="s">
        <v>140</v>
      </c>
      <c r="F51" s="1">
        <v>22</v>
      </c>
      <c r="G51" s="1" t="s">
        <v>97</v>
      </c>
      <c r="H51" s="1">
        <v>0</v>
      </c>
      <c r="I51" s="1">
        <v>0</v>
      </c>
      <c r="J51" s="1" t="b">
        <v>1</v>
      </c>
      <c r="P51" s="1" t="b">
        <v>0</v>
      </c>
      <c r="Q51" s="1" t="s">
        <v>118</v>
      </c>
      <c r="R51" s="1" t="s">
        <v>179</v>
      </c>
      <c r="S51" s="1">
        <v>17</v>
      </c>
      <c r="T51" s="1" t="s">
        <v>117</v>
      </c>
      <c r="U51" s="1">
        <v>19</v>
      </c>
      <c r="V51" s="1">
        <v>5</v>
      </c>
      <c r="W51" s="1" t="b">
        <v>1</v>
      </c>
    </row>
    <row r="52" spans="3:23" x14ac:dyDescent="0.4">
      <c r="C52" s="1" t="b">
        <v>0</v>
      </c>
      <c r="D52" s="1" t="s">
        <v>141</v>
      </c>
      <c r="E52" s="1" t="s">
        <v>142</v>
      </c>
      <c r="F52" s="1">
        <v>23</v>
      </c>
      <c r="G52" s="1" t="s">
        <v>143</v>
      </c>
      <c r="H52" s="1">
        <v>0</v>
      </c>
      <c r="I52" s="1">
        <v>0</v>
      </c>
      <c r="J52" s="1" t="b">
        <v>1</v>
      </c>
      <c r="P52" s="1" t="b">
        <v>0</v>
      </c>
      <c r="Q52" s="1" t="s">
        <v>120</v>
      </c>
      <c r="R52" s="1" t="s">
        <v>180</v>
      </c>
      <c r="S52" s="1">
        <v>18</v>
      </c>
      <c r="T52" s="1" t="s">
        <v>97</v>
      </c>
      <c r="U52" s="1">
        <v>0</v>
      </c>
      <c r="V52" s="1">
        <v>0</v>
      </c>
      <c r="W52" s="1" t="b">
        <v>1</v>
      </c>
    </row>
    <row r="53" spans="3:23" x14ac:dyDescent="0.4">
      <c r="P53" s="1" t="b">
        <v>0</v>
      </c>
      <c r="Q53" s="1" t="s">
        <v>189</v>
      </c>
      <c r="R53" s="1" t="s">
        <v>190</v>
      </c>
      <c r="S53" s="1">
        <v>27</v>
      </c>
      <c r="T53" s="1" t="s">
        <v>106</v>
      </c>
      <c r="U53" s="1">
        <v>1</v>
      </c>
      <c r="V53" s="1">
        <v>0</v>
      </c>
      <c r="W53" s="1" t="b">
        <v>1</v>
      </c>
    </row>
    <row r="54" spans="3:23" x14ac:dyDescent="0.4">
      <c r="P54" s="1" t="b">
        <v>0</v>
      </c>
      <c r="Q54" s="1" t="s">
        <v>139</v>
      </c>
      <c r="R54" s="1" t="s">
        <v>140</v>
      </c>
      <c r="S54" s="1">
        <v>21</v>
      </c>
      <c r="T54" s="1" t="s">
        <v>97</v>
      </c>
      <c r="U54" s="1">
        <v>0</v>
      </c>
      <c r="V54" s="1">
        <v>0</v>
      </c>
      <c r="W54" s="1" t="b">
        <v>1</v>
      </c>
    </row>
    <row r="55" spans="3:23" x14ac:dyDescent="0.4">
      <c r="P55" s="1" t="b">
        <v>0</v>
      </c>
      <c r="Q55" s="1" t="s">
        <v>141</v>
      </c>
      <c r="R55" s="1" t="s">
        <v>142</v>
      </c>
      <c r="S55" s="1">
        <v>22</v>
      </c>
      <c r="T55" s="1" t="s">
        <v>143</v>
      </c>
      <c r="U55" s="1">
        <v>0</v>
      </c>
      <c r="V55" s="1">
        <v>0</v>
      </c>
      <c r="W55" s="1" t="b">
        <v>1</v>
      </c>
    </row>
    <row r="60" spans="3:23" x14ac:dyDescent="0.4">
      <c r="D60" t="s">
        <v>223</v>
      </c>
      <c r="E60" t="s">
        <v>225</v>
      </c>
    </row>
    <row r="61" spans="3:23" x14ac:dyDescent="0.4">
      <c r="D61" t="s">
        <v>224</v>
      </c>
      <c r="E61" t="s">
        <v>200</v>
      </c>
    </row>
  </sheetData>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8AB74-E305-4E04-9848-BCAC0FF2C21A}">
  <dimension ref="B3:C11"/>
  <sheetViews>
    <sheetView workbookViewId="0">
      <selection activeCell="F20" sqref="F20"/>
    </sheetView>
  </sheetViews>
  <sheetFormatPr defaultRowHeight="17.399999999999999" x14ac:dyDescent="0.4"/>
  <cols>
    <col min="2" max="2" width="23.3984375" customWidth="1"/>
    <col min="3" max="3" width="57.296875" customWidth="1"/>
  </cols>
  <sheetData>
    <row r="3" spans="2:3" x14ac:dyDescent="0.4">
      <c r="B3" t="s">
        <v>203</v>
      </c>
      <c r="C3" t="s">
        <v>202</v>
      </c>
    </row>
    <row r="4" spans="2:3" x14ac:dyDescent="0.4">
      <c r="B4" t="s">
        <v>204</v>
      </c>
      <c r="C4" t="s">
        <v>201</v>
      </c>
    </row>
    <row r="7" spans="2:3" x14ac:dyDescent="0.4">
      <c r="B7" t="s">
        <v>205</v>
      </c>
    </row>
    <row r="8" spans="2:3" x14ac:dyDescent="0.4">
      <c r="B8" t="s">
        <v>206</v>
      </c>
    </row>
    <row r="9" spans="2:3" x14ac:dyDescent="0.4">
      <c r="B9" t="s">
        <v>207</v>
      </c>
    </row>
    <row r="11" spans="2:3" x14ac:dyDescent="0.4">
      <c r="B11" t="s">
        <v>208</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AD224-A8E1-496B-9D0F-1A75D2C9E117}">
  <dimension ref="A1:B9"/>
  <sheetViews>
    <sheetView topLeftCell="A2" workbookViewId="0">
      <selection activeCell="A2" sqref="A2"/>
    </sheetView>
  </sheetViews>
  <sheetFormatPr defaultRowHeight="17.399999999999999" x14ac:dyDescent="0.4"/>
  <cols>
    <col min="1" max="1" width="163.8984375" customWidth="1"/>
    <col min="2" max="2" width="33.69921875" customWidth="1"/>
  </cols>
  <sheetData>
    <row r="1" spans="1:2" x14ac:dyDescent="0.4">
      <c r="A1" t="s">
        <v>217</v>
      </c>
      <c r="B1" t="s">
        <v>93</v>
      </c>
    </row>
    <row r="2" spans="1:2" ht="409.6" customHeight="1" x14ac:dyDescent="0.4">
      <c r="A2" s="35" t="s">
        <v>91</v>
      </c>
      <c r="B2" s="35" t="s">
        <v>92</v>
      </c>
    </row>
    <row r="8" spans="1:2" ht="97.8" customHeight="1" x14ac:dyDescent="0.4">
      <c r="A8" s="37" t="s">
        <v>218</v>
      </c>
    </row>
    <row r="9" spans="1:2" ht="208.8" x14ac:dyDescent="0.4">
      <c r="A9" s="38" t="s">
        <v>219</v>
      </c>
    </row>
  </sheetData>
  <phoneticPr fontId="4"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E74CE-2163-45FE-8637-DFFD410F19B4}">
  <sheetPr>
    <tabColor theme="5"/>
  </sheetPr>
  <dimension ref="A2:I45"/>
  <sheetViews>
    <sheetView workbookViewId="0">
      <selection activeCell="H9" sqref="H9:H10"/>
    </sheetView>
  </sheetViews>
  <sheetFormatPr defaultColWidth="9" defaultRowHeight="17.399999999999999" x14ac:dyDescent="0.4"/>
  <cols>
    <col min="1" max="1" width="9" style="18"/>
    <col min="2" max="2" width="10.69921875" style="18" bestFit="1" customWidth="1"/>
    <col min="3" max="5" width="11" style="18" customWidth="1"/>
    <col min="6" max="6" width="10.69921875" style="18" bestFit="1" customWidth="1"/>
    <col min="7" max="7" width="9" style="18"/>
    <col min="8" max="8" width="11.19921875" style="18" bestFit="1" customWidth="1"/>
    <col min="9" max="9" width="75" style="18" customWidth="1"/>
    <col min="10" max="16384" width="9" style="18"/>
  </cols>
  <sheetData>
    <row r="2" spans="1:9" ht="25.2" x14ac:dyDescent="0.4">
      <c r="A2" s="17" t="s">
        <v>84</v>
      </c>
    </row>
    <row r="4" spans="1:9" ht="21.6" thickBot="1" x14ac:dyDescent="0.45">
      <c r="A4" s="19" t="s">
        <v>83</v>
      </c>
      <c r="B4" s="20"/>
      <c r="C4" s="20"/>
      <c r="D4" s="20"/>
      <c r="E4" s="20"/>
      <c r="F4" s="20"/>
      <c r="I4" s="20"/>
    </row>
    <row r="5" spans="1:9" ht="18" thickBot="1" x14ac:dyDescent="0.45">
      <c r="A5" s="21" t="s">
        <v>82</v>
      </c>
      <c r="B5" s="22" t="s">
        <v>81</v>
      </c>
      <c r="C5" s="23" t="s">
        <v>80</v>
      </c>
      <c r="D5" s="23" t="s">
        <v>79</v>
      </c>
      <c r="E5" s="23" t="s">
        <v>78</v>
      </c>
      <c r="F5" s="24" t="s">
        <v>77</v>
      </c>
      <c r="G5" s="25" t="s">
        <v>76</v>
      </c>
      <c r="H5" s="26" t="s">
        <v>75</v>
      </c>
      <c r="I5" s="27" t="s">
        <v>74</v>
      </c>
    </row>
    <row r="6" spans="1:9" x14ac:dyDescent="0.4">
      <c r="A6" s="21">
        <v>1</v>
      </c>
      <c r="B6" s="28" t="s">
        <v>73</v>
      </c>
      <c r="C6" s="28" t="s">
        <v>72</v>
      </c>
      <c r="D6" s="28" t="s">
        <v>71</v>
      </c>
      <c r="E6" s="28" t="s">
        <v>70</v>
      </c>
      <c r="F6" s="28" t="s">
        <v>70</v>
      </c>
      <c r="G6" s="21" t="s">
        <v>69</v>
      </c>
      <c r="H6" s="21">
        <v>2020042401</v>
      </c>
      <c r="I6" s="28"/>
    </row>
    <row r="7" spans="1:9" x14ac:dyDescent="0.4">
      <c r="A7" s="21">
        <v>2</v>
      </c>
      <c r="B7" s="29"/>
      <c r="C7" s="29"/>
      <c r="D7" s="29"/>
      <c r="E7" s="29"/>
      <c r="F7" s="29"/>
      <c r="G7" s="29"/>
      <c r="H7" s="29"/>
      <c r="I7" s="29"/>
    </row>
    <row r="8" spans="1:9" x14ac:dyDescent="0.4">
      <c r="A8" s="21">
        <v>3</v>
      </c>
      <c r="B8" s="29"/>
      <c r="C8" s="29"/>
      <c r="D8" s="29"/>
      <c r="E8" s="29"/>
      <c r="F8" s="29"/>
      <c r="G8" s="29"/>
      <c r="H8" s="29"/>
      <c r="I8" s="29"/>
    </row>
    <row r="9" spans="1:9" x14ac:dyDescent="0.4">
      <c r="A9" s="21">
        <v>4</v>
      </c>
      <c r="B9" s="29"/>
      <c r="C9" s="29"/>
      <c r="D9" s="29"/>
      <c r="E9" s="29"/>
      <c r="F9" s="29"/>
      <c r="G9" s="29"/>
      <c r="H9" s="29"/>
      <c r="I9" s="29"/>
    </row>
    <row r="10" spans="1:9" x14ac:dyDescent="0.4">
      <c r="A10" s="21">
        <v>5</v>
      </c>
      <c r="B10" s="29"/>
      <c r="C10" s="29"/>
      <c r="D10" s="29"/>
      <c r="E10" s="29"/>
      <c r="F10" s="29"/>
      <c r="G10" s="29"/>
      <c r="H10" s="29"/>
      <c r="I10" s="29"/>
    </row>
    <row r="11" spans="1:9" x14ac:dyDescent="0.4">
      <c r="A11" s="21">
        <v>6</v>
      </c>
      <c r="B11" s="29"/>
      <c r="C11" s="29"/>
      <c r="D11" s="29"/>
      <c r="E11" s="29"/>
      <c r="F11" s="29"/>
      <c r="G11" s="29"/>
      <c r="H11" s="29"/>
      <c r="I11" s="29" t="s">
        <v>68</v>
      </c>
    </row>
    <row r="12" spans="1:9" x14ac:dyDescent="0.4">
      <c r="A12" s="21">
        <v>7</v>
      </c>
      <c r="B12" s="29"/>
      <c r="C12" s="29"/>
      <c r="D12" s="29"/>
      <c r="E12" s="29"/>
      <c r="F12" s="29"/>
      <c r="G12" s="29"/>
      <c r="H12" s="29"/>
      <c r="I12" s="29"/>
    </row>
    <row r="13" spans="1:9" x14ac:dyDescent="0.4">
      <c r="A13" s="21">
        <v>8</v>
      </c>
      <c r="B13" s="29"/>
      <c r="C13" s="29"/>
      <c r="D13" s="29"/>
      <c r="E13" s="29"/>
      <c r="F13" s="29"/>
      <c r="G13" s="29"/>
      <c r="H13" s="29"/>
      <c r="I13" s="29"/>
    </row>
    <row r="14" spans="1:9" x14ac:dyDescent="0.4">
      <c r="A14" s="21">
        <v>9</v>
      </c>
      <c r="B14" s="29"/>
      <c r="C14" s="29"/>
      <c r="D14" s="29"/>
      <c r="E14" s="29"/>
      <c r="F14" s="29"/>
      <c r="G14" s="29"/>
      <c r="H14" s="29"/>
      <c r="I14" s="29"/>
    </row>
    <row r="15" spans="1:9" x14ac:dyDescent="0.4">
      <c r="A15" s="21">
        <v>10</v>
      </c>
      <c r="B15" s="29"/>
      <c r="C15" s="29"/>
      <c r="D15" s="29"/>
      <c r="E15" s="29"/>
      <c r="F15" s="29"/>
      <c r="G15" s="29"/>
      <c r="H15" s="29"/>
      <c r="I15" s="29"/>
    </row>
    <row r="16" spans="1:9" x14ac:dyDescent="0.4">
      <c r="A16" s="20"/>
    </row>
    <row r="17" spans="1:1" ht="21" x14ac:dyDescent="0.4">
      <c r="A17" s="30" t="s">
        <v>67</v>
      </c>
    </row>
    <row r="18" spans="1:1" x14ac:dyDescent="0.4">
      <c r="A18" s="18" t="s">
        <v>66</v>
      </c>
    </row>
    <row r="19" spans="1:1" x14ac:dyDescent="0.4">
      <c r="A19" s="18" t="s">
        <v>65</v>
      </c>
    </row>
    <row r="20" spans="1:1" x14ac:dyDescent="0.4">
      <c r="A20" s="18" t="s">
        <v>64</v>
      </c>
    </row>
    <row r="21" spans="1:1" x14ac:dyDescent="0.4">
      <c r="A21" s="18" t="s">
        <v>63</v>
      </c>
    </row>
    <row r="22" spans="1:1" x14ac:dyDescent="0.4">
      <c r="A22" s="18" t="s">
        <v>62</v>
      </c>
    </row>
    <row r="23" spans="1:1" x14ac:dyDescent="0.4">
      <c r="A23" s="18" t="s">
        <v>61</v>
      </c>
    </row>
    <row r="24" spans="1:1" x14ac:dyDescent="0.4">
      <c r="A24" s="18" t="s">
        <v>60</v>
      </c>
    </row>
    <row r="25" spans="1:1" x14ac:dyDescent="0.4">
      <c r="A25" s="18" t="s">
        <v>59</v>
      </c>
    </row>
    <row r="26" spans="1:1" x14ac:dyDescent="0.4">
      <c r="A26" s="18" t="s">
        <v>58</v>
      </c>
    </row>
    <row r="27" spans="1:1" x14ac:dyDescent="0.4">
      <c r="A27" s="18" t="s">
        <v>57</v>
      </c>
    </row>
    <row r="28" spans="1:1" x14ac:dyDescent="0.4">
      <c r="A28" s="18" t="s">
        <v>56</v>
      </c>
    </row>
    <row r="29" spans="1:1" x14ac:dyDescent="0.4">
      <c r="A29" s="18" t="s">
        <v>55</v>
      </c>
    </row>
    <row r="30" spans="1:1" x14ac:dyDescent="0.4">
      <c r="A30" s="18" t="s">
        <v>54</v>
      </c>
    </row>
    <row r="33" spans="1:7" ht="21" x14ac:dyDescent="0.4">
      <c r="A33" s="31" t="s">
        <v>53</v>
      </c>
      <c r="B33" s="32"/>
      <c r="C33" s="32"/>
      <c r="D33" s="32"/>
      <c r="E33" s="32"/>
      <c r="F33" s="32"/>
      <c r="G33" s="32"/>
    </row>
    <row r="34" spans="1:7" ht="19.2" x14ac:dyDescent="0.4">
      <c r="A34" s="33" t="s">
        <v>52</v>
      </c>
      <c r="B34" s="32"/>
      <c r="C34" s="32"/>
      <c r="D34" s="32"/>
      <c r="E34" s="32"/>
      <c r="F34" s="32"/>
      <c r="G34" s="32"/>
    </row>
    <row r="35" spans="1:7" ht="19.2" x14ac:dyDescent="0.4">
      <c r="A35" s="33" t="s">
        <v>51</v>
      </c>
      <c r="B35" s="32"/>
      <c r="C35" s="32"/>
      <c r="D35" s="32"/>
      <c r="E35" s="32"/>
      <c r="F35" s="32"/>
      <c r="G35" s="32"/>
    </row>
    <row r="37" spans="1:7" x14ac:dyDescent="0.4">
      <c r="A37" s="18" t="s">
        <v>50</v>
      </c>
    </row>
    <row r="38" spans="1:7" x14ac:dyDescent="0.4">
      <c r="A38" s="18" t="s">
        <v>49</v>
      </c>
    </row>
    <row r="39" spans="1:7" x14ac:dyDescent="0.4">
      <c r="A39" s="18" t="s">
        <v>48</v>
      </c>
    </row>
    <row r="40" spans="1:7" x14ac:dyDescent="0.4">
      <c r="A40" s="18" t="s">
        <v>47</v>
      </c>
    </row>
    <row r="41" spans="1:7" x14ac:dyDescent="0.4">
      <c r="A41" s="18" t="s">
        <v>46</v>
      </c>
    </row>
    <row r="42" spans="1:7" x14ac:dyDescent="0.4">
      <c r="A42" s="18" t="s">
        <v>45</v>
      </c>
    </row>
    <row r="43" spans="1:7" x14ac:dyDescent="0.4">
      <c r="A43" s="18" t="s">
        <v>44</v>
      </c>
    </row>
    <row r="44" spans="1:7" x14ac:dyDescent="0.4">
      <c r="A44" s="18" t="s">
        <v>43</v>
      </c>
    </row>
    <row r="45" spans="1:7" x14ac:dyDescent="0.4">
      <c r="A45" s="18" t="s">
        <v>42</v>
      </c>
    </row>
  </sheetData>
  <phoneticPr fontId="4"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2B0EC-686A-4621-969F-C6F748062141}">
  <sheetPr>
    <tabColor theme="5"/>
  </sheetPr>
  <dimension ref="A2:W47"/>
  <sheetViews>
    <sheetView zoomScale="85" zoomScaleNormal="85" workbookViewId="0">
      <selection activeCell="R18" sqref="R18"/>
    </sheetView>
  </sheetViews>
  <sheetFormatPr defaultColWidth="9" defaultRowHeight="17.399999999999999" x14ac:dyDescent="0.4"/>
  <cols>
    <col min="1" max="14" width="9" style="5"/>
    <col min="15" max="15" width="9.19921875" style="5" customWidth="1"/>
    <col min="16" max="18" width="11.69921875" style="5" bestFit="1" customWidth="1"/>
    <col min="19" max="19" width="3.09765625" style="5" bestFit="1" customWidth="1"/>
    <col min="20" max="20" width="11.69921875" style="5" bestFit="1" customWidth="1"/>
    <col min="21" max="21" width="7.09765625" style="5" bestFit="1" customWidth="1"/>
    <col min="22" max="22" width="11.59765625" style="5" bestFit="1" customWidth="1"/>
    <col min="23" max="23" width="80.3984375" style="5" bestFit="1" customWidth="1"/>
    <col min="24" max="16384" width="9" style="5"/>
  </cols>
  <sheetData>
    <row r="2" spans="1:1" ht="21" x14ac:dyDescent="0.4">
      <c r="A2" s="16" t="s">
        <v>85</v>
      </c>
    </row>
    <row r="36" spans="15:23" ht="21.6" thickBot="1" x14ac:dyDescent="0.45">
      <c r="O36" s="16" t="s">
        <v>83</v>
      </c>
      <c r="P36" s="6"/>
      <c r="Q36" s="6"/>
      <c r="R36" s="6"/>
      <c r="S36" s="6"/>
      <c r="T36" s="6"/>
      <c r="W36" s="6"/>
    </row>
    <row r="37" spans="15:23" ht="18" thickBot="1" x14ac:dyDescent="0.45">
      <c r="O37" s="8" t="s">
        <v>82</v>
      </c>
      <c r="P37" s="15" t="s">
        <v>81</v>
      </c>
      <c r="Q37" s="14" t="s">
        <v>80</v>
      </c>
      <c r="R37" s="14" t="s">
        <v>79</v>
      </c>
      <c r="S37" s="14" t="s">
        <v>78</v>
      </c>
      <c r="T37" s="13" t="s">
        <v>77</v>
      </c>
      <c r="U37" s="12" t="s">
        <v>76</v>
      </c>
      <c r="V37" s="11" t="s">
        <v>75</v>
      </c>
      <c r="W37" s="10" t="s">
        <v>74</v>
      </c>
    </row>
    <row r="38" spans="15:23" x14ac:dyDescent="0.4">
      <c r="O38" s="8">
        <v>1</v>
      </c>
      <c r="P38" s="9" t="s">
        <v>73</v>
      </c>
      <c r="Q38" s="9" t="s">
        <v>72</v>
      </c>
      <c r="R38" s="9" t="s">
        <v>71</v>
      </c>
      <c r="S38" s="9" t="s">
        <v>70</v>
      </c>
      <c r="T38" s="9" t="s">
        <v>70</v>
      </c>
      <c r="U38" s="8" t="s">
        <v>69</v>
      </c>
      <c r="V38" s="8">
        <v>2020042401</v>
      </c>
      <c r="W38" s="9"/>
    </row>
    <row r="39" spans="15:23" x14ac:dyDescent="0.4">
      <c r="O39" s="8">
        <v>2</v>
      </c>
      <c r="P39" s="7"/>
      <c r="Q39" s="7"/>
      <c r="R39" s="7"/>
      <c r="S39" s="7"/>
      <c r="T39" s="7"/>
      <c r="U39" s="7"/>
      <c r="V39" s="7"/>
      <c r="W39" s="7"/>
    </row>
    <row r="40" spans="15:23" x14ac:dyDescent="0.4">
      <c r="O40" s="8">
        <v>3</v>
      </c>
      <c r="P40" s="7"/>
      <c r="Q40" s="7"/>
      <c r="R40" s="7"/>
      <c r="S40" s="7"/>
      <c r="T40" s="7"/>
      <c r="U40" s="7"/>
      <c r="V40" s="7"/>
      <c r="W40" s="7"/>
    </row>
    <row r="41" spans="15:23" x14ac:dyDescent="0.4">
      <c r="O41" s="8">
        <v>4</v>
      </c>
      <c r="P41" s="7"/>
      <c r="Q41" s="7"/>
      <c r="R41" s="7"/>
      <c r="S41" s="7"/>
      <c r="T41" s="7"/>
      <c r="U41" s="7"/>
      <c r="V41" s="7"/>
      <c r="W41" s="7"/>
    </row>
    <row r="42" spans="15:23" x14ac:dyDescent="0.4">
      <c r="O42" s="8">
        <v>5</v>
      </c>
      <c r="P42" s="7"/>
      <c r="Q42" s="7"/>
      <c r="R42" s="7"/>
      <c r="S42" s="7"/>
      <c r="T42" s="7"/>
      <c r="U42" s="7"/>
      <c r="V42" s="7"/>
      <c r="W42" s="7"/>
    </row>
    <row r="43" spans="15:23" x14ac:dyDescent="0.4">
      <c r="O43" s="8">
        <v>6</v>
      </c>
      <c r="P43" s="7"/>
      <c r="Q43" s="7"/>
      <c r="R43" s="7"/>
      <c r="S43" s="7"/>
      <c r="T43" s="7"/>
      <c r="U43" s="7"/>
      <c r="V43" s="7"/>
      <c r="W43" s="7"/>
    </row>
    <row r="44" spans="15:23" x14ac:dyDescent="0.4">
      <c r="O44" s="8">
        <v>7</v>
      </c>
      <c r="P44" s="7"/>
      <c r="Q44" s="7"/>
      <c r="R44" s="7"/>
      <c r="S44" s="7"/>
      <c r="T44" s="7"/>
      <c r="U44" s="7"/>
      <c r="V44" s="7"/>
      <c r="W44" s="7"/>
    </row>
    <row r="45" spans="15:23" x14ac:dyDescent="0.4">
      <c r="O45" s="8">
        <v>8</v>
      </c>
      <c r="P45" s="7"/>
      <c r="Q45" s="7"/>
      <c r="R45" s="7"/>
      <c r="S45" s="7"/>
      <c r="T45" s="7"/>
      <c r="U45" s="7"/>
      <c r="V45" s="7"/>
      <c r="W45" s="7"/>
    </row>
    <row r="46" spans="15:23" x14ac:dyDescent="0.4">
      <c r="O46" s="8">
        <v>9</v>
      </c>
      <c r="P46" s="7"/>
      <c r="Q46" s="7"/>
      <c r="R46" s="7"/>
      <c r="S46" s="7"/>
      <c r="T46" s="7"/>
      <c r="U46" s="7"/>
      <c r="V46" s="7"/>
      <c r="W46" s="7"/>
    </row>
    <row r="47" spans="15:23" x14ac:dyDescent="0.4">
      <c r="O47" s="8">
        <v>10</v>
      </c>
      <c r="P47" s="7"/>
      <c r="Q47" s="7"/>
      <c r="R47" s="7"/>
      <c r="S47" s="7"/>
      <c r="T47" s="7"/>
      <c r="U47" s="7"/>
      <c r="V47" s="7"/>
      <c r="W47" s="7"/>
    </row>
  </sheetData>
  <phoneticPr fontId="4"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BE190-2CA0-418E-8E67-E00D7B1C783B}">
  <dimension ref="A1"/>
  <sheetViews>
    <sheetView topLeftCell="A10" zoomScale="145" zoomScaleNormal="145" workbookViewId="0">
      <selection activeCell="P24" sqref="P24"/>
    </sheetView>
  </sheetViews>
  <sheetFormatPr defaultRowHeight="17.399999999999999" x14ac:dyDescent="0.4"/>
  <cols>
    <col min="1" max="16384" width="8.796875" style="34"/>
  </cols>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Requirement</vt:lpstr>
      <vt:lpstr>프로그램 리스트</vt:lpstr>
      <vt:lpstr>배정</vt:lpstr>
      <vt:lpstr>거래처 승인 출력물 </vt:lpstr>
      <vt:lpstr>근무조정신청서 출력물 </vt:lpstr>
      <vt:lpstr>근무조정신청서 테이블</vt:lpstr>
      <vt:lpstr>근무조정신청서 확정 후처리</vt:lpstr>
      <vt:lpstr>근태조회 분석</vt:lpstr>
      <vt:lpstr>6. 인사_다중조건검색 화면 구성</vt:lpstr>
      <vt:lpstr>6. 인사_다중조건검색 결화화면 예시</vt:lpstr>
      <vt:lpstr>37. 근무신청서 시작종료시간 표기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명남</dc:creator>
  <cp:lastModifiedBy>김 명남</cp:lastModifiedBy>
  <dcterms:created xsi:type="dcterms:W3CDTF">2015-06-05T18:19:34Z</dcterms:created>
  <dcterms:modified xsi:type="dcterms:W3CDTF">2024-10-10T00:25:41Z</dcterms:modified>
</cp:coreProperties>
</file>