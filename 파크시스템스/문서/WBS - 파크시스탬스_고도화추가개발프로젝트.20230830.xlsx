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0-100shannon\21. SystemEver\IO\"/>
    </mc:Choice>
  </mc:AlternateContent>
  <xr:revisionPtr revIDLastSave="0" documentId="13_ncr:1_{06221334-73D1-40F0-A060-4AAED2774213}" xr6:coauthVersionLast="47" xr6:coauthVersionMax="47" xr10:uidLastSave="{00000000-0000-0000-0000-000000000000}"/>
  <bookViews>
    <workbookView xWindow="-28920" yWindow="-120" windowWidth="29040" windowHeight="15840" tabRatio="590" xr2:uid="{00000000-000D-0000-FFFF-FFFF00000000}"/>
  </bookViews>
  <sheets>
    <sheet name="WBS" sheetId="3" r:id="rId1"/>
    <sheet name="상세 스케줄" sheetId="8" r:id="rId2"/>
  </sheets>
  <definedNames>
    <definedName name="____DD2" localSheetId="1">#REF!</definedName>
    <definedName name="____DD2">#REF!</definedName>
    <definedName name="____SS2" localSheetId="1">#REF!</definedName>
    <definedName name="____SS2">#REF!</definedName>
    <definedName name="__123Graph_A그래프2" localSheetId="1">#REF!</definedName>
    <definedName name="__123Graph_A그래프2">#REF!</definedName>
    <definedName name="__123Graph_B그래프2" localSheetId="1">#REF!</definedName>
    <definedName name="__123Graph_B그래프2">#REF!</definedName>
    <definedName name="__123Graph_X그래프2" localSheetId="1">#REF!</definedName>
    <definedName name="__123Graph_X그래프2">#REF!</definedName>
    <definedName name="__DD2" localSheetId="1">#REF!</definedName>
    <definedName name="__DD2">#REF!</definedName>
    <definedName name="__SS2" localSheetId="1">#REF!</definedName>
    <definedName name="__SS2">#REF!</definedName>
    <definedName name="_DD2" localSheetId="1">#REF!</definedName>
    <definedName name="_DD2">#REF!</definedName>
    <definedName name="_Fill" localSheetId="1">#REF!</definedName>
    <definedName name="_Fill">#REF!</definedName>
    <definedName name="_xlnm._FilterDatabase" localSheetId="1" hidden="1">'상세 스케줄'!$B$5:$H$5</definedName>
    <definedName name="_Key1" localSheetId="1">#REF!</definedName>
    <definedName name="_Key1">#REF!</definedName>
    <definedName name="_Key2" localSheetId="1">#REF!</definedName>
    <definedName name="_Key2">#REF!</definedName>
    <definedName name="_Sort" localSheetId="1">#REF!</definedName>
    <definedName name="_Sort">#REF!</definedName>
    <definedName name="_SS2" localSheetId="1">#REF!</definedName>
    <definedName name="_SS2">#REF!</definedName>
    <definedName name="_Table1_In1" localSheetId="1">#REF!</definedName>
    <definedName name="_Table1_In1">#REF!</definedName>
    <definedName name="ACCT_ID" localSheetId="1">#REF!</definedName>
    <definedName name="ACCT_ID">#REF!</definedName>
    <definedName name="AJHD" localSheetId="1">#REF!</definedName>
    <definedName name="AJHD">#REF!</definedName>
    <definedName name="baseline" localSheetId="1">#REF!</definedName>
    <definedName name="baseline">#REF!</definedName>
    <definedName name="BBB" localSheetId="1">#REF!</definedName>
    <definedName name="BBB">#REF!</definedName>
    <definedName name="BVV" localSheetId="1">#REF!</definedName>
    <definedName name="BVV">#REF!</definedName>
    <definedName name="CASE2" localSheetId="1">#REF!</definedName>
    <definedName name="CASE2">#REF!</definedName>
    <definedName name="CCC" localSheetId="1">#REF!</definedName>
    <definedName name="CCC">#REF!</definedName>
    <definedName name="CSR_STEP" localSheetId="1">#REF!</definedName>
    <definedName name="CSR_STEP">#REF!</definedName>
    <definedName name="CSR단계" localSheetId="1">#REF!</definedName>
    <definedName name="CSR단계">#REF!</definedName>
    <definedName name="ddd" localSheetId="1">#REF!</definedName>
    <definedName name="ddd">#REF!</definedName>
    <definedName name="ddddd" localSheetId="1">#REF!</definedName>
    <definedName name="ddddd">#REF!</definedName>
    <definedName name="DDFRE" localSheetId="1">#REF!</definedName>
    <definedName name="DDFRE">#REF!</definedName>
    <definedName name="DFSWE" localSheetId="1">#REF!</definedName>
    <definedName name="DFSWE">#REF!</definedName>
    <definedName name="DK" localSheetId="1">#REF!</definedName>
    <definedName name="DK">#REF!</definedName>
    <definedName name="dkfj" localSheetId="1">#REF!</definedName>
    <definedName name="dkfj">#REF!</definedName>
    <definedName name="EEE" localSheetId="1">#REF!</definedName>
    <definedName name="EEE">#REF!</definedName>
    <definedName name="ENJA" localSheetId="1">#REF!</definedName>
    <definedName name="ENJA">#REF!</definedName>
    <definedName name="FEFADSF" localSheetId="1">#REF!</definedName>
    <definedName name="FEFADSF">#REF!</definedName>
    <definedName name="FL" localSheetId="1">#REF!</definedName>
    <definedName name="FL">#REF!</definedName>
    <definedName name="FLOW" localSheetId="1">#REF!</definedName>
    <definedName name="FLOW">#REF!</definedName>
    <definedName name="GEMCO" localSheetId="1">#REF!</definedName>
    <definedName name="GEMCO">#REF!</definedName>
    <definedName name="GGG" localSheetId="1">#REF!</definedName>
    <definedName name="GGG">#REF!</definedName>
    <definedName name="GGGTR" localSheetId="1">#REF!</definedName>
    <definedName name="GGGTR">#REF!</definedName>
    <definedName name="GGTREW" localSheetId="1">#REF!</definedName>
    <definedName name="GGTREW">#REF!</definedName>
    <definedName name="GJTL" localSheetId="1">#REF!</definedName>
    <definedName name="GJTL">#REF!</definedName>
    <definedName name="hardwar" localSheetId="1">#REF!</definedName>
    <definedName name="hardwar">#REF!</definedName>
    <definedName name="IIJELLSS" localSheetId="1">#REF!</definedName>
    <definedName name="IIJELLSS">#REF!</definedName>
    <definedName name="JJFORS" localSheetId="1">#REF!</definedName>
    <definedName name="JJFORS">#REF!</definedName>
    <definedName name="JJHSHHA" localSheetId="1">#REF!</definedName>
    <definedName name="JJHSHHA">#REF!</definedName>
    <definedName name="JJJJ" localSheetId="1">#REF!</definedName>
    <definedName name="JJJJ">#REF!</definedName>
    <definedName name="JJSUWE" localSheetId="1">#REF!</definedName>
    <definedName name="JJSUWE">#REF!</definedName>
    <definedName name="JSHS" localSheetId="1">#REF!</definedName>
    <definedName name="JSHS">#REF!</definedName>
    <definedName name="KKA" localSheetId="1">#REF!</definedName>
    <definedName name="KKA">#REF!</definedName>
    <definedName name="KKDAW" localSheetId="1">#REF!</definedName>
    <definedName name="KKDAW">#REF!</definedName>
    <definedName name="KKDIE" localSheetId="1">#REF!</definedName>
    <definedName name="KKDIE">#REF!</definedName>
    <definedName name="KKDUEKS" localSheetId="1">#REF!</definedName>
    <definedName name="KKDUEKS">#REF!</definedName>
    <definedName name="KKISJJD" localSheetId="1">#REF!</definedName>
    <definedName name="KKISJJD">#REF!</definedName>
    <definedName name="KKKD" localSheetId="1">#REF!</definedName>
    <definedName name="KKKD">#REF!</definedName>
    <definedName name="KKKDJJS" localSheetId="1">#REF!</definedName>
    <definedName name="KKKDJJS">#REF!</definedName>
    <definedName name="KKKEEP" localSheetId="1">#REF!</definedName>
    <definedName name="KKKEEP">#REF!</definedName>
    <definedName name="KKKSJS" localSheetId="1">#REF!</definedName>
    <definedName name="KKKSJS">#REF!</definedName>
    <definedName name="KKKSSL" localSheetId="1">#REF!</definedName>
    <definedName name="KKKSSL">#REF!</definedName>
    <definedName name="KKSIIEJD" localSheetId="1">#REF!</definedName>
    <definedName name="KKSIIEJD">#REF!</definedName>
    <definedName name="KKSJJWUJD" localSheetId="1">#REF!</definedName>
    <definedName name="KKSJJWUJD">#REF!</definedName>
    <definedName name="KKSJWEI" localSheetId="1">#REF!</definedName>
    <definedName name="KKSJWEI">#REF!</definedName>
    <definedName name="LAK" localSheetId="1">#REF!</definedName>
    <definedName name="LAK">#REF!</definedName>
    <definedName name="LBJ" localSheetId="1">#REF!</definedName>
    <definedName name="LBJ">#REF!</definedName>
    <definedName name="LL" localSheetId="1">#REF!</definedName>
    <definedName name="LL">#REF!</definedName>
    <definedName name="LLDIEKKS" localSheetId="1">#REF!</definedName>
    <definedName name="LLDIEKKS">#REF!</definedName>
    <definedName name="LLKD" localSheetId="1">#REF!</definedName>
    <definedName name="LLKD">#REF!</definedName>
    <definedName name="LLLS" localSheetId="1">#REF!</definedName>
    <definedName name="LLLS">#REF!</definedName>
    <definedName name="LLLSE" localSheetId="1">#REF!</definedName>
    <definedName name="LLLSE">#REF!</definedName>
    <definedName name="LLSIEKDKD" localSheetId="1">#REF!</definedName>
    <definedName name="LLSIEKDKD">#REF!</definedName>
    <definedName name="LLSKEIE" localSheetId="1">#REF!</definedName>
    <definedName name="LLSKEIE">#REF!</definedName>
    <definedName name="MMM" localSheetId="1">#REF!</definedName>
    <definedName name="MMM">#REF!</definedName>
    <definedName name="MNCT" localSheetId="1">#REF!</definedName>
    <definedName name="MNCT">#REF!</definedName>
    <definedName name="OUTPUT_TYPE" localSheetId="1">#REF!</definedName>
    <definedName name="OUTPUT_TYPE">#REF!</definedName>
    <definedName name="QWS" localSheetId="1">#REF!</definedName>
    <definedName name="QWS">#REF!</definedName>
    <definedName name="REFSDF" localSheetId="1">#REF!</definedName>
    <definedName name="REFSDF">#REF!</definedName>
    <definedName name="SAD" localSheetId="1">#REF!</definedName>
    <definedName name="SAD">#REF!</definedName>
    <definedName name="SDA" localSheetId="1">#REF!</definedName>
    <definedName name="SDA">#REF!</definedName>
    <definedName name="SDAS" localSheetId="1">#REF!</definedName>
    <definedName name="SDAS">#REF!</definedName>
    <definedName name="SDFDFSDSFD" localSheetId="1">#REF!</definedName>
    <definedName name="SDFDFSDSFD">#REF!</definedName>
    <definedName name="SDFDFSFSDAF" localSheetId="1">#REF!</definedName>
    <definedName name="SDFDFSFSDAF">#REF!</definedName>
    <definedName name="SK" localSheetId="1">#REF!</definedName>
    <definedName name="SK">#REF!</definedName>
    <definedName name="SSS" localSheetId="1">#REF!</definedName>
    <definedName name="SSS">#REF!</definedName>
    <definedName name="SSSEE" localSheetId="1">#REF!</definedName>
    <definedName name="SSSEE">#REF!</definedName>
    <definedName name="tol" localSheetId="1">#REF!</definedName>
    <definedName name="tol">#REF!</definedName>
    <definedName name="wrn.DACOM._.광전송장치._.투찰가._.검토." localSheetId="1">#REF!</definedName>
    <definedName name="wrn.DACOM._.광전송장치._.투찰가._.검토.">#REF!</definedName>
    <definedName name="wrn.DDD." localSheetId="1">#REF!</definedName>
    <definedName name="wrn.DDD.">#REF!</definedName>
    <definedName name="wrn.RPT." localSheetId="1">#REF!</definedName>
    <definedName name="wrn.RPT.">#REF!</definedName>
    <definedName name="wrn.부산주경기장." localSheetId="1">#REF!</definedName>
    <definedName name="wrn.부산주경기장.">#REF!</definedName>
    <definedName name="wrn.신용찬." localSheetId="1">#REF!</definedName>
    <definedName name="wrn.신용찬.">#REF!</definedName>
    <definedName name="wrn.주간._.보고." localSheetId="1">#REF!</definedName>
    <definedName name="wrn.주간._.보고.">#REF!</definedName>
    <definedName name="WWW" localSheetId="1">#REF!</definedName>
    <definedName name="WWW">#REF!</definedName>
    <definedName name="YYY" localSheetId="1">#REF!</definedName>
    <definedName name="YYY">#REF!</definedName>
    <definedName name="ZZZ" localSheetId="1">#REF!</definedName>
    <definedName name="ZZZ">#REF!</definedName>
    <definedName name="가나다" localSheetId="1">#REF!</definedName>
    <definedName name="가나다">#REF!</definedName>
    <definedName name="검토유형" localSheetId="1">#REF!</definedName>
    <definedName name="검토유형">#REF!</definedName>
    <definedName name="계측기기" localSheetId="1">#REF!</definedName>
    <definedName name="계측기기">#REF!</definedName>
    <definedName name="공공도서" localSheetId="1">#REF!</definedName>
    <definedName name="공공도서">#REF!</definedName>
    <definedName name="공공도서1" localSheetId="1">#REF!</definedName>
    <definedName name="공공도서1">#REF!</definedName>
    <definedName name="기능그룹" localSheetId="1">#REF!</definedName>
    <definedName name="기능그룹">#REF!</definedName>
    <definedName name="ㄴㄴ" localSheetId="1">#REF!</definedName>
    <definedName name="ㄴㄴ">#REF!</definedName>
    <definedName name="나ㅏㅓㄹ" localSheetId="1">#REF!</definedName>
    <definedName name="나ㅏㅓㄹ">#REF!</definedName>
    <definedName name="남남" localSheetId="1">#REF!</definedName>
    <definedName name="남남">#REF!</definedName>
    <definedName name="내장" localSheetId="1">#REF!</definedName>
    <definedName name="내장">#REF!</definedName>
    <definedName name="노원문화" localSheetId="1">#REF!</definedName>
    <definedName name="노원문화">#REF!</definedName>
    <definedName name="노원문화1" localSheetId="1">#REF!</definedName>
    <definedName name="노원문화1">#REF!</definedName>
    <definedName name="ㄷ" localSheetId="1">#REF!</definedName>
    <definedName name="ㄷ">#REF!</definedName>
    <definedName name="단가조사자료" localSheetId="1">#REF!</definedName>
    <definedName name="단가조사자료">#REF!</definedName>
    <definedName name="대구공항" localSheetId="1">#REF!</definedName>
    <definedName name="대구공항">#REF!</definedName>
    <definedName name="도사" localSheetId="1">#REF!</definedName>
    <definedName name="도사">#REF!</definedName>
    <definedName name="ㄹ" localSheetId="1">#REF!</definedName>
    <definedName name="ㄹ">#REF!</definedName>
    <definedName name="ㄹㄹㄹ" localSheetId="1">#REF!</definedName>
    <definedName name="ㄹㄹㄹ">#REF!</definedName>
    <definedName name="ㄹㄹㅇㄴㄴ" localSheetId="1">#REF!</definedName>
    <definedName name="ㄹㄹㅇㄴㄴ">#REF!</definedName>
    <definedName name="ㄹ로" localSheetId="1">#REF!</definedName>
    <definedName name="ㄹ로">#REF!</definedName>
    <definedName name="ㄹㅇㄴ" localSheetId="1">#REF!</definedName>
    <definedName name="ㄹㅇㄴ">#REF!</definedName>
    <definedName name="ㄹㅇㄶ" localSheetId="1">#REF!</definedName>
    <definedName name="ㄹㅇㄶ">#REF!</definedName>
    <definedName name="라" localSheetId="1">#REF!</definedName>
    <definedName name="라">#REF!</definedName>
    <definedName name="라ㅓㅇ" localSheetId="1">#REF!</definedName>
    <definedName name="라ㅓㅇ">#REF!</definedName>
    <definedName name="ㅁㅅㅅㅁㄱㅈ" localSheetId="1">#REF!</definedName>
    <definedName name="ㅁㅅㅅㅁㄱㅈ">#REF!</definedName>
    <definedName name="물가변동내역서" localSheetId="1">#REF!</definedName>
    <definedName name="물가변동내역서">#REF!</definedName>
    <definedName name="미" localSheetId="1">#REF!</definedName>
    <definedName name="미">#REF!</definedName>
    <definedName name="미승인" localSheetId="1">#REF!</definedName>
    <definedName name="미승인">#REF!</definedName>
    <definedName name="ㅂ" localSheetId="1">#REF!</definedName>
    <definedName name="ㅂ">#REF!</definedName>
    <definedName name="ㅂㅂ" localSheetId="1">#REF!</definedName>
    <definedName name="ㅂㅂ">#REF!</definedName>
    <definedName name="보오링그라우팅" localSheetId="1">#REF!</definedName>
    <definedName name="보오링그라우팅">#REF!</definedName>
    <definedName name="부산주경기장" localSheetId="1">#REF!</definedName>
    <definedName name="부산주경기장">#REF!</definedName>
    <definedName name="분야" localSheetId="1">#REF!</definedName>
    <definedName name="분야">#REF!</definedName>
    <definedName name="분야별" localSheetId="1">#REF!</definedName>
    <definedName name="분야별">#REF!</definedName>
    <definedName name="분야별공사비" localSheetId="1">#REF!</definedName>
    <definedName name="분야별공사비">#REF!</definedName>
    <definedName name="분양별" localSheetId="1">#REF!</definedName>
    <definedName name="분양별">#REF!</definedName>
    <definedName name="ㅅ" localSheetId="1">#REF!</definedName>
    <definedName name="ㅅ">#REF!</definedName>
    <definedName name="산출물종류" localSheetId="1">#REF!</definedName>
    <definedName name="산출물종류">#REF!</definedName>
    <definedName name="산출물종류2" localSheetId="1">#REF!</definedName>
    <definedName name="산출물종류2">#REF!</definedName>
    <definedName name="생산" localSheetId="1">#REF!</definedName>
    <definedName name="생산">#REF!</definedName>
    <definedName name="순공사" localSheetId="1">#REF!</definedName>
    <definedName name="순공사">#REF!</definedName>
    <definedName name="순공사비집" localSheetId="1">#REF!</definedName>
    <definedName name="순공사비집">#REF!</definedName>
    <definedName name="ㅇㄹㅇㄴㄹㅇ" localSheetId="1">#REF!</definedName>
    <definedName name="ㅇㄹㅇㄴㄹㅇ">#REF!</definedName>
    <definedName name="ㅇ라ㅓㅏㅗㄹ" localSheetId="1">#REF!</definedName>
    <definedName name="ㅇ라ㅓㅏㅗㄹ">#REF!</definedName>
    <definedName name="아ㅏㅓ랜" localSheetId="1">#REF!</definedName>
    <definedName name="아ㅏㅓ랜">#REF!</definedName>
    <definedName name="아ㅏㅓㅗㄹ" localSheetId="1">#REF!</definedName>
    <definedName name="아ㅏㅓㅗㄹ">#REF!</definedName>
    <definedName name="어ㅓㅓㅇ" localSheetId="1">#REF!</definedName>
    <definedName name="어ㅓㅓㅇ">#REF!</definedName>
    <definedName name="어ㅘㄴ" localSheetId="1">#REF!</definedName>
    <definedName name="어ㅘㄴ">#REF!</definedName>
    <definedName name="옥" localSheetId="1">#REF!</definedName>
    <definedName name="옥">#REF!</definedName>
    <definedName name="원가계간" localSheetId="1">#REF!</definedName>
    <definedName name="원가계간">#REF!</definedName>
    <definedName name="원가계산19" localSheetId="1">#REF!</definedName>
    <definedName name="원가계산19">#REF!</definedName>
    <definedName name="원각" localSheetId="1">#REF!</definedName>
    <definedName name="원각">#REF!</definedName>
    <definedName name="원기기ㅣㅇ" localSheetId="1">#REF!</definedName>
    <definedName name="원기기ㅣㅇ">#REF!</definedName>
    <definedName name="이법제" localSheetId="1">#REF!</definedName>
    <definedName name="이법제">#REF!</definedName>
    <definedName name="인사급여" localSheetId="1">#REF!</definedName>
    <definedName name="인사급여">#REF!</definedName>
    <definedName name="인천지검" localSheetId="1">#REF!</definedName>
    <definedName name="인천지검">#REF!</definedName>
    <definedName name="제조3" localSheetId="1">#REF!</definedName>
    <definedName name="제조3">#REF!</definedName>
    <definedName name="종합청사" localSheetId="1">#REF!</definedName>
    <definedName name="종합청사">#REF!</definedName>
    <definedName name="지원사이트" localSheetId="1">#REF!</definedName>
    <definedName name="지원사이트">#REF!</definedName>
    <definedName name="직매54P" localSheetId="1">#REF!</definedName>
    <definedName name="직매54P">#REF!</definedName>
    <definedName name="철근자료" localSheetId="1">#REF!</definedName>
    <definedName name="철근자료">#REF!</definedName>
    <definedName name="케이블간지" localSheetId="1">#REF!</definedName>
    <definedName name="케이블간지">#REF!</definedName>
    <definedName name="품질" localSheetId="1">#REF!</definedName>
    <definedName name="품질">#REF!</definedName>
    <definedName name="ㅎㅎㅎㅇ" localSheetId="1">#REF!</definedName>
    <definedName name="ㅎㅎㅎㅇ">#REF!</definedName>
    <definedName name="하도사" localSheetId="1">#REF!</definedName>
    <definedName name="하도사">#REF!</definedName>
    <definedName name="하동사" localSheetId="1">#REF!</definedName>
    <definedName name="하동사">#REF!</definedName>
    <definedName name="하수도2" localSheetId="1">#REF!</definedName>
    <definedName name="하수도2">#REF!</definedName>
    <definedName name="ㅏㅏㅏ" localSheetId="1">#REF!</definedName>
    <definedName name="ㅏㅏㅏ">#REF!</definedName>
    <definedName name="ㅏㅏㅏ갸" localSheetId="1">#REF!</definedName>
    <definedName name="ㅏㅏㅏ갸">#REF!</definedName>
    <definedName name="ㅏㅏㅏ데" localSheetId="1">#REF!</definedName>
    <definedName name="ㅏㅏㅏ데">#REF!</definedName>
    <definedName name="ㅏㅏㅣ" localSheetId="1">#REF!</definedName>
    <definedName name="ㅏㅏㅣ">#REF!</definedName>
    <definedName name="ㅓ난" localSheetId="1">#REF!</definedName>
    <definedName name="ㅓ난">#REF!</definedName>
    <definedName name="ㅓㄹ" localSheetId="1">#REF!</definedName>
    <definedName name="ㅓㄹ">#REF!</definedName>
    <definedName name="ㅓㅓ" localSheetId="1">#REF!</definedName>
    <definedName name="ㅓㅓ">#REF!</definedName>
    <definedName name="ㅓㅓㄹ" localSheetId="1">#REF!</definedName>
    <definedName name="ㅓㅓㄹ">#REF!</definedName>
    <definedName name="ㅓㅓㅏ니ㅣㅇ" localSheetId="1">#REF!</definedName>
    <definedName name="ㅓㅓㅏ니ㅣㅇ">#REF!</definedName>
    <definedName name="ㅓㅓㅓㄴ" localSheetId="1">#REF!</definedName>
    <definedName name="ㅓㅓㅓㄴ">#REF!</definedName>
    <definedName name="ㅓㅗㅎ" localSheetId="1">#REF!</definedName>
    <definedName name="ㅓㅗㅎ">#REF!</definedName>
    <definedName name="ㅗ" localSheetId="1">#REF!</definedName>
    <definedName name="ㅗ">#REF!</definedName>
    <definedName name="ㅗ마ㅓ리" localSheetId="1">#REF!</definedName>
    <definedName name="ㅗ마ㅓ리">#REF!</definedName>
    <definedName name="ㅗㅎ" localSheetId="1">#REF!</definedName>
    <definedName name="ㅗㅎ">#REF!</definedName>
    <definedName name="ㅗㅗㅗ" localSheetId="1">#REF!</definedName>
    <definedName name="ㅗㅗㅗ">#REF!</definedName>
    <definedName name="ㅣㅏ아ㅓㄴ" localSheetId="1">#REF!</definedName>
    <definedName name="ㅣㅏ아ㅓㄴ">#REF!</definedName>
    <definedName name="ㅣㅣㅣ" localSheetId="1">#REF!</definedName>
    <definedName name="ㅣㅣㅣ">#REF!</definedName>
    <definedName name="ㅣㅣㅣ노원문화" localSheetId="1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B3" i="3" l="1"/>
  <c r="H7" i="3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4" authorId="0" shapeId="0" xr:uid="{054D22B9-331E-4801-B8FC-288051666FE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<sst xmlns="http://schemas.openxmlformats.org/spreadsheetml/2006/main" count="131" uniqueCount="69">
  <si>
    <t>Project WBS</t>
  </si>
  <si>
    <t>Enter Project Range</t>
  </si>
  <si>
    <t>Start Date</t>
  </si>
  <si>
    <t>End Date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</si>
  <si>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</si>
  <si>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</si>
  <si>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</si>
  <si>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</si>
  <si>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</si>
  <si>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</si>
  <si>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</si>
  <si>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</si>
  <si>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</si>
  <si>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</si>
  <si>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</si>
  <si>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</si>
  <si>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</si>
  <si>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</si>
  <si>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</si>
  <si>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</si>
  <si>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◎ ERP QR코드 도입 상세 마스터 스케줄</t>
    <phoneticPr fontId="15" type="noConversion"/>
  </si>
  <si>
    <t>No</t>
    <phoneticPr fontId="15" type="noConversion"/>
  </si>
  <si>
    <t>업무 구분</t>
    <phoneticPr fontId="13" type="noConversion"/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</si>
  <si>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</si>
  <si>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</si>
  <si>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</si>
  <si>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</si>
  <si>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10월</t>
    <phoneticPr fontId="13" type="noConversion"/>
  </si>
  <si>
    <t>11월</t>
    <phoneticPr fontId="13" type="noConversion"/>
  </si>
  <si>
    <t>12월</t>
    <phoneticPr fontId="13" type="noConversion"/>
  </si>
  <si>
    <t>01월</t>
    <phoneticPr fontId="13" type="noConversion"/>
  </si>
  <si>
    <t>02월</t>
    <phoneticPr fontId="13" type="noConversion"/>
  </si>
  <si>
    <t>03월</t>
    <phoneticPr fontId="13" type="noConversion"/>
  </si>
  <si>
    <t>04월</t>
    <phoneticPr fontId="13" type="noConversion"/>
  </si>
  <si>
    <t>시작</t>
    <phoneticPr fontId="15" type="noConversion"/>
  </si>
  <si>
    <t>종료</t>
    <phoneticPr fontId="15" type="noConversion"/>
  </si>
  <si>
    <t>1일~15일</t>
    <phoneticPr fontId="13" type="noConversion"/>
  </si>
  <si>
    <t>16일~30일</t>
    <phoneticPr fontId="13" type="noConversion"/>
  </si>
  <si>
    <t>16일~31일</t>
    <phoneticPr fontId="13" type="noConversion"/>
  </si>
  <si>
    <t>화면 설계 및 Spec 작성</t>
    <phoneticPr fontId="13" type="noConversion"/>
  </si>
  <si>
    <t>화면 설계 및 Spec 작성 (1차)</t>
    <phoneticPr fontId="13" type="noConversion"/>
  </si>
  <si>
    <t>계획</t>
  </si>
  <si>
    <t>실행</t>
  </si>
  <si>
    <t>화면 설계 및 Spec 작성 (2차)</t>
    <phoneticPr fontId="13" type="noConversion"/>
  </si>
  <si>
    <t>ERP 개발</t>
    <phoneticPr fontId="13" type="noConversion"/>
  </si>
  <si>
    <t>예산과목별실적상세조회(집계)_park</t>
    <phoneticPr fontId="13" type="noConversion"/>
  </si>
  <si>
    <t>외화평가</t>
    <phoneticPr fontId="15" type="noConversion"/>
  </si>
  <si>
    <t>손익계산서(코스트센터별)</t>
    <phoneticPr fontId="15" type="noConversion"/>
  </si>
  <si>
    <t>전자세금계산서(정발행)</t>
    <phoneticPr fontId="15" type="noConversion"/>
  </si>
  <si>
    <t>법인카드사용내역 회계전표생성</t>
    <phoneticPr fontId="15" type="noConversion"/>
  </si>
  <si>
    <t>월별재무상태표</t>
    <phoneticPr fontId="15" type="noConversion"/>
  </si>
  <si>
    <t>수출매출처리</t>
    <phoneticPr fontId="15" type="noConversion"/>
  </si>
  <si>
    <t xml:space="preserve">거래처등록 </t>
    <phoneticPr fontId="15" type="noConversion"/>
  </si>
  <si>
    <t>기타출고품목조회</t>
    <phoneticPr fontId="15" type="noConversion"/>
  </si>
  <si>
    <t>기타출고입력</t>
    <phoneticPr fontId="15" type="noConversion"/>
  </si>
  <si>
    <t>수출신고필증</t>
    <phoneticPr fontId="15" type="noConversion"/>
  </si>
  <si>
    <t>임직원다중검색</t>
    <phoneticPr fontId="15" type="noConversion"/>
  </si>
  <si>
    <t>근무신청서</t>
    <phoneticPr fontId="15" type="noConversion"/>
  </si>
  <si>
    <t>근태신청조회</t>
    <phoneticPr fontId="15" type="noConversion"/>
  </si>
  <si>
    <t>휴일근무신청</t>
    <phoneticPr fontId="15" type="noConversion"/>
  </si>
  <si>
    <t>근무시간조정신청</t>
    <phoneticPr fontId="15" type="noConversion"/>
  </si>
  <si>
    <t>근무내역현황_park</t>
    <phoneticPr fontId="15" type="noConversion"/>
  </si>
  <si>
    <t>테스트 및 수정 보완</t>
    <phoneticPr fontId="13" type="noConversion"/>
  </si>
  <si>
    <t>단위 테스트/수정보완</t>
    <phoneticPr fontId="13" type="noConversion"/>
  </si>
  <si>
    <t>사용자 교육</t>
    <phoneticPr fontId="13" type="noConversion"/>
  </si>
  <si>
    <t>통합 테스트/수정보완</t>
    <phoneticPr fontId="13" type="noConversion"/>
  </si>
  <si>
    <t>산출물 정리 및 인계</t>
    <phoneticPr fontId="13" type="noConversion"/>
  </si>
  <si>
    <t>프로젝트 종료 보고</t>
    <phoneticPr fontId="13" type="noConversion"/>
  </si>
  <si>
    <t>■ 2023. 8.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</si>
</sst>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yyyy\-mm\-dd"/>
    <numFmt numFmtId="166" formatCode="yyyy/mm/dd\(aaa\)"/>
    <numFmt numFmtId="167" formatCode="0&quot;%&quot;"/>
  </numFmts>
  <fonts count="28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4">
      <alignment vertical="center"/>
    </xf>
    <xf numFmtId="0" fontId="27" fillId="0" borderId="4"/>
  </cellStyleXfs>
  <cellXfs count="99"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/>
    </xf>
    <xf numFmtId="165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20" fillId="7" borderId="14" xfId="1" applyNumberFormat="1" applyFont="1" applyFill="1" applyBorder="1" applyAlignment="1">
      <alignment horizontal="center" vertical="center"/>
    </xf>
    <xf numFmtId="14" fontId="19" fillId="0" borderId="14" xfId="1" applyNumberFormat="1" applyFont="1" applyBorder="1" applyAlignment="1">
      <alignment horizontal="center" vertical="center"/>
    </xf>
    <xf numFmtId="0" fontId="22" fillId="0" borderId="4" xfId="1" applyFont="1" applyAlignment="1">
      <alignment horizontal="center" vertical="center"/>
    </xf>
    <xf numFmtId="14" fontId="23" fillId="8" borderId="14" xfId="1" applyNumberFormat="1" applyFont="1" applyFill="1" applyBorder="1" applyAlignment="1">
      <alignment horizontal="center" vertical="center"/>
    </xf>
    <xf numFmtId="14" fontId="20" fillId="0" borderId="14" xfId="1" applyNumberFormat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6" fillId="0" borderId="4" xfId="1" applyFont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4" fontId="5" fillId="3" borderId="11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 wrapText="1"/>
    </xf>
    <xf numFmtId="166" fontId="3" fillId="3" borderId="11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9" fillId="5" borderId="14" xfId="1" applyFont="1" applyFill="1" applyBorder="1" applyAlignment="1">
      <alignment horizontal="center" vertical="center"/>
    </xf>
    <xf numFmtId="0" fontId="19" fillId="5" borderId="15" xfId="1" applyFont="1" applyFill="1" applyBorder="1" applyAlignment="1">
      <alignment horizontal="center" vertical="center" wrapText="1"/>
    </xf>
    <xf numFmtId="0" fontId="19" fillId="5" borderId="15" xfId="1" applyFont="1" applyFill="1" applyBorder="1" applyAlignment="1">
      <alignment horizontal="center" vertical="center"/>
    </xf>
    <xf numFmtId="0" fontId="19" fillId="6" borderId="14" xfId="1" applyFont="1" applyFill="1" applyBorder="1" applyAlignment="1">
      <alignment horizontal="center"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center" vertical="center" wrapText="1"/>
    </xf>
    <xf numFmtId="0" fontId="19" fillId="9" borderId="15" xfId="1" applyFont="1" applyFill="1" applyBorder="1" applyAlignment="1">
      <alignment horizontal="center" vertical="center" wrapText="1"/>
    </xf>
    <xf numFmtId="0" fontId="19" fillId="9" borderId="16" xfId="1" applyFont="1" applyFill="1" applyBorder="1" applyAlignment="1">
      <alignment horizontal="center" vertical="center" wrapText="1"/>
    </xf>
    <xf numFmtId="167" fontId="19" fillId="0" borderId="15" xfId="1" applyNumberFormat="1" applyFont="1" applyBorder="1" applyAlignment="1">
      <alignment horizontal="center" vertical="center"/>
    </xf>
    <xf numFmtId="167" fontId="19" fillId="0" borderId="16" xfId="1" applyNumberFormat="1" applyFont="1" applyBorder="1" applyAlignment="1">
      <alignment horizontal="center" vertical="center"/>
    </xf>
    <xf numFmtId="0" fontId="19" fillId="10" borderId="17" xfId="1" applyFont="1" applyFill="1" applyBorder="1" applyAlignment="1">
      <alignment horizontal="center" vertical="center" wrapText="1"/>
    </xf>
    <xf numFmtId="167" fontId="19" fillId="7" borderId="15" xfId="1" applyNumberFormat="1" applyFont="1" applyFill="1" applyBorder="1" applyAlignment="1">
      <alignment horizontal="center" vertical="center"/>
    </xf>
    <xf numFmtId="167" fontId="19" fillId="7" borderId="16" xfId="1" applyNumberFormat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9" fillId="9" borderId="19" xfId="1" applyFont="1" applyFill="1" applyBorder="1" applyAlignment="1">
      <alignment horizontal="center" vertical="center" wrapText="1"/>
    </xf>
    <xf numFmtId="167" fontId="19" fillId="7" borderId="19" xfId="1" applyNumberFormat="1" applyFont="1" applyFill="1" applyBorder="1" applyAlignment="1">
      <alignment horizontal="center" vertical="center"/>
    </xf>
    <xf numFmtId="14" fontId="20" fillId="7" borderId="20" xfId="1" applyNumberFormat="1" applyFont="1" applyFill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19" fillId="9" borderId="26" xfId="1" applyFont="1" applyFill="1" applyBorder="1" applyAlignment="1">
      <alignment horizontal="center" vertical="center" wrapText="1"/>
    </xf>
    <xf numFmtId="167" fontId="19" fillId="0" borderId="26" xfId="1" applyNumberFormat="1" applyFont="1" applyBorder="1" applyAlignment="1">
      <alignment horizontal="center" vertical="center"/>
    </xf>
    <xf numFmtId="14" fontId="23" fillId="8" borderId="27" xfId="1" applyNumberFormat="1" applyFont="1" applyFill="1" applyBorder="1" applyAlignment="1">
      <alignment horizontal="center" vertical="center"/>
    </xf>
    <xf numFmtId="0" fontId="19" fillId="10" borderId="19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center" vertical="center" wrapText="1"/>
    </xf>
    <xf numFmtId="167" fontId="19" fillId="0" borderId="19" xfId="1" applyNumberFormat="1" applyFont="1" applyBorder="1" applyAlignment="1">
      <alignment horizontal="center" vertical="center"/>
    </xf>
    <xf numFmtId="14" fontId="20" fillId="0" borderId="20" xfId="1" applyNumberFormat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9" fillId="10" borderId="26" xfId="1" applyFont="1" applyFill="1" applyBorder="1" applyAlignment="1">
      <alignment horizontal="center" vertical="center" wrapText="1"/>
    </xf>
    <xf numFmtId="0" fontId="19" fillId="10" borderId="27" xfId="1" applyFont="1" applyFill="1" applyBorder="1" applyAlignment="1">
      <alignment horizontal="center" vertical="center" wrapText="1"/>
    </xf>
    <xf numFmtId="0" fontId="19" fillId="5" borderId="17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 wrapText="1"/>
    </xf>
    <xf numFmtId="0" fontId="19" fillId="6" borderId="19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center" vertical="center" wrapText="1"/>
    </xf>
    <xf numFmtId="0" fontId="19" fillId="6" borderId="26" xfId="1" applyFont="1" applyFill="1" applyBorder="1" applyAlignment="1">
      <alignment horizontal="center" vertical="center" wrapText="1"/>
    </xf>
    <xf numFmtId="0" fontId="19" fillId="6" borderId="27" xfId="1" applyFont="1" applyFill="1" applyBorder="1" applyAlignment="1">
      <alignment horizontal="center" vertical="center" wrapText="1"/>
    </xf>
    <xf numFmtId="0" fontId="22" fillId="11" borderId="14" xfId="1" applyFont="1" applyFill="1" applyBorder="1" applyAlignment="1">
      <alignment horizontal="center" vertical="center"/>
    </xf>
    <xf numFmtId="0" fontId="22" fillId="11" borderId="23" xfId="1" applyFont="1" applyFill="1" applyBorder="1" applyAlignment="1">
      <alignment horizontal="center" vertical="center"/>
    </xf>
    <xf numFmtId="0" fontId="21" fillId="12" borderId="14" xfId="1" applyFont="1" applyFill="1" applyBorder="1" applyAlignment="1">
      <alignment horizontal="center" vertical="center"/>
    </xf>
    <xf numFmtId="0" fontId="21" fillId="12" borderId="15" xfId="1" applyFont="1" applyFill="1" applyBorder="1" applyAlignment="1">
      <alignment horizontal="center" vertical="center"/>
    </xf>
  </cellXfs>
  <cellStyles count="3">
    <cellStyle name="Normal" xfId="0" builtinId="0"/>
    <cellStyle name="표준 10" xfId="2" xr:uid="{DC17DF4B-A97F-4E46-B8F2-8DA03DB4070A}"/>
    <cellStyle name="표준 2" xfId="1" xr:uid="{7C637B8C-2B17-4ADF-ACDD-26C842114030}"/>
  </cellStyles>
  <dxfs count="27"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254424</xdr:colOff>
      <xdr:row>5</xdr:row>
      <xdr:rowOff>48305</xdr:rowOff>
    </xdr:from>
    <xdr:to>
      <xdr:col>8</xdr:col>
      <xdr:colOff>680709</xdr:colOff>
      <xdr:row>5</xdr:row>
      <xdr:rowOff>253365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8829977-A559-4803-AFFC-4C30F3868DA7}"/>
            </a:ext>
          </a:extLst>
        </xdr:cNvPr>
        <xdr:cNvSpPr/>
      </xdr:nvSpPr>
      <xdr:spPr>
        <a:xfrm>
          <a:off x="7070091" y="1477055"/>
          <a:ext cx="426285" cy="20506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583565</xdr:colOff>
      <xdr:row>7</xdr:row>
      <xdr:rowOff>64604</xdr:rowOff>
    </xdr:from>
    <xdr:to>
      <xdr:col>9</xdr:col>
      <xdr:colOff>204894</xdr:colOff>
      <xdr:row>7</xdr:row>
      <xdr:rowOff>260774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BEF509BC-8146-4902-B3EF-C15862402742}"/>
            </a:ext>
          </a:extLst>
        </xdr:cNvPr>
        <xdr:cNvSpPr/>
      </xdr:nvSpPr>
      <xdr:spPr>
        <a:xfrm>
          <a:off x="7399232" y="2043687"/>
          <a:ext cx="531495" cy="19617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487469</xdr:colOff>
      <xdr:row>27</xdr:row>
      <xdr:rowOff>10583</xdr:rowOff>
    </xdr:from>
    <xdr:to>
      <xdr:col>14</xdr:col>
      <xdr:colOff>839471</xdr:colOff>
      <xdr:row>27</xdr:row>
      <xdr:rowOff>241724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A1D09A30-EC5F-42D7-929B-6E6A7FEE33A7}"/>
            </a:ext>
          </a:extLst>
        </xdr:cNvPr>
        <xdr:cNvSpPr/>
      </xdr:nvSpPr>
      <xdr:spPr>
        <a:xfrm>
          <a:off x="10679219" y="7493000"/>
          <a:ext cx="352002" cy="2311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876299</xdr:colOff>
      <xdr:row>49</xdr:row>
      <xdr:rowOff>38100</xdr:rowOff>
    </xdr:from>
    <xdr:to>
      <xdr:col>13</xdr:col>
      <xdr:colOff>984299</xdr:colOff>
      <xdr:row>49</xdr:row>
      <xdr:rowOff>257175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C8118F9-0AD3-4967-9BED-BFB54D7BF859}"/>
            </a:ext>
          </a:extLst>
        </xdr:cNvPr>
        <xdr:cNvSpPr/>
      </xdr:nvSpPr>
      <xdr:spPr>
        <a:xfrm>
          <a:off x="11153774" y="9486900"/>
          <a:ext cx="10800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904875</xdr:colOff>
      <xdr:row>51</xdr:row>
      <xdr:rowOff>28575</xdr:rowOff>
    </xdr:from>
    <xdr:to>
      <xdr:col>13</xdr:col>
      <xdr:colOff>1012875</xdr:colOff>
      <xdr:row>51</xdr:row>
      <xdr:rowOff>247650</xdr:rowOff>
    </xdr:to>
    <xdr:sp macro="" textlink="">
      <xdr:nvSpPr>
        <xdr:cNvPr id="11" name="화살표: 오른쪽 10">
          <a:extLst>
            <a:ext uri="{FF2B5EF4-FFF2-40B4-BE49-F238E27FC236}">
              <a16:creationId xmlns:a16="http://schemas.microsoft.com/office/drawing/2014/main" id="{7517F632-A784-4B60-A2F8-9D79DB382DE2}"/>
            </a:ext>
          </a:extLst>
        </xdr:cNvPr>
        <xdr:cNvSpPr/>
      </xdr:nvSpPr>
      <xdr:spPr>
        <a:xfrm>
          <a:off x="11182350" y="10029825"/>
          <a:ext cx="10800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808143</xdr:colOff>
      <xdr:row>28</xdr:row>
      <xdr:rowOff>243417</xdr:rowOff>
    </xdr:from>
    <xdr:to>
      <xdr:col>15</xdr:col>
      <xdr:colOff>513926</xdr:colOff>
      <xdr:row>29</xdr:row>
      <xdr:rowOff>249134</xdr:rowOff>
    </xdr:to>
    <xdr:sp macro="" textlink="">
      <xdr:nvSpPr>
        <xdr:cNvPr id="12" name="화살표: 오른쪽 11">
          <a:extLst>
            <a:ext uri="{FF2B5EF4-FFF2-40B4-BE49-F238E27FC236}">
              <a16:creationId xmlns:a16="http://schemas.microsoft.com/office/drawing/2014/main" id="{95AFB837-DA07-4591-9812-141527A46B67}"/>
            </a:ext>
          </a:extLst>
        </xdr:cNvPr>
        <xdr:cNvSpPr/>
      </xdr:nvSpPr>
      <xdr:spPr>
        <a:xfrm>
          <a:off x="10999893" y="8001000"/>
          <a:ext cx="615950" cy="2808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514775</xdr:colOff>
      <xdr:row>31</xdr:row>
      <xdr:rowOff>34291</xdr:rowOff>
    </xdr:from>
    <xdr:to>
      <xdr:col>16</xdr:col>
      <xdr:colOff>10585</xdr:colOff>
      <xdr:row>31</xdr:row>
      <xdr:rowOff>254001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6B3B0A62-045D-4F37-B81D-B51AF26C40CA}"/>
            </a:ext>
          </a:extLst>
        </xdr:cNvPr>
        <xdr:cNvSpPr/>
      </xdr:nvSpPr>
      <xdr:spPr>
        <a:xfrm>
          <a:off x="11616692" y="8617374"/>
          <a:ext cx="405976" cy="2197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10584</xdr:colOff>
      <xdr:row>32</xdr:row>
      <xdr:rowOff>274744</xdr:rowOff>
    </xdr:from>
    <xdr:to>
      <xdr:col>16</xdr:col>
      <xdr:colOff>391584</xdr:colOff>
      <xdr:row>33</xdr:row>
      <xdr:rowOff>232833</xdr:rowOff>
    </xdr:to>
    <xdr:sp macro="" textlink="">
      <xdr:nvSpPr>
        <xdr:cNvPr id="14" name="화살표: 오른쪽 13">
          <a:extLst>
            <a:ext uri="{FF2B5EF4-FFF2-40B4-BE49-F238E27FC236}">
              <a16:creationId xmlns:a16="http://schemas.microsoft.com/office/drawing/2014/main" id="{BBCB4069-B101-4AC7-8390-03469401387A}"/>
            </a:ext>
          </a:extLst>
        </xdr:cNvPr>
        <xdr:cNvSpPr/>
      </xdr:nvSpPr>
      <xdr:spPr>
        <a:xfrm>
          <a:off x="12022667" y="9132994"/>
          <a:ext cx="381000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440690</xdr:colOff>
      <xdr:row>35</xdr:row>
      <xdr:rowOff>19685</xdr:rowOff>
    </xdr:from>
    <xdr:to>
      <xdr:col>17</xdr:col>
      <xdr:colOff>190500</xdr:colOff>
      <xdr:row>35</xdr:row>
      <xdr:rowOff>243417</xdr:rowOff>
    </xdr:to>
    <xdr:sp macro="" textlink="">
      <xdr:nvSpPr>
        <xdr:cNvPr id="15" name="화살표: 오른쪽 14">
          <a:extLst>
            <a:ext uri="{FF2B5EF4-FFF2-40B4-BE49-F238E27FC236}">
              <a16:creationId xmlns:a16="http://schemas.microsoft.com/office/drawing/2014/main" id="{77DC0E4E-1FBF-4132-9B93-6BB3CFE12315}"/>
            </a:ext>
          </a:extLst>
        </xdr:cNvPr>
        <xdr:cNvSpPr/>
      </xdr:nvSpPr>
      <xdr:spPr>
        <a:xfrm>
          <a:off x="12452773" y="9703435"/>
          <a:ext cx="659977" cy="2237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208070</xdr:colOff>
      <xdr:row>37</xdr:row>
      <xdr:rowOff>36195</xdr:rowOff>
    </xdr:from>
    <xdr:to>
      <xdr:col>17</xdr:col>
      <xdr:colOff>606215</xdr:colOff>
      <xdr:row>37</xdr:row>
      <xdr:rowOff>253365</xdr:rowOff>
    </xdr:to>
    <xdr:sp macro="" textlink="">
      <xdr:nvSpPr>
        <xdr:cNvPr id="16" name="화살표: 오른쪽 15">
          <a:extLst>
            <a:ext uri="{FF2B5EF4-FFF2-40B4-BE49-F238E27FC236}">
              <a16:creationId xmlns:a16="http://schemas.microsoft.com/office/drawing/2014/main" id="{CE394EAC-E6EE-408A-B9A4-F8D79B8ED973}"/>
            </a:ext>
          </a:extLst>
        </xdr:cNvPr>
        <xdr:cNvSpPr/>
      </xdr:nvSpPr>
      <xdr:spPr>
        <a:xfrm>
          <a:off x="13130320" y="10270278"/>
          <a:ext cx="398145" cy="2171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587588</xdr:colOff>
      <xdr:row>39</xdr:row>
      <xdr:rowOff>21801</xdr:rowOff>
    </xdr:from>
    <xdr:to>
      <xdr:col>18</xdr:col>
      <xdr:colOff>338667</xdr:colOff>
      <xdr:row>39</xdr:row>
      <xdr:rowOff>264582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7291D940-182B-4443-BB8F-FB7018C053AD}"/>
            </a:ext>
          </a:extLst>
        </xdr:cNvPr>
        <xdr:cNvSpPr/>
      </xdr:nvSpPr>
      <xdr:spPr>
        <a:xfrm>
          <a:off x="13509838" y="10806218"/>
          <a:ext cx="661246" cy="24278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322792</xdr:colOff>
      <xdr:row>41</xdr:row>
      <xdr:rowOff>27517</xdr:rowOff>
    </xdr:from>
    <xdr:to>
      <xdr:col>19</xdr:col>
      <xdr:colOff>0</xdr:colOff>
      <xdr:row>41</xdr:row>
      <xdr:rowOff>260773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EB49F6E4-E347-48B1-856B-B4948F1BDAFF}"/>
            </a:ext>
          </a:extLst>
        </xdr:cNvPr>
        <xdr:cNvSpPr/>
      </xdr:nvSpPr>
      <xdr:spPr>
        <a:xfrm>
          <a:off x="16240125" y="11362267"/>
          <a:ext cx="587375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400684</xdr:colOff>
      <xdr:row>9</xdr:row>
      <xdr:rowOff>21166</xdr:rowOff>
    </xdr:from>
    <xdr:to>
      <xdr:col>9</xdr:col>
      <xdr:colOff>698500</xdr:colOff>
      <xdr:row>9</xdr:row>
      <xdr:rowOff>254000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60CDA128-15D8-412C-A0C6-E2735C9F74F0}"/>
            </a:ext>
          </a:extLst>
        </xdr:cNvPr>
        <xdr:cNvSpPr/>
      </xdr:nvSpPr>
      <xdr:spPr>
        <a:xfrm>
          <a:off x="8126517" y="2550583"/>
          <a:ext cx="297816" cy="2328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667813</xdr:colOff>
      <xdr:row>11</xdr:row>
      <xdr:rowOff>17420</xdr:rowOff>
    </xdr:from>
    <xdr:to>
      <xdr:col>10</xdr:col>
      <xdr:colOff>455083</xdr:colOff>
      <xdr:row>11</xdr:row>
      <xdr:rowOff>254000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A5CEC4EA-D7CA-4CBB-B775-D7B30993A462}"/>
            </a:ext>
          </a:extLst>
        </xdr:cNvPr>
        <xdr:cNvSpPr/>
      </xdr:nvSpPr>
      <xdr:spPr>
        <a:xfrm>
          <a:off x="8393646" y="3097170"/>
          <a:ext cx="697437" cy="2365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568537</xdr:colOff>
      <xdr:row>13</xdr:row>
      <xdr:rowOff>38523</xdr:rowOff>
    </xdr:from>
    <xdr:to>
      <xdr:col>11</xdr:col>
      <xdr:colOff>112606</xdr:colOff>
      <xdr:row>13</xdr:row>
      <xdr:rowOff>260773</xdr:rowOff>
    </xdr:to>
    <xdr:sp macro="" textlink="">
      <xdr:nvSpPr>
        <xdr:cNvPr id="20" name="화살표: 오른쪽 19">
          <a:extLst>
            <a:ext uri="{FF2B5EF4-FFF2-40B4-BE49-F238E27FC236}">
              <a16:creationId xmlns:a16="http://schemas.microsoft.com/office/drawing/2014/main" id="{0C367975-687C-4E65-92B8-5986F3752EB8}"/>
            </a:ext>
          </a:extLst>
        </xdr:cNvPr>
        <xdr:cNvSpPr/>
      </xdr:nvSpPr>
      <xdr:spPr>
        <a:xfrm>
          <a:off x="9204537" y="3668606"/>
          <a:ext cx="454236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52916</xdr:colOff>
      <xdr:row>14</xdr:row>
      <xdr:rowOff>264584</xdr:rowOff>
    </xdr:from>
    <xdr:to>
      <xdr:col>11</xdr:col>
      <xdr:colOff>438784</xdr:colOff>
      <xdr:row>15</xdr:row>
      <xdr:rowOff>254000</xdr:rowOff>
    </xdr:to>
    <xdr:sp macro="" textlink="">
      <xdr:nvSpPr>
        <xdr:cNvPr id="21" name="화살표: 오른쪽 20">
          <a:extLst>
            <a:ext uri="{FF2B5EF4-FFF2-40B4-BE49-F238E27FC236}">
              <a16:creationId xmlns:a16="http://schemas.microsoft.com/office/drawing/2014/main" id="{A0F2F798-24EC-4082-8A4C-F81833782797}"/>
            </a:ext>
          </a:extLst>
        </xdr:cNvPr>
        <xdr:cNvSpPr/>
      </xdr:nvSpPr>
      <xdr:spPr>
        <a:xfrm>
          <a:off x="9599083" y="4169834"/>
          <a:ext cx="385868" cy="264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469476</xdr:colOff>
      <xdr:row>17</xdr:row>
      <xdr:rowOff>15089</xdr:rowOff>
    </xdr:from>
    <xdr:to>
      <xdr:col>12</xdr:col>
      <xdr:colOff>15452</xdr:colOff>
      <xdr:row>18</xdr:row>
      <xdr:rowOff>26882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B4745676-758D-46EB-98BC-3842F96F8126}"/>
            </a:ext>
          </a:extLst>
        </xdr:cNvPr>
        <xdr:cNvSpPr/>
      </xdr:nvSpPr>
      <xdr:spPr>
        <a:xfrm>
          <a:off x="10015643" y="4745839"/>
          <a:ext cx="456142" cy="286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4021</xdr:colOff>
      <xdr:row>19</xdr:row>
      <xdr:rowOff>21167</xdr:rowOff>
    </xdr:from>
    <xdr:to>
      <xdr:col>12</xdr:col>
      <xdr:colOff>456142</xdr:colOff>
      <xdr:row>19</xdr:row>
      <xdr:rowOff>250191</xdr:rowOff>
    </xdr:to>
    <xdr:sp macro="" textlink="">
      <xdr:nvSpPr>
        <xdr:cNvPr id="23" name="화살표: 오른쪽 22">
          <a:extLst>
            <a:ext uri="{FF2B5EF4-FFF2-40B4-BE49-F238E27FC236}">
              <a16:creationId xmlns:a16="http://schemas.microsoft.com/office/drawing/2014/main" id="{C472B136-C69E-4CCC-81B5-5C1D2790EE1A}"/>
            </a:ext>
          </a:extLst>
        </xdr:cNvPr>
        <xdr:cNvSpPr/>
      </xdr:nvSpPr>
      <xdr:spPr>
        <a:xfrm>
          <a:off x="10460354" y="5302250"/>
          <a:ext cx="452121" cy="2290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416559</xdr:colOff>
      <xdr:row>21</xdr:row>
      <xdr:rowOff>16934</xdr:rowOff>
    </xdr:from>
    <xdr:to>
      <xdr:col>13</xdr:col>
      <xdr:colOff>34712</xdr:colOff>
      <xdr:row>21</xdr:row>
      <xdr:rowOff>247226</xdr:rowOff>
    </xdr:to>
    <xdr:sp macro="" textlink="">
      <xdr:nvSpPr>
        <xdr:cNvPr id="24" name="화살표: 오른쪽 23">
          <a:extLst>
            <a:ext uri="{FF2B5EF4-FFF2-40B4-BE49-F238E27FC236}">
              <a16:creationId xmlns:a16="http://schemas.microsoft.com/office/drawing/2014/main" id="{FB08C605-036B-4136-8079-3CAA359D7440}"/>
            </a:ext>
          </a:extLst>
        </xdr:cNvPr>
        <xdr:cNvSpPr/>
      </xdr:nvSpPr>
      <xdr:spPr>
        <a:xfrm>
          <a:off x="10872892" y="5848351"/>
          <a:ext cx="528320" cy="2302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11853</xdr:colOff>
      <xdr:row>24</xdr:row>
      <xdr:rowOff>245788</xdr:rowOff>
    </xdr:from>
    <xdr:to>
      <xdr:col>14</xdr:col>
      <xdr:colOff>554143</xdr:colOff>
      <xdr:row>25</xdr:row>
      <xdr:rowOff>250190</xdr:rowOff>
    </xdr:to>
    <xdr:sp macro="" textlink="">
      <xdr:nvSpPr>
        <xdr:cNvPr id="25" name="화살표: 오른쪽 24">
          <a:extLst>
            <a:ext uri="{FF2B5EF4-FFF2-40B4-BE49-F238E27FC236}">
              <a16:creationId xmlns:a16="http://schemas.microsoft.com/office/drawing/2014/main" id="{8C3D4644-831B-46F2-B10B-B816A2ABC729}"/>
            </a:ext>
          </a:extLst>
        </xdr:cNvPr>
        <xdr:cNvSpPr/>
      </xdr:nvSpPr>
      <xdr:spPr>
        <a:xfrm>
          <a:off x="10203603" y="6902705"/>
          <a:ext cx="542290" cy="2795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31750</xdr:colOff>
      <xdr:row>23</xdr:row>
      <xdr:rowOff>12488</xdr:rowOff>
    </xdr:from>
    <xdr:to>
      <xdr:col>13</xdr:col>
      <xdr:colOff>896620</xdr:colOff>
      <xdr:row>23</xdr:row>
      <xdr:rowOff>264583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C114C835-69C3-4FF3-8856-E0C607880D86}"/>
            </a:ext>
          </a:extLst>
        </xdr:cNvPr>
        <xdr:cNvSpPr/>
      </xdr:nvSpPr>
      <xdr:spPr>
        <a:xfrm>
          <a:off x="11398250" y="6394238"/>
          <a:ext cx="864870" cy="2520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11218</xdr:colOff>
      <xdr:row>43</xdr:row>
      <xdr:rowOff>20955</xdr:rowOff>
    </xdr:from>
    <xdr:to>
      <xdr:col>20</xdr:col>
      <xdr:colOff>232833</xdr:colOff>
      <xdr:row>44</xdr:row>
      <xdr:rowOff>0</xdr:rowOff>
    </xdr:to>
    <xdr:sp macro="" textlink="">
      <xdr:nvSpPr>
        <xdr:cNvPr id="2" name="화살표: 오른쪽 16">
          <a:extLst>
            <a:ext uri="{FF2B5EF4-FFF2-40B4-BE49-F238E27FC236}">
              <a16:creationId xmlns:a16="http://schemas.microsoft.com/office/drawing/2014/main" id="{D2B7FDE3-F927-44F6-AC2B-52934361C4F9}"/>
            </a:ext>
          </a:extLst>
        </xdr:cNvPr>
        <xdr:cNvSpPr/>
      </xdr:nvSpPr>
      <xdr:spPr>
        <a:xfrm>
          <a:off x="16838718" y="11906038"/>
          <a:ext cx="1131782" cy="25421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402166</xdr:colOff>
      <xdr:row>47</xdr:row>
      <xdr:rowOff>16087</xdr:rowOff>
    </xdr:from>
    <xdr:to>
      <xdr:col>21</xdr:col>
      <xdr:colOff>638810</xdr:colOff>
      <xdr:row>47</xdr:row>
      <xdr:rowOff>211667</xdr:rowOff>
    </xdr:to>
    <xdr:sp macro="" textlink="">
      <xdr:nvSpPr>
        <xdr:cNvPr id="7" name="화살표: 오른쪽 16">
          <a:extLst>
            <a:ext uri="{FF2B5EF4-FFF2-40B4-BE49-F238E27FC236}">
              <a16:creationId xmlns:a16="http://schemas.microsoft.com/office/drawing/2014/main" id="{F472EE57-DF10-40B2-B74B-47642F456D09}"/>
            </a:ext>
          </a:extLst>
        </xdr:cNvPr>
        <xdr:cNvSpPr/>
      </xdr:nvSpPr>
      <xdr:spPr>
        <a:xfrm>
          <a:off x="18139833" y="13001837"/>
          <a:ext cx="1146810" cy="195580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273899</xdr:colOff>
      <xdr:row>45</xdr:row>
      <xdr:rowOff>20954</xdr:rowOff>
    </xdr:from>
    <xdr:to>
      <xdr:col>20</xdr:col>
      <xdr:colOff>400263</xdr:colOff>
      <xdr:row>46</xdr:row>
      <xdr:rowOff>15240</xdr:rowOff>
    </xdr:to>
    <xdr:sp macro="" textlink="">
      <xdr:nvSpPr>
        <xdr:cNvPr id="8" name="화살표: 오른쪽 16">
          <a:extLst>
            <a:ext uri="{FF2B5EF4-FFF2-40B4-BE49-F238E27FC236}">
              <a16:creationId xmlns:a16="http://schemas.microsoft.com/office/drawing/2014/main" id="{CA2B725F-9111-483B-992F-E7F0F36BA65A}"/>
            </a:ext>
          </a:extLst>
        </xdr:cNvPr>
        <xdr:cNvSpPr/>
      </xdr:nvSpPr>
      <xdr:spPr>
        <a:xfrm>
          <a:off x="18011566" y="12456371"/>
          <a:ext cx="126364" cy="26945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650451</xdr:colOff>
      <xdr:row>50</xdr:row>
      <xdr:rowOff>16087</xdr:rowOff>
    </xdr:from>
    <xdr:to>
      <xdr:col>21</xdr:col>
      <xdr:colOff>761999</xdr:colOff>
      <xdr:row>51</xdr:row>
      <xdr:rowOff>20109</xdr:rowOff>
    </xdr:to>
    <xdr:sp macro="" textlink="">
      <xdr:nvSpPr>
        <xdr:cNvPr id="18" name="화살표: 오른쪽 16">
          <a:extLst>
            <a:ext uri="{FF2B5EF4-FFF2-40B4-BE49-F238E27FC236}">
              <a16:creationId xmlns:a16="http://schemas.microsoft.com/office/drawing/2014/main" id="{39FCE6E1-BC9E-410A-9FF0-D943BB4C90E4}"/>
            </a:ext>
          </a:extLst>
        </xdr:cNvPr>
        <xdr:cNvSpPr/>
      </xdr:nvSpPr>
      <xdr:spPr>
        <a:xfrm>
          <a:off x="19298284" y="13827337"/>
          <a:ext cx="111548" cy="279189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783167</xdr:colOff>
      <xdr:row>52</xdr:row>
      <xdr:rowOff>1694</xdr:rowOff>
    </xdr:from>
    <xdr:to>
      <xdr:col>21</xdr:col>
      <xdr:colOff>894715</xdr:colOff>
      <xdr:row>53</xdr:row>
      <xdr:rowOff>1</xdr:rowOff>
    </xdr:to>
    <xdr:sp macro="" textlink="">
      <xdr:nvSpPr>
        <xdr:cNvPr id="27" name="화살표: 오른쪽 16">
          <a:extLst>
            <a:ext uri="{FF2B5EF4-FFF2-40B4-BE49-F238E27FC236}">
              <a16:creationId xmlns:a16="http://schemas.microsoft.com/office/drawing/2014/main" id="{93AB7EFC-DD7B-4D23-A8F3-7D33FFFEA0F2}"/>
            </a:ext>
          </a:extLst>
        </xdr:cNvPr>
        <xdr:cNvSpPr/>
      </xdr:nvSpPr>
      <xdr:spPr>
        <a:xfrm>
          <a:off x="19431000" y="14363277"/>
          <a:ext cx="111548" cy="273474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tabSelected="1" zoomScale="120" zoomScaleNormal="120" workbookViewId="0">
      <selection activeCell="F13" sqref="F13"/>
    </sheetView>
  </sheetViews>
  <sheetFormatPr defaultColWidth="12.69921875" defaultRowHeight="15" customHeight="1"/>
  <cols>
    <col min="1" max="1" width="4" customWidth="1"/>
    <col min="2" max="2" width="25.296875" customWidth="1"/>
    <col min="3" max="3" width="19" customWidth="1"/>
    <col min="4" max="4" width="7.09765625" customWidth="1"/>
    <col min="5" max="5" width="6" customWidth="1"/>
    <col min="6" max="6" width="5.3984375" customWidth="1"/>
    <col min="7" max="7" width="6.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18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"&amp;"(주)파크시스탬스 고도화추가개발"</f>
        <v>Project : (주)파크시스탬스 고도화추가개발</v>
      </c>
      <c r="C3" s="5"/>
      <c r="D3" s="6"/>
      <c r="E3" s="5"/>
      <c r="F3" s="5"/>
      <c r="G3" s="5"/>
      <c r="H3" s="48" t="s">
        <v>1</v>
      </c>
      <c r="I3" s="49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68</v>
      </c>
      <c r="B5" s="5"/>
      <c r="C5" s="5"/>
      <c r="D5" s="5"/>
      <c r="E5" s="5"/>
      <c r="F5" s="5"/>
      <c r="G5" s="5"/>
      <c r="H5" s="10">
        <v>45203</v>
      </c>
      <c r="I5" s="11">
        <v>45412</v>
      </c>
    </row>
    <row r="6" spans="1:9" ht="30" customHeight="1">
      <c r="A6" s="50" t="s">
        <v>4</v>
      </c>
      <c r="B6" s="51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26" t="s">
        <v>2</v>
      </c>
      <c r="I6" s="26" t="s">
        <v>3</v>
      </c>
    </row>
    <row r="7" spans="1:9" ht="17.25" customHeight="1">
      <c r="A7" s="46" t="s">
        <v>10</v>
      </c>
      <c r="B7" s="47"/>
      <c r="C7" s="40"/>
      <c r="D7" s="41"/>
      <c r="E7" s="42"/>
      <c r="F7" s="25"/>
      <c r="G7" s="25"/>
      <c r="H7" s="43">
        <f>MIN(H8:H10)</f>
        <v>45203</v>
      </c>
      <c r="I7" s="43">
        <f>MAX(I8:I10)</f>
        <v>45412</v>
      </c>
    </row>
    <row r="8" spans="1:9" ht="17.25" customHeight="1">
      <c r="A8" s="44" t="s">
        <v>11</v>
      </c>
      <c r="B8" s="45"/>
      <c r="C8" s="13" t="s">
        <v>12</v>
      </c>
      <c r="D8" s="16" t="s">
        <v>13</v>
      </c>
      <c r="E8" s="17" t="s">
        <v>14</v>
      </c>
      <c r="F8" s="14">
        <v>1</v>
      </c>
      <c r="G8" s="14">
        <v>0.5</v>
      </c>
      <c r="H8" s="15">
        <v>45203</v>
      </c>
      <c r="I8" s="15">
        <v>45217</v>
      </c>
    </row>
    <row r="9" spans="1:9" ht="17.25" customHeight="1">
      <c r="A9" s="44" t="s">
        <v>15</v>
      </c>
      <c r="B9" s="45"/>
      <c r="C9" s="18" t="s">
        <v>16</v>
      </c>
      <c r="D9" s="16" t="s">
        <v>17</v>
      </c>
      <c r="E9" s="17" t="s">
        <v>14</v>
      </c>
      <c r="F9" s="14">
        <v>2</v>
      </c>
      <c r="G9" s="14">
        <v>4</v>
      </c>
      <c r="H9" s="15">
        <v>45218</v>
      </c>
      <c r="I9" s="15">
        <v>45366</v>
      </c>
    </row>
    <row r="10" spans="1:9" ht="17.25" customHeight="1">
      <c r="A10" s="44" t="s">
        <v>18</v>
      </c>
      <c r="B10" s="45"/>
      <c r="C10" s="18" t="s">
        <v>19</v>
      </c>
      <c r="D10" s="16" t="s">
        <v>17</v>
      </c>
      <c r="E10" s="17" t="s">
        <v>14</v>
      </c>
      <c r="F10" s="14">
        <v>2</v>
      </c>
      <c r="G10" s="14">
        <v>1.5</v>
      </c>
      <c r="H10" s="15">
        <v>45369</v>
      </c>
      <c r="I10" s="15">
        <v>45412</v>
      </c>
    </row>
    <row r="11" spans="1:9" ht="15.75" customHeight="1">
      <c r="A11" s="19"/>
      <c r="B11" s="19"/>
      <c r="C11" s="20"/>
      <c r="D11" s="21"/>
      <c r="E11" s="22"/>
      <c r="F11" s="23"/>
      <c r="G11" s="23"/>
      <c r="H11" s="24"/>
      <c r="I11" s="24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7:G7 F8:F9">
    <cfRule type="cellIs" dxfId="26" priority="103" stopIfTrue="1" operator="equal">
      <formula>"완료"</formula>
    </cfRule>
    <cfRule type="cellIs" dxfId="25" priority="105" stopIfTrue="1" operator="equal">
      <formula>"지연"</formula>
    </cfRule>
  </conditionalFormatting>
  <conditionalFormatting sqref="F7:G7 F11:G11 F8:F10">
    <cfRule type="cellIs" dxfId="24" priority="98" stopIfTrue="1" operator="equal">
      <formula>"진행"</formula>
    </cfRule>
  </conditionalFormatting>
  <conditionalFormatting sqref="F9">
    <cfRule type="cellIs" dxfId="23" priority="150" stopIfTrue="1" operator="equal">
      <formula>"진행"</formula>
    </cfRule>
    <cfRule type="cellIs" dxfId="22" priority="153" stopIfTrue="1" operator="equal">
      <formula>"지연"</formula>
    </cfRule>
  </conditionalFormatting>
  <conditionalFormatting sqref="F9:F10">
    <cfRule type="cellIs" dxfId="21" priority="151" stopIfTrue="1" operator="equal">
      <formula>"완료"</formula>
    </cfRule>
  </conditionalFormatting>
  <conditionalFormatting sqref="F10">
    <cfRule type="cellIs" dxfId="20" priority="264" stopIfTrue="1" operator="equal">
      <formula>"진행"</formula>
    </cfRule>
    <cfRule type="cellIs" dxfId="19" priority="265" stopIfTrue="1" operator="equal">
      <formula>"지연"</formula>
    </cfRule>
    <cfRule type="cellIs" dxfId="18" priority="266" stopIfTrue="1" operator="equal">
      <formula>"진행"</formula>
    </cfRule>
    <cfRule type="cellIs" dxfId="17" priority="267" stopIfTrue="1" operator="equal">
      <formula>"완료"</formula>
    </cfRule>
    <cfRule type="cellIs" dxfId="16" priority="268" stopIfTrue="1" operator="equal">
      <formula>"진행"</formula>
    </cfRule>
    <cfRule type="cellIs" dxfId="15" priority="269" stopIfTrue="1" operator="equal">
      <formula>"지연"</formula>
    </cfRule>
  </conditionalFormatting>
  <conditionalFormatting sqref="F11:G11">
    <cfRule type="cellIs" dxfId="14" priority="99" stopIfTrue="1" operator="equal">
      <formula>"완료"</formula>
    </cfRule>
    <cfRule type="cellIs" dxfId="13" priority="101" stopIfTrue="1" operator="equal">
      <formula>"지연"</formula>
    </cfRule>
  </conditionalFormatting>
  <conditionalFormatting sqref="I11">
    <cfRule type="cellIs" dxfId="12" priority="96" stopIfTrue="1" operator="lessThan">
      <formula>H11</formula>
    </cfRule>
  </conditionalFormatting>
  <conditionalFormatting sqref="G8:G9">
    <cfRule type="cellIs" dxfId="11" priority="2" stopIfTrue="1" operator="equal">
      <formula>"완료"</formula>
    </cfRule>
    <cfRule type="cellIs" dxfId="10" priority="3" stopIfTrue="1" operator="equal">
      <formula>"지연"</formula>
    </cfRule>
  </conditionalFormatting>
  <conditionalFormatting sqref="G8:G10">
    <cfRule type="cellIs" dxfId="9" priority="1" stopIfTrue="1" operator="equal">
      <formula>"진행"</formula>
    </cfRule>
  </conditionalFormatting>
  <conditionalFormatting sqref="G9">
    <cfRule type="cellIs" dxfId="8" priority="4" stopIfTrue="1" operator="equal">
      <formula>"진행"</formula>
    </cfRule>
    <cfRule type="cellIs" dxfId="7" priority="6" stopIfTrue="1" operator="equal">
      <formula>"지연"</formula>
    </cfRule>
  </conditionalFormatting>
  <conditionalFormatting sqref="G9:G10">
    <cfRule type="cellIs" dxfId="6" priority="5" stopIfTrue="1" operator="equal">
      <formula>"완료"</formula>
    </cfRule>
  </conditionalFormatting>
  <conditionalFormatting sqref="G10">
    <cfRule type="cellIs" dxfId="5" priority="7" stopIfTrue="1" operator="equal">
      <formula>"진행"</formula>
    </cfRule>
    <cfRule type="cellIs" dxfId="4" priority="8" stopIfTrue="1" operator="equal">
      <formula>"지연"</formula>
    </cfRule>
    <cfRule type="cellIs" dxfId="3" priority="9" stopIfTrue="1" operator="equal">
      <formula>"진행"</formula>
    </cfRule>
    <cfRule type="cellIs" dxfId="2" priority="10" stopIfTrue="1" operator="equal">
      <formula>"완료"</formula>
    </cfRule>
    <cfRule type="cellIs" dxfId="1" priority="11" stopIfTrue="1" operator="equal">
      <formula>"진행"</formula>
    </cfRule>
    <cfRule type="cellIs" dxfId="0" priority="12" stopIfTrue="1" operator="equal">
      <formula>"지연"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1E7A-259B-4290-8564-A9FFC5A603FE}">
  <sheetPr>
    <pageSetUpPr fitToPage="1"/>
  </sheetPr>
  <dimension ref="B1:V53"/>
  <sheetViews>
    <sheetView showGridLines="0" zoomScale="90" zoomScaleNormal="90" workbookViewId="0">
      <pane xSplit="8" ySplit="5" topLeftCell="I37" activePane="bottomRight" state="frozen"/>
      <selection pane="topRight" activeCell="AP1" sqref="AP1"/>
      <selection pane="bottomLeft" activeCell="A6" sqref="A6"/>
      <selection pane="bottomRight" activeCell="K44" sqref="K44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16.3984375" style="29" customWidth="1"/>
    <col min="5" max="5" width="5.69921875" style="29" customWidth="1"/>
    <col min="6" max="6" width="15.69921875" style="29" customWidth="1"/>
    <col min="7" max="7" width="15.5" style="29" customWidth="1"/>
    <col min="8" max="8" width="13.69921875" style="29" customWidth="1"/>
    <col min="9" max="22" width="12" style="29" customWidth="1"/>
    <col min="23" max="16384" width="8" style="29"/>
  </cols>
  <sheetData>
    <row r="1" spans="2:22" ht="33">
      <c r="B1" s="27" t="s">
        <v>20</v>
      </c>
      <c r="C1" s="27"/>
      <c r="D1" s="28"/>
      <c r="E1" s="28"/>
      <c r="F1" s="28"/>
      <c r="G1" s="28"/>
      <c r="H1" s="28"/>
    </row>
    <row r="2" spans="2:22" ht="19.5" customHeight="1">
      <c r="B2" s="30"/>
      <c r="C2" s="30"/>
      <c r="D2" s="28"/>
      <c r="E2" s="28"/>
      <c r="F2" s="28"/>
      <c r="G2" s="28"/>
      <c r="H2" s="28"/>
    </row>
    <row r="3" spans="2:22" ht="13.5" customHeight="1">
      <c r="B3" s="27"/>
      <c r="C3" s="27"/>
      <c r="D3" s="28"/>
      <c r="E3" s="28"/>
      <c r="F3" s="28"/>
      <c r="G3" s="28"/>
      <c r="H3" s="28"/>
    </row>
    <row r="4" spans="2:22" s="38" customFormat="1" ht="24" customHeight="1">
      <c r="B4" s="52" t="s">
        <v>21</v>
      </c>
      <c r="C4" s="54" t="s">
        <v>22</v>
      </c>
      <c r="D4" s="52" t="s">
        <v>23</v>
      </c>
      <c r="E4" s="53" t="s">
        <v>24</v>
      </c>
      <c r="F4" s="52" t="s">
        <v>25</v>
      </c>
      <c r="G4" s="52"/>
      <c r="H4" s="66" t="s">
        <v>26</v>
      </c>
      <c r="I4" s="97" t="s">
        <v>27</v>
      </c>
      <c r="J4" s="97"/>
      <c r="K4" s="97" t="s">
        <v>28</v>
      </c>
      <c r="L4" s="97"/>
      <c r="M4" s="97" t="s">
        <v>29</v>
      </c>
      <c r="N4" s="97"/>
      <c r="O4" s="97" t="s">
        <v>30</v>
      </c>
      <c r="P4" s="97"/>
      <c r="Q4" s="97" t="s">
        <v>31</v>
      </c>
      <c r="R4" s="97"/>
      <c r="S4" s="97" t="s">
        <v>32</v>
      </c>
      <c r="T4" s="97"/>
      <c r="U4" s="97" t="s">
        <v>33</v>
      </c>
      <c r="V4" s="97"/>
    </row>
    <row r="5" spans="2:22" s="38" customFormat="1" ht="22.5" customHeight="1" thickBot="1">
      <c r="B5" s="54"/>
      <c r="C5" s="89"/>
      <c r="D5" s="54"/>
      <c r="E5" s="90"/>
      <c r="F5" s="39" t="s">
        <v>34</v>
      </c>
      <c r="G5" s="39" t="s">
        <v>35</v>
      </c>
      <c r="H5" s="53"/>
      <c r="I5" s="98" t="s">
        <v>36</v>
      </c>
      <c r="J5" s="98" t="s">
        <v>37</v>
      </c>
      <c r="K5" s="98" t="s">
        <v>36</v>
      </c>
      <c r="L5" s="98" t="s">
        <v>38</v>
      </c>
      <c r="M5" s="98" t="s">
        <v>36</v>
      </c>
      <c r="N5" s="98" t="s">
        <v>37</v>
      </c>
      <c r="O5" s="98" t="s">
        <v>36</v>
      </c>
      <c r="P5" s="98" t="s">
        <v>38</v>
      </c>
      <c r="Q5" s="98" t="s">
        <v>36</v>
      </c>
      <c r="R5" s="98" t="s">
        <v>38</v>
      </c>
      <c r="S5" s="98" t="s">
        <v>36</v>
      </c>
      <c r="T5" s="98" t="s">
        <v>38</v>
      </c>
      <c r="U5" s="98" t="s">
        <v>36</v>
      </c>
      <c r="V5" s="98" t="s">
        <v>38</v>
      </c>
    </row>
    <row r="6" spans="2:22" s="33" customFormat="1" ht="21.75" customHeight="1">
      <c r="B6" s="68">
        <v>1</v>
      </c>
      <c r="C6" s="91" t="s">
        <v>39</v>
      </c>
      <c r="D6" s="92" t="s">
        <v>40</v>
      </c>
      <c r="E6" s="70">
        <v>0</v>
      </c>
      <c r="F6" s="71">
        <v>45203</v>
      </c>
      <c r="G6" s="71">
        <v>45211</v>
      </c>
      <c r="H6" s="72" t="s">
        <v>41</v>
      </c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4"/>
    </row>
    <row r="7" spans="2:22" s="33" customFormat="1" ht="21.75" customHeight="1">
      <c r="B7" s="75"/>
      <c r="C7" s="56"/>
      <c r="D7" s="55"/>
      <c r="E7" s="65"/>
      <c r="F7" s="95"/>
      <c r="G7" s="95"/>
      <c r="H7" s="34" t="s">
        <v>42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6"/>
    </row>
    <row r="8" spans="2:22" s="33" customFormat="1" ht="21.75" customHeight="1">
      <c r="B8" s="77">
        <v>2</v>
      </c>
      <c r="C8" s="56"/>
      <c r="D8" s="55" t="s">
        <v>43</v>
      </c>
      <c r="E8" s="61">
        <v>0</v>
      </c>
      <c r="F8" s="31">
        <v>45212</v>
      </c>
      <c r="G8" s="31">
        <v>45217</v>
      </c>
      <c r="H8" s="32" t="s">
        <v>41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76"/>
    </row>
    <row r="9" spans="2:22" s="33" customFormat="1" ht="21.75" customHeight="1" thickBot="1">
      <c r="B9" s="78"/>
      <c r="C9" s="93"/>
      <c r="D9" s="94"/>
      <c r="E9" s="80"/>
      <c r="F9" s="95"/>
      <c r="G9" s="95"/>
      <c r="H9" s="81" t="s">
        <v>42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6"/>
    </row>
    <row r="10" spans="2:22" s="33" customFormat="1" ht="21.75" customHeight="1">
      <c r="B10" s="68">
        <v>4</v>
      </c>
      <c r="C10" s="69" t="s">
        <v>44</v>
      </c>
      <c r="D10" s="69" t="s">
        <v>45</v>
      </c>
      <c r="E10" s="70">
        <v>0</v>
      </c>
      <c r="F10" s="71">
        <v>45218</v>
      </c>
      <c r="G10" s="71">
        <v>45222</v>
      </c>
      <c r="H10" s="72" t="s">
        <v>41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4"/>
    </row>
    <row r="11" spans="2:22" s="33" customFormat="1" ht="21.75" customHeight="1">
      <c r="B11" s="75"/>
      <c r="C11" s="67"/>
      <c r="D11" s="60"/>
      <c r="E11" s="65"/>
      <c r="F11" s="95"/>
      <c r="G11" s="95"/>
      <c r="H11" s="34" t="s">
        <v>42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6"/>
    </row>
    <row r="12" spans="2:22" s="33" customFormat="1" ht="21.75" customHeight="1">
      <c r="B12" s="77">
        <v>5</v>
      </c>
      <c r="C12" s="67"/>
      <c r="D12" s="58" t="s">
        <v>46</v>
      </c>
      <c r="E12" s="64">
        <v>0</v>
      </c>
      <c r="F12" s="31">
        <v>45223</v>
      </c>
      <c r="G12" s="31">
        <v>45238</v>
      </c>
      <c r="H12" s="32" t="s">
        <v>41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76"/>
    </row>
    <row r="13" spans="2:22" s="33" customFormat="1" ht="21.75" customHeight="1">
      <c r="B13" s="75"/>
      <c r="C13" s="67"/>
      <c r="D13" s="58"/>
      <c r="E13" s="65"/>
      <c r="F13" s="95"/>
      <c r="G13" s="95"/>
      <c r="H13" s="34" t="s">
        <v>42</v>
      </c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6"/>
    </row>
    <row r="14" spans="2:22" s="33" customFormat="1" ht="21.75" customHeight="1">
      <c r="B14" s="77">
        <v>6</v>
      </c>
      <c r="C14" s="67"/>
      <c r="D14" s="58" t="s">
        <v>47</v>
      </c>
      <c r="E14" s="64">
        <v>0</v>
      </c>
      <c r="F14" s="31">
        <v>45239</v>
      </c>
      <c r="G14" s="31">
        <v>45247</v>
      </c>
      <c r="H14" s="32" t="s">
        <v>41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76"/>
    </row>
    <row r="15" spans="2:22" s="33" customFormat="1" ht="21.75" customHeight="1">
      <c r="B15" s="75"/>
      <c r="C15" s="67"/>
      <c r="D15" s="58"/>
      <c r="E15" s="65"/>
      <c r="F15" s="95"/>
      <c r="G15" s="95"/>
      <c r="H15" s="34" t="s">
        <v>42</v>
      </c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6"/>
    </row>
    <row r="16" spans="2:22" s="33" customFormat="1" ht="21.75" customHeight="1">
      <c r="B16" s="77">
        <v>7</v>
      </c>
      <c r="C16" s="67"/>
      <c r="D16" s="58" t="s">
        <v>48</v>
      </c>
      <c r="E16" s="64">
        <v>0</v>
      </c>
      <c r="F16" s="31">
        <v>45248</v>
      </c>
      <c r="G16" s="31">
        <v>45252</v>
      </c>
      <c r="H16" s="32" t="s">
        <v>41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76"/>
    </row>
    <row r="17" spans="2:22" s="33" customFormat="1" ht="21.75" customHeight="1">
      <c r="B17" s="75"/>
      <c r="C17" s="67"/>
      <c r="D17" s="58"/>
      <c r="E17" s="65"/>
      <c r="F17" s="95"/>
      <c r="G17" s="95"/>
      <c r="H17" s="34" t="s">
        <v>42</v>
      </c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6"/>
    </row>
    <row r="18" spans="2:22" s="33" customFormat="1" ht="21.75" customHeight="1">
      <c r="B18" s="77">
        <v>9</v>
      </c>
      <c r="C18" s="67"/>
      <c r="D18" s="58" t="s">
        <v>49</v>
      </c>
      <c r="E18" s="64">
        <v>0</v>
      </c>
      <c r="F18" s="31">
        <v>45253</v>
      </c>
      <c r="G18" s="31">
        <v>45260</v>
      </c>
      <c r="H18" s="32" t="s">
        <v>41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76"/>
    </row>
    <row r="19" spans="2:22" s="33" customFormat="1" ht="21.75" customHeight="1">
      <c r="B19" s="75"/>
      <c r="C19" s="67"/>
      <c r="D19" s="58"/>
      <c r="E19" s="65"/>
      <c r="F19" s="95"/>
      <c r="G19" s="95"/>
      <c r="H19" s="34" t="s">
        <v>42</v>
      </c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6"/>
    </row>
    <row r="20" spans="2:22" s="33" customFormat="1" ht="21.75" customHeight="1">
      <c r="B20" s="77">
        <v>10</v>
      </c>
      <c r="C20" s="67"/>
      <c r="D20" s="58" t="s">
        <v>50</v>
      </c>
      <c r="E20" s="61">
        <v>0</v>
      </c>
      <c r="F20" s="31">
        <v>45261</v>
      </c>
      <c r="G20" s="31">
        <v>45266</v>
      </c>
      <c r="H20" s="32" t="s">
        <v>41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76"/>
    </row>
    <row r="21" spans="2:22" s="33" customFormat="1" ht="21.75" customHeight="1">
      <c r="B21" s="75"/>
      <c r="C21" s="67"/>
      <c r="D21" s="58"/>
      <c r="E21" s="62"/>
      <c r="F21" s="95"/>
      <c r="G21" s="95"/>
      <c r="H21" s="34" t="s">
        <v>42</v>
      </c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6"/>
    </row>
    <row r="22" spans="2:22" s="33" customFormat="1" ht="21.75" customHeight="1">
      <c r="B22" s="77">
        <v>11</v>
      </c>
      <c r="C22" s="67"/>
      <c r="D22" s="59" t="s">
        <v>51</v>
      </c>
      <c r="E22" s="61">
        <v>0</v>
      </c>
      <c r="F22" s="31">
        <v>45267</v>
      </c>
      <c r="G22" s="31">
        <v>45274</v>
      </c>
      <c r="H22" s="32" t="s">
        <v>41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76"/>
    </row>
    <row r="23" spans="2:22" s="33" customFormat="1" ht="21.75" customHeight="1">
      <c r="B23" s="75"/>
      <c r="C23" s="67"/>
      <c r="D23" s="60"/>
      <c r="E23" s="62"/>
      <c r="F23" s="95"/>
      <c r="G23" s="95"/>
      <c r="H23" s="34" t="s">
        <v>42</v>
      </c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6"/>
    </row>
    <row r="24" spans="2:22" s="33" customFormat="1" ht="21.75" customHeight="1">
      <c r="B24" s="77">
        <v>12</v>
      </c>
      <c r="C24" s="67"/>
      <c r="D24" s="59" t="s">
        <v>52</v>
      </c>
      <c r="E24" s="61">
        <v>0</v>
      </c>
      <c r="F24" s="31">
        <v>45275</v>
      </c>
      <c r="G24" s="31">
        <v>45291</v>
      </c>
      <c r="H24" s="32" t="s">
        <v>41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76"/>
    </row>
    <row r="25" spans="2:22" s="33" customFormat="1" ht="21.75" customHeight="1">
      <c r="B25" s="75"/>
      <c r="C25" s="67"/>
      <c r="D25" s="60"/>
      <c r="E25" s="62"/>
      <c r="F25" s="95"/>
      <c r="G25" s="95"/>
      <c r="H25" s="34" t="s">
        <v>42</v>
      </c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6"/>
    </row>
    <row r="26" spans="2:22" s="33" customFormat="1" ht="21.75" customHeight="1">
      <c r="B26" s="77">
        <v>12</v>
      </c>
      <c r="C26" s="67"/>
      <c r="D26" s="59" t="s">
        <v>53</v>
      </c>
      <c r="E26" s="61">
        <v>0</v>
      </c>
      <c r="F26" s="31">
        <v>45292</v>
      </c>
      <c r="G26" s="31">
        <v>45299</v>
      </c>
      <c r="H26" s="32" t="s">
        <v>41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76"/>
    </row>
    <row r="27" spans="2:22" s="33" customFormat="1" ht="21.75" customHeight="1">
      <c r="B27" s="75"/>
      <c r="C27" s="67"/>
      <c r="D27" s="60"/>
      <c r="E27" s="62"/>
      <c r="F27" s="95"/>
      <c r="G27" s="95"/>
      <c r="H27" s="34" t="s">
        <v>42</v>
      </c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6"/>
    </row>
    <row r="28" spans="2:22" s="33" customFormat="1" ht="21.75" customHeight="1">
      <c r="B28" s="77">
        <v>4</v>
      </c>
      <c r="C28" s="67"/>
      <c r="D28" s="58" t="s">
        <v>54</v>
      </c>
      <c r="E28" s="64">
        <v>0</v>
      </c>
      <c r="F28" s="31">
        <v>45300</v>
      </c>
      <c r="G28" s="31">
        <v>45303</v>
      </c>
      <c r="H28" s="32" t="s">
        <v>41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76"/>
    </row>
    <row r="29" spans="2:22" s="33" customFormat="1" ht="21.75" customHeight="1">
      <c r="B29" s="75"/>
      <c r="C29" s="67"/>
      <c r="D29" s="58"/>
      <c r="E29" s="65"/>
      <c r="F29" s="95"/>
      <c r="G29" s="95"/>
      <c r="H29" s="34" t="s">
        <v>42</v>
      </c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6"/>
    </row>
    <row r="30" spans="2:22" s="33" customFormat="1" ht="21.75" customHeight="1">
      <c r="B30" s="77">
        <v>5</v>
      </c>
      <c r="C30" s="67"/>
      <c r="D30" s="58" t="s">
        <v>55</v>
      </c>
      <c r="E30" s="64">
        <v>0</v>
      </c>
      <c r="F30" s="31">
        <v>45304</v>
      </c>
      <c r="G30" s="31">
        <v>45314</v>
      </c>
      <c r="H30" s="32" t="s">
        <v>41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76"/>
    </row>
    <row r="31" spans="2:22" s="33" customFormat="1" ht="21.75" customHeight="1">
      <c r="B31" s="75"/>
      <c r="C31" s="67"/>
      <c r="D31" s="58"/>
      <c r="E31" s="65"/>
      <c r="F31" s="95"/>
      <c r="G31" s="95"/>
      <c r="H31" s="34" t="s">
        <v>42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6"/>
    </row>
    <row r="32" spans="2:22" s="33" customFormat="1" ht="21.75" customHeight="1">
      <c r="B32" s="77">
        <v>6</v>
      </c>
      <c r="C32" s="67"/>
      <c r="D32" s="58" t="s">
        <v>56</v>
      </c>
      <c r="E32" s="64">
        <v>0</v>
      </c>
      <c r="F32" s="31">
        <v>45315</v>
      </c>
      <c r="G32" s="31">
        <v>45322</v>
      </c>
      <c r="H32" s="32" t="s">
        <v>41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76"/>
    </row>
    <row r="33" spans="2:22" s="33" customFormat="1" ht="21.75" customHeight="1">
      <c r="B33" s="75"/>
      <c r="C33" s="67"/>
      <c r="D33" s="58"/>
      <c r="E33" s="65"/>
      <c r="F33" s="95"/>
      <c r="G33" s="95"/>
      <c r="H33" s="34" t="s">
        <v>42</v>
      </c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6"/>
    </row>
    <row r="34" spans="2:22" s="33" customFormat="1" ht="21.75" customHeight="1">
      <c r="B34" s="77">
        <v>7</v>
      </c>
      <c r="C34" s="67"/>
      <c r="D34" s="58" t="s">
        <v>57</v>
      </c>
      <c r="E34" s="64">
        <v>0</v>
      </c>
      <c r="F34" s="31">
        <v>45323</v>
      </c>
      <c r="G34" s="31">
        <v>45325</v>
      </c>
      <c r="H34" s="32" t="s">
        <v>41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76"/>
    </row>
    <row r="35" spans="2:22" s="33" customFormat="1" ht="21.75" customHeight="1">
      <c r="B35" s="75"/>
      <c r="C35" s="67"/>
      <c r="D35" s="58"/>
      <c r="E35" s="65"/>
      <c r="F35" s="95"/>
      <c r="G35" s="95"/>
      <c r="H35" s="34" t="s">
        <v>42</v>
      </c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6"/>
    </row>
    <row r="36" spans="2:22" s="33" customFormat="1" ht="21.75" customHeight="1">
      <c r="B36" s="77">
        <v>9</v>
      </c>
      <c r="C36" s="67"/>
      <c r="D36" s="58" t="s">
        <v>58</v>
      </c>
      <c r="E36" s="64">
        <v>0</v>
      </c>
      <c r="F36" s="31">
        <v>45326</v>
      </c>
      <c r="G36" s="31">
        <v>45339</v>
      </c>
      <c r="H36" s="32" t="s">
        <v>41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76"/>
    </row>
    <row r="37" spans="2:22" s="33" customFormat="1" ht="21.75" customHeight="1">
      <c r="B37" s="75"/>
      <c r="C37" s="67"/>
      <c r="D37" s="58"/>
      <c r="E37" s="65"/>
      <c r="F37" s="95"/>
      <c r="G37" s="95"/>
      <c r="H37" s="34" t="s">
        <v>42</v>
      </c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6"/>
    </row>
    <row r="38" spans="2:22" s="33" customFormat="1" ht="21.75" customHeight="1">
      <c r="B38" s="77">
        <v>10</v>
      </c>
      <c r="C38" s="67"/>
      <c r="D38" s="58" t="s">
        <v>59</v>
      </c>
      <c r="E38" s="61">
        <v>0</v>
      </c>
      <c r="F38" s="31">
        <v>45340</v>
      </c>
      <c r="G38" s="31">
        <v>45342</v>
      </c>
      <c r="H38" s="32" t="s">
        <v>41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76"/>
    </row>
    <row r="39" spans="2:22" s="33" customFormat="1" ht="21.75" customHeight="1">
      <c r="B39" s="75"/>
      <c r="C39" s="67"/>
      <c r="D39" s="58"/>
      <c r="E39" s="62"/>
      <c r="F39" s="95"/>
      <c r="G39" s="95"/>
      <c r="H39" s="34" t="s">
        <v>42</v>
      </c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6"/>
    </row>
    <row r="40" spans="2:22" s="33" customFormat="1" ht="21.75" customHeight="1">
      <c r="B40" s="77">
        <v>11</v>
      </c>
      <c r="C40" s="67"/>
      <c r="D40" s="59" t="s">
        <v>60</v>
      </c>
      <c r="E40" s="61">
        <v>0</v>
      </c>
      <c r="F40" s="31">
        <v>45343</v>
      </c>
      <c r="G40" s="31">
        <v>45361</v>
      </c>
      <c r="H40" s="32" t="s">
        <v>41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76"/>
    </row>
    <row r="41" spans="2:22" s="33" customFormat="1" ht="21.75" customHeight="1">
      <c r="B41" s="75"/>
      <c r="C41" s="67"/>
      <c r="D41" s="60"/>
      <c r="E41" s="62"/>
      <c r="F41" s="95"/>
      <c r="G41" s="95"/>
      <c r="H41" s="34" t="s">
        <v>42</v>
      </c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6"/>
    </row>
    <row r="42" spans="2:22" s="33" customFormat="1" ht="21.75" customHeight="1">
      <c r="B42" s="77">
        <v>12</v>
      </c>
      <c r="C42" s="67"/>
      <c r="D42" s="59" t="s">
        <v>61</v>
      </c>
      <c r="E42" s="61">
        <v>0</v>
      </c>
      <c r="F42" s="31">
        <v>45362</v>
      </c>
      <c r="G42" s="31">
        <v>45366</v>
      </c>
      <c r="H42" s="32" t="s">
        <v>41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76"/>
    </row>
    <row r="43" spans="2:22" s="33" customFormat="1" ht="21.75" customHeight="1" thickBot="1">
      <c r="B43" s="78"/>
      <c r="C43" s="79"/>
      <c r="D43" s="79"/>
      <c r="E43" s="80"/>
      <c r="F43" s="95"/>
      <c r="G43" s="95"/>
      <c r="H43" s="81" t="s">
        <v>42</v>
      </c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6"/>
    </row>
    <row r="44" spans="2:22" s="33" customFormat="1" ht="21.75" customHeight="1">
      <c r="B44" s="68">
        <v>13</v>
      </c>
      <c r="C44" s="82" t="s">
        <v>62</v>
      </c>
      <c r="D44" s="83" t="s">
        <v>63</v>
      </c>
      <c r="E44" s="84">
        <v>0</v>
      </c>
      <c r="F44" s="85">
        <v>45367</v>
      </c>
      <c r="G44" s="85">
        <v>45387</v>
      </c>
      <c r="H44" s="72" t="s">
        <v>41</v>
      </c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4"/>
    </row>
    <row r="45" spans="2:22" s="33" customFormat="1" ht="21.75" customHeight="1">
      <c r="B45" s="75"/>
      <c r="C45" s="63"/>
      <c r="D45" s="57"/>
      <c r="E45" s="62"/>
      <c r="F45" s="95"/>
      <c r="G45" s="95"/>
      <c r="H45" s="34" t="s">
        <v>42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6"/>
    </row>
    <row r="46" spans="2:22" s="33" customFormat="1" ht="21.75" customHeight="1">
      <c r="B46" s="77">
        <v>14</v>
      </c>
      <c r="C46" s="63"/>
      <c r="D46" s="57" t="s">
        <v>64</v>
      </c>
      <c r="E46" s="61">
        <v>0</v>
      </c>
      <c r="F46" s="35">
        <v>45388</v>
      </c>
      <c r="G46" s="35">
        <v>45389</v>
      </c>
      <c r="H46" s="32" t="s">
        <v>41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76"/>
    </row>
    <row r="47" spans="2:22" s="33" customFormat="1" ht="21.75" customHeight="1">
      <c r="B47" s="75"/>
      <c r="C47" s="63"/>
      <c r="D47" s="57"/>
      <c r="E47" s="62"/>
      <c r="F47" s="95"/>
      <c r="G47" s="95"/>
      <c r="H47" s="34" t="s">
        <v>42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6"/>
    </row>
    <row r="48" spans="2:22" s="33" customFormat="1" ht="21.75" customHeight="1">
      <c r="B48" s="77">
        <v>15</v>
      </c>
      <c r="C48" s="63"/>
      <c r="D48" s="57" t="s">
        <v>65</v>
      </c>
      <c r="E48" s="61">
        <v>0</v>
      </c>
      <c r="F48" s="35">
        <v>45390</v>
      </c>
      <c r="G48" s="35">
        <v>45410</v>
      </c>
      <c r="H48" s="32" t="s">
        <v>41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76"/>
    </row>
    <row r="49" spans="2:22" s="33" customFormat="1" ht="21.75" customHeight="1">
      <c r="B49" s="75"/>
      <c r="C49" s="63"/>
      <c r="D49" s="57"/>
      <c r="E49" s="62"/>
      <c r="F49" s="95"/>
      <c r="G49" s="95"/>
      <c r="H49" s="34" t="s">
        <v>42</v>
      </c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6"/>
    </row>
    <row r="50" spans="2:22" s="33" customFormat="1" ht="21.75" customHeight="1">
      <c r="B50" s="77">
        <v>16</v>
      </c>
      <c r="C50" s="63"/>
      <c r="D50" s="57" t="s">
        <v>66</v>
      </c>
      <c r="E50" s="61">
        <v>0</v>
      </c>
      <c r="F50" s="35">
        <v>45411</v>
      </c>
      <c r="G50" s="35">
        <v>45411</v>
      </c>
      <c r="H50" s="32" t="s">
        <v>41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86"/>
    </row>
    <row r="51" spans="2:22" s="33" customFormat="1" ht="21.75" customHeight="1">
      <c r="B51" s="75"/>
      <c r="C51" s="63"/>
      <c r="D51" s="57"/>
      <c r="E51" s="62"/>
      <c r="F51" s="95"/>
      <c r="G51" s="95"/>
      <c r="H51" s="34" t="s">
        <v>42</v>
      </c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6"/>
    </row>
    <row r="52" spans="2:22" s="33" customFormat="1" ht="21.75" customHeight="1">
      <c r="B52" s="77">
        <v>17</v>
      </c>
      <c r="C52" s="63"/>
      <c r="D52" s="57" t="s">
        <v>67</v>
      </c>
      <c r="E52" s="61">
        <v>0</v>
      </c>
      <c r="F52" s="35">
        <v>45412</v>
      </c>
      <c r="G52" s="35">
        <v>45412</v>
      </c>
      <c r="H52" s="32" t="s">
        <v>41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86"/>
    </row>
    <row r="53" spans="2:22" s="33" customFormat="1" ht="21.75" customHeight="1" thickBot="1">
      <c r="B53" s="78"/>
      <c r="C53" s="87"/>
      <c r="D53" s="88"/>
      <c r="E53" s="80"/>
      <c r="F53" s="95"/>
      <c r="G53" s="95"/>
      <c r="H53" s="81" t="s">
        <v>42</v>
      </c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6"/>
    </row>
  </sheetData>
  <mergeCells count="88">
    <mergeCell ref="U4:V4"/>
    <mergeCell ref="C10:C43"/>
    <mergeCell ref="B26:B27"/>
    <mergeCell ref="D26:D27"/>
    <mergeCell ref="E26:E27"/>
    <mergeCell ref="Q4:R4"/>
    <mergeCell ref="O4:P4"/>
    <mergeCell ref="B22:B23"/>
    <mergeCell ref="D22:D23"/>
    <mergeCell ref="E22:E23"/>
    <mergeCell ref="B24:B25"/>
    <mergeCell ref="D24:D25"/>
    <mergeCell ref="E24:E25"/>
    <mergeCell ref="B18:B19"/>
    <mergeCell ref="D18:D19"/>
    <mergeCell ref="E18:E19"/>
    <mergeCell ref="B20:B21"/>
    <mergeCell ref="D20:D21"/>
    <mergeCell ref="E20:E21"/>
    <mergeCell ref="B42:B43"/>
    <mergeCell ref="D42:D43"/>
    <mergeCell ref="E42:E43"/>
    <mergeCell ref="E40:E41"/>
    <mergeCell ref="E36:E37"/>
    <mergeCell ref="E34:E35"/>
    <mergeCell ref="E28:E29"/>
    <mergeCell ref="E30:E31"/>
    <mergeCell ref="E32:E33"/>
    <mergeCell ref="B10:B11"/>
    <mergeCell ref="D10:D11"/>
    <mergeCell ref="E10:E11"/>
    <mergeCell ref="B12:B13"/>
    <mergeCell ref="D12:D13"/>
    <mergeCell ref="E12:E13"/>
    <mergeCell ref="B14:B15"/>
    <mergeCell ref="D14:D15"/>
    <mergeCell ref="E14:E15"/>
    <mergeCell ref="B16:B17"/>
    <mergeCell ref="D16:D17"/>
    <mergeCell ref="E16:E17"/>
    <mergeCell ref="E8:E9"/>
    <mergeCell ref="K4:L4"/>
    <mergeCell ref="E6:E7"/>
    <mergeCell ref="I4:J4"/>
    <mergeCell ref="H4:H5"/>
    <mergeCell ref="E52:E53"/>
    <mergeCell ref="E48:E49"/>
    <mergeCell ref="E44:E45"/>
    <mergeCell ref="B36:B37"/>
    <mergeCell ref="D36:D37"/>
    <mergeCell ref="E38:E39"/>
    <mergeCell ref="B52:B53"/>
    <mergeCell ref="D52:D53"/>
    <mergeCell ref="B50:B51"/>
    <mergeCell ref="D50:D51"/>
    <mergeCell ref="E50:E51"/>
    <mergeCell ref="B46:B47"/>
    <mergeCell ref="D46:D47"/>
    <mergeCell ref="E46:E47"/>
    <mergeCell ref="B44:B45"/>
    <mergeCell ref="C44:C53"/>
    <mergeCell ref="D44:D45"/>
    <mergeCell ref="B48:B49"/>
    <mergeCell ref="D48:D49"/>
    <mergeCell ref="B28:B29"/>
    <mergeCell ref="D28:D29"/>
    <mergeCell ref="B30:B31"/>
    <mergeCell ref="D30:D31"/>
    <mergeCell ref="B34:B35"/>
    <mergeCell ref="D34:D35"/>
    <mergeCell ref="B32:B33"/>
    <mergeCell ref="D32:D33"/>
    <mergeCell ref="B40:B41"/>
    <mergeCell ref="D40:D41"/>
    <mergeCell ref="B38:B39"/>
    <mergeCell ref="D38:D39"/>
    <mergeCell ref="D8:D9"/>
    <mergeCell ref="B6:B7"/>
    <mergeCell ref="C6:C9"/>
    <mergeCell ref="D6:D7"/>
    <mergeCell ref="B8:B9"/>
    <mergeCell ref="M4:N4"/>
    <mergeCell ref="S4:T4"/>
    <mergeCell ref="B4:B5"/>
    <mergeCell ref="D4:D5"/>
    <mergeCell ref="E4:E5"/>
    <mergeCell ref="F4:G4"/>
    <mergeCell ref="C4:C5"/>
  </mergeCells>
  <phoneticPr fontId="13" type="noConversion"/>
  <conditionalFormatting sqref="E6:E7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{FADF9736-A017-42EC-9758-9AE1C155741E}</x14:id>
        </ext>
      </extLst>
    </cfRule>
  </conditionalFormatting>
  <conditionalFormatting sqref="E8:E9">
    <cfRule type="dataBar" priority="1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{121A1263-4BCD-40A9-9226-4F3A1E161254}</x14:id>
        </ext>
      </extLst>
    </cfRule>
  </conditionalFormatting>
  <conditionalFormatting sqref="E10:E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{2E4B90DB-8412-4AC6-A5F8-9ECFBB2F5B97}</x14:id>
        </ext>
      </extLst>
    </cfRule>
  </conditionalFormatting>
  <conditionalFormatting sqref="E12:E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{D103A07B-9430-4DEE-9C13-5E35A1F7BD4C}</x14:id>
        </ext>
      </extLst>
    </cfRule>
  </conditionalFormatting>
  <conditionalFormatting sqref="E14:E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{3B816986-F18E-417B-AA90-6D9CE0429726}</x14:id>
        </ext>
      </extLst>
    </cfRule>
  </conditionalFormatting>
  <conditionalFormatting sqref="E16:E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{D1818893-EA95-46B1-879D-2E5D7A322A83}</x14:id>
        </ext>
      </extLst>
    </cfRule>
  </conditionalFormatting>
  <conditionalFormatting sqref="E18:E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{FEBE08ED-2D54-4CF1-A7FC-69821AD0424F}</x14:id>
        </ext>
      </extLst>
    </cfRule>
  </conditionalFormatting>
  <conditionalFormatting sqref="E20:E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{C74F2F01-0276-44F2-8899-00F49CA8C700}</x14:id>
        </ext>
      </extLst>
    </cfRule>
  </conditionalFormatting>
  <conditionalFormatting sqref="E22:E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{D1807BD7-C742-4A08-8647-9F0EE2793F0E}</x14:id>
        </ext>
      </extLst>
    </cfRule>
  </conditionalFormatting>
  <conditionalFormatting sqref="E24:E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{54F41A6D-6A8A-48F6-B5D7-CAC3EB855663}</x14:id>
        </ext>
      </extLst>
    </cfRule>
  </conditionalFormatting>
  <conditionalFormatting sqref="E28:E29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{266CCB61-2F9F-437C-9A19-23407499C2A0}</x14:id>
        </ext>
      </extLst>
    </cfRule>
  </conditionalFormatting>
  <conditionalFormatting sqref="E30:E31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{E1C8A1D9-FEF8-4A18-B45A-B55C1335149D}</x14:id>
        </ext>
      </extLst>
    </cfRule>
  </conditionalFormatting>
  <conditionalFormatting sqref="E32:E33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{40178115-B6CF-41C9-A56D-CBEB700BAA83}</x14:id>
        </ext>
      </extLst>
    </cfRule>
  </conditionalFormatting>
  <conditionalFormatting sqref="E34:E35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{D62D1377-5AA3-4624-BADF-01E5E22A5B80}</x14:id>
        </ext>
      </extLst>
    </cfRule>
  </conditionalFormatting>
  <conditionalFormatting sqref="E36:E37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{0917A38E-FEAC-41FF-93DA-E5A13EF19D91}</x14:id>
        </ext>
      </extLst>
    </cfRule>
  </conditionalFormatting>
  <conditionalFormatting sqref="E38:E39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{294AF967-6E6B-4796-B412-F6093F60C936}</x14:id>
        </ext>
      </extLst>
    </cfRule>
  </conditionalFormatting>
  <conditionalFormatting sqref="E40:E41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{953D2540-0877-4151-8B60-776E3477E142}</x14:id>
        </ext>
      </extLst>
    </cfRule>
  </conditionalFormatting>
  <conditionalFormatting sqref="E42:E43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{E4496D06-6F97-47BB-8103-EA7BD2D4B539}</x14:id>
        </ext>
      </extLst>
    </cfRule>
  </conditionalFormatting>
  <conditionalFormatting sqref="E44:E45">
    <cfRule type="dataBar" priority="2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{299DB467-42FD-495B-A4AE-06F98EF516F3}</x14:id>
        </ext>
      </extLst>
    </cfRule>
  </conditionalFormatting>
  <conditionalFormatting sqref="E46:E47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{944E100F-96DE-4648-A13B-6AB0BCA668E5}</x14:id>
        </ext>
      </extLst>
    </cfRule>
  </conditionalFormatting>
  <conditionalFormatting sqref="E48:E49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{1430E24D-178B-47D0-B559-72AA985453E3}</x14:id>
        </ext>
      </extLst>
    </cfRule>
  </conditionalFormatting>
  <conditionalFormatting sqref="E50:E51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{296C9FC3-0A4C-4BF5-B6FF-F796EE912BC1}</x14:id>
        </ext>
      </extLst>
    </cfRule>
  </conditionalFormatting>
  <conditionalFormatting sqref="E52:E53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{E4F4B4FC-CBFE-495C-8B40-8BBBC14DF869}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F9736-A017-42EC-9758-9AE1C155741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E6:E7</xm:sqref>
        </x14:conditionalFormatting>
        <x14:conditionalFormatting xmlns:xm="http://schemas.microsoft.com/office/excel/2006/main">
          <x14:cfRule type="dataBar" id="{121A1263-4BCD-40A9-9226-4F3A1E16125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E8:E9</xm:sqref>
        </x14:conditionalFormatting>
        <x14:conditionalFormatting xmlns:xm="http://schemas.microsoft.com/office/excel/2006/main">
          <x14:cfRule type="dataBar" id="{2E4B90DB-8412-4AC6-A5F8-9ECFBB2F5B9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E10:E11</xm:sqref>
        </x14:conditionalFormatting>
        <x14:conditionalFormatting xmlns:xm="http://schemas.microsoft.com/office/excel/2006/main">
          <x14:cfRule type="dataBar" id="{D103A07B-9430-4DEE-9C13-5E35A1F7BD4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E12:E13</xm:sqref>
        </x14:conditionalFormatting>
        <x14:conditionalFormatting xmlns:xm="http://schemas.microsoft.com/office/excel/2006/main">
          <x14:cfRule type="dataBar" id="{3B816986-F18E-417B-AA90-6D9CE042972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E14:E15</xm:sqref>
        </x14:conditionalFormatting>
        <x14:conditionalFormatting xmlns:xm="http://schemas.microsoft.com/office/excel/2006/main">
          <x14:cfRule type="dataBar" id="{D1818893-EA95-46B1-879D-2E5D7A322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E16:E17</xm:sqref>
        </x14:conditionalFormatting>
        <x14:conditionalFormatting xmlns:xm="http://schemas.microsoft.com/office/excel/2006/main">
          <x14:cfRule type="dataBar" id="{FEBE08ED-2D54-4CF1-A7FC-69821AD042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C74F2F01-0276-44F2-8899-00F49CA8C70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E20:E21</xm:sqref>
        </x14:conditionalFormatting>
        <x14:conditionalFormatting xmlns:xm="http://schemas.microsoft.com/office/excel/2006/main">
          <x14:cfRule type="dataBar" id="{D1807BD7-C742-4A08-8647-9F0EE2793F0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E22:E23</xm:sqref>
        </x14:conditionalFormatting>
        <x14:conditionalFormatting xmlns:xm="http://schemas.microsoft.com/office/excel/2006/main">
          <x14:cfRule type="dataBar" id="{54F41A6D-6A8A-48F6-B5D7-CAC3EB85566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E24:E27</xm:sqref>
        </x14:conditionalFormatting>
        <x14:conditionalFormatting xmlns:xm="http://schemas.microsoft.com/office/excel/2006/main">
          <x14:cfRule type="dataBar" id="{266CCB61-2F9F-437C-9A19-23407499C2A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E28:E29</xm:sqref>
        </x14:conditionalFormatting>
        <x14:conditionalFormatting xmlns:xm="http://schemas.microsoft.com/office/excel/2006/main">
          <x14:cfRule type="dataBar" id="{E1C8A1D9-FEF8-4A18-B45A-B55C1335149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40178115-B6CF-41C9-A56D-CBEB700BA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E32:E33</xm:sqref>
        </x14:conditionalFormatting>
        <x14:conditionalFormatting xmlns:xm="http://schemas.microsoft.com/office/excel/2006/main">
          <x14:cfRule type="dataBar" id="{D62D1377-5AA3-4624-BADF-01E5E22A5B8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E34:E35</xm:sqref>
        </x14:conditionalFormatting>
        <x14:conditionalFormatting xmlns:xm="http://schemas.microsoft.com/office/excel/2006/main">
          <x14:cfRule type="dataBar" id="{0917A38E-FEAC-41FF-93DA-E5A13EF19D9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E36:E37</xm:sqref>
        </x14:conditionalFormatting>
        <x14:conditionalFormatting xmlns:xm="http://schemas.microsoft.com/office/excel/2006/main">
          <x14:cfRule type="dataBar" id="{294AF967-6E6B-4796-B412-F6093F60C93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E38:E39</xm:sqref>
        </x14:conditionalFormatting>
        <x14:conditionalFormatting xmlns:xm="http://schemas.microsoft.com/office/excel/2006/main">
          <x14:cfRule type="dataBar" id="{953D2540-0877-4151-8B60-776E3477E14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E40:E41</xm:sqref>
        </x14:conditionalFormatting>
        <x14:conditionalFormatting xmlns:xm="http://schemas.microsoft.com/office/excel/2006/main">
          <x14:cfRule type="dataBar" id="{E4496D06-6F97-47BB-8103-EA7BD2D4B53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E42:E43</xm:sqref>
        </x14:conditionalFormatting>
        <x14:conditionalFormatting xmlns:xm="http://schemas.microsoft.com/office/excel/2006/main">
          <x14:cfRule type="dataBar" id="{299DB467-42FD-495B-A4AE-06F98EF516F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E44:E45</xm:sqref>
        </x14:conditionalFormatting>
        <x14:conditionalFormatting xmlns:xm="http://schemas.microsoft.com/office/excel/2006/main">
          <x14:cfRule type="dataBar" id="{944E100F-96DE-4648-A13B-6AB0BCA668E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E46:E47</xm:sqref>
        </x14:conditionalFormatting>
        <x14:conditionalFormatting xmlns:xm="http://schemas.microsoft.com/office/excel/2006/main">
          <x14:cfRule type="dataBar" id="{1430E24D-178B-47D0-B559-72AA985453E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E48:E49</xm:sqref>
        </x14:conditionalFormatting>
        <x14:conditionalFormatting xmlns:xm="http://schemas.microsoft.com/office/excel/2006/main">
          <x14:cfRule type="dataBar" id="{296C9FC3-0A4C-4BF5-B6FF-F796EE912BC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E50:E51</xm:sqref>
        </x14:conditionalFormatting>
        <x14:conditionalFormatting xmlns:xm="http://schemas.microsoft.com/office/excel/2006/main">
          <x14:cfRule type="dataBar" id="{E4F4B4FC-CBFE-495C-8B40-8BBBC14DF86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E52:E53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상세 스케줄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심 연</cp:lastModifiedBy>
  <cp:revision/>
  <dcterms:created xsi:type="dcterms:W3CDTF">2004-06-23T06:13:55Z</dcterms:created>
  <dcterms:modified xsi:type="dcterms:W3CDTF">2023-08-30T04:09:34Z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