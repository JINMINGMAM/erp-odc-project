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ODC 표준프로세스/"/>
    </mc:Choice>
  </mc:AlternateContent>
  <xr:revisionPtr revIDLastSave="8" documentId="13_ncr:1_{0C4038E1-3DFA-4E8E-8BDB-1BD90BC9C73F}" xr6:coauthVersionLast="47" xr6:coauthVersionMax="47" xr10:uidLastSave="{3A55550C-ADB4-4732-8DF0-E72D6536B3EC}"/>
  <bookViews>
    <workbookView xWindow="-108" yWindow="-108" windowWidth="23256" windowHeight="12456" xr2:uid="{F5829287-9236-4D30-9AE9-B0870634D167}"/>
  </bookViews>
  <sheets>
    <sheet name="인니외주계산" sheetId="2" r:id="rId1"/>
    <sheet name="사용법" sheetId="3" r:id="rId2"/>
    <sheet name="기타 참고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C20" i="2"/>
  <c r="C18" i="2"/>
  <c r="C11" i="2"/>
  <c r="C5" i="2"/>
  <c r="D11" i="2" s="1"/>
  <c r="C4" i="2"/>
  <c r="D10" i="2" s="1"/>
  <c r="H5" i="1"/>
  <c r="H4" i="1"/>
  <c r="K19" i="1"/>
  <c r="K18" i="1"/>
  <c r="E50" i="1"/>
  <c r="E48" i="1"/>
  <c r="D50" i="1"/>
  <c r="E49" i="1"/>
  <c r="D49" i="1"/>
  <c r="D48" i="1"/>
  <c r="E41" i="1"/>
  <c r="E5" i="1"/>
  <c r="F5" i="1" s="1"/>
  <c r="E4" i="1"/>
  <c r="F4" i="1" s="1"/>
  <c r="P11" i="1"/>
  <c r="Q11" i="1" s="1"/>
  <c r="P10" i="1"/>
  <c r="Q10" i="1" s="1"/>
  <c r="M11" i="1"/>
  <c r="N11" i="1" s="1"/>
  <c r="M10" i="1"/>
  <c r="N10" i="1" s="1"/>
  <c r="J11" i="1"/>
  <c r="K11" i="1" s="1"/>
  <c r="J10" i="1"/>
  <c r="K10" i="1" s="1"/>
  <c r="E40" i="1"/>
  <c r="D41" i="1"/>
  <c r="D40" i="1"/>
  <c r="E39" i="1"/>
  <c r="D39" i="1"/>
  <c r="E32" i="1"/>
  <c r="E31" i="1"/>
  <c r="E30" i="1"/>
  <c r="C12" i="2" l="1"/>
  <c r="D12" i="2"/>
  <c r="E18" i="2" s="1"/>
  <c r="F49" i="1"/>
  <c r="F48" i="1"/>
  <c r="K20" i="1"/>
  <c r="F50" i="1"/>
  <c r="K12" i="1"/>
  <c r="F39" i="1"/>
  <c r="Q12" i="1"/>
  <c r="N12" i="1"/>
  <c r="F40" i="1"/>
  <c r="F41" i="1"/>
  <c r="D32" i="1"/>
  <c r="F32" i="1" s="1"/>
  <c r="D31" i="1"/>
  <c r="F31" i="1" s="1"/>
  <c r="D30" i="1"/>
  <c r="F30" i="1" s="1"/>
  <c r="F11" i="1"/>
  <c r="H48" i="1" s="1"/>
  <c r="D18" i="1"/>
  <c r="F18" i="1" s="1"/>
  <c r="D19" i="1"/>
  <c r="F19" i="1" s="1"/>
  <c r="D17" i="1"/>
  <c r="F17" i="1" s="1"/>
  <c r="F10" i="1"/>
  <c r="E19" i="2" l="1"/>
  <c r="D19" i="2" s="1"/>
  <c r="E20" i="2"/>
  <c r="D20" i="2" s="1"/>
  <c r="H41" i="1"/>
  <c r="H40" i="1"/>
  <c r="H30" i="1"/>
  <c r="H50" i="1"/>
  <c r="F12" i="1"/>
  <c r="L20" i="1" s="1"/>
  <c r="H32" i="1"/>
  <c r="F51" i="1"/>
  <c r="F42" i="1"/>
  <c r="F33" i="1"/>
  <c r="F20" i="1"/>
  <c r="E21" i="2" l="1"/>
  <c r="D18" i="2"/>
  <c r="H33" i="1"/>
  <c r="H20" i="1"/>
  <c r="H42" i="1"/>
  <c r="H51" i="1"/>
</calcChain>
</file>

<file path=xl/sharedStrings.xml><?xml version="1.0" encoding="utf-8"?>
<sst xmlns="http://schemas.openxmlformats.org/spreadsheetml/2006/main" count="109" uniqueCount="43">
  <si>
    <t>단가</t>
    <phoneticPr fontId="2" type="noConversion"/>
  </si>
  <si>
    <t>공수</t>
    <phoneticPr fontId="2" type="noConversion"/>
  </si>
  <si>
    <t>계약금액</t>
    <phoneticPr fontId="2" type="noConversion"/>
  </si>
  <si>
    <t>개발</t>
    <phoneticPr fontId="2" type="noConversion"/>
  </si>
  <si>
    <t>컨설팅</t>
    <phoneticPr fontId="2" type="noConversion"/>
  </si>
  <si>
    <t>등급</t>
    <phoneticPr fontId="2" type="noConversion"/>
  </si>
  <si>
    <t>원화단가</t>
    <phoneticPr fontId="2" type="noConversion"/>
  </si>
  <si>
    <t>금액</t>
    <phoneticPr fontId="2" type="noConversion"/>
  </si>
  <si>
    <t>환율</t>
    <phoneticPr fontId="2" type="noConversion"/>
  </si>
  <si>
    <t>초급</t>
    <phoneticPr fontId="2" type="noConversion"/>
  </si>
  <si>
    <t>중급</t>
    <phoneticPr fontId="2" type="noConversion"/>
  </si>
  <si>
    <t>고급</t>
    <phoneticPr fontId="2" type="noConversion"/>
  </si>
  <si>
    <t>비율</t>
    <phoneticPr fontId="2" type="noConversion"/>
  </si>
  <si>
    <t>외주계약</t>
    <phoneticPr fontId="2" type="noConversion"/>
  </si>
  <si>
    <t>-5%적용</t>
    <phoneticPr fontId="2" type="noConversion"/>
  </si>
  <si>
    <t>-10%적용</t>
    <phoneticPr fontId="2" type="noConversion"/>
  </si>
  <si>
    <t>항목</t>
    <phoneticPr fontId="2" type="noConversion"/>
  </si>
  <si>
    <t>인니(75%,65%)</t>
    <phoneticPr fontId="2" type="noConversion"/>
  </si>
  <si>
    <t>단가표</t>
    <phoneticPr fontId="2" type="noConversion"/>
  </si>
  <si>
    <t>영림원</t>
    <phoneticPr fontId="2" type="noConversion"/>
  </si>
  <si>
    <t>국내외주사</t>
    <phoneticPr fontId="2" type="noConversion"/>
  </si>
  <si>
    <t>Case1. 개발1 --&gt;초급1/중급1, 컨설팅1 --&gt;고급2</t>
    <phoneticPr fontId="2" type="noConversion"/>
  </si>
  <si>
    <t>Case2. 개발1 --&gt; 중급2, 컨설팅1 --&gt;고급1</t>
    <phoneticPr fontId="2" type="noConversion"/>
  </si>
  <si>
    <t>합계</t>
    <phoneticPr fontId="2" type="noConversion"/>
  </si>
  <si>
    <t>외주사(79%,71%)</t>
    <phoneticPr fontId="2" type="noConversion"/>
  </si>
  <si>
    <t>차이(4%,6%)</t>
    <phoneticPr fontId="2" type="noConversion"/>
  </si>
  <si>
    <t>HLB계약</t>
    <phoneticPr fontId="2" type="noConversion"/>
  </si>
  <si>
    <t>HLB 인니외주계약</t>
    <phoneticPr fontId="2" type="noConversion"/>
  </si>
  <si>
    <t>구분</t>
    <phoneticPr fontId="2" type="noConversion"/>
  </si>
  <si>
    <t>Case3. 개발1 --&gt; 초급2.5, 컨설팅1 --&gt;고급2</t>
    <phoneticPr fontId="2" type="noConversion"/>
  </si>
  <si>
    <t>인니외주계약품의</t>
    <phoneticPr fontId="2" type="noConversion"/>
  </si>
  <si>
    <t>70%,60%</t>
    <phoneticPr fontId="2" type="noConversion"/>
  </si>
  <si>
    <t>확정단가</t>
    <phoneticPr fontId="2" type="noConversion"/>
  </si>
  <si>
    <t>인니(70%,60%)</t>
    <phoneticPr fontId="2" type="noConversion"/>
  </si>
  <si>
    <t>고객 계약 정보</t>
    <phoneticPr fontId="2" type="noConversion"/>
  </si>
  <si>
    <t>Total</t>
    <phoneticPr fontId="2" type="noConversion"/>
  </si>
  <si>
    <t>공수(일)</t>
    <phoneticPr fontId="2" type="noConversion"/>
  </si>
  <si>
    <t>공수(M)</t>
    <phoneticPr fontId="2" type="noConversion"/>
  </si>
  <si>
    <t>금액 &gt; 500 and 금액 &lt;1000</t>
    <phoneticPr fontId="2" type="noConversion"/>
  </si>
  <si>
    <t>금액 &gt;=1000</t>
    <phoneticPr fontId="2" type="noConversion"/>
  </si>
  <si>
    <t>금액 &lt;= 500</t>
    <phoneticPr fontId="2" type="noConversion"/>
  </si>
  <si>
    <t>순번</t>
    <phoneticPr fontId="2" type="noConversion"/>
  </si>
  <si>
    <t>금액 기준(만원)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</si>
</sst>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_-;\-* #,##0.0_-;_-* &quot;-&quot;_-;_-@_-"/>
    <numFmt numFmtId="177" formatCode="_-* #,##0.0_-;\-* #,##0.0_-;_-* &quot;-&quot;??_-;_-@_-"/>
    <numFmt numFmtId="178" formatCode="_-* #,##0_-;\-* #,##0_-;_-* &quot;-&quot;??_-;_-@_-"/>
    <numFmt numFmtId="179" formatCode="_-* #,##0_-;\-* #,##0_-;_-* &quot;-&quot;?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EE0000"/>
      <name val="맑은 고딕"/>
      <family val="3"/>
      <charset val="129"/>
      <scheme val="minor"/>
    </font>
    <font>
      <sz val="10"/>
      <color rgb="FFEE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medium">
        <color rgb="FFC00000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medium">
        <color rgb="FFC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76" fontId="3" fillId="0" borderId="1" xfId="1" applyNumberFormat="1" applyFont="1" applyBorder="1">
      <alignment vertical="center"/>
    </xf>
    <xf numFmtId="41" fontId="3" fillId="0" borderId="13" xfId="1" applyFont="1" applyBorder="1">
      <alignment vertical="center"/>
    </xf>
    <xf numFmtId="41" fontId="3" fillId="0" borderId="0" xfId="1" applyFont="1" applyFill="1" applyBorder="1">
      <alignment vertical="center"/>
    </xf>
    <xf numFmtId="41" fontId="3" fillId="3" borderId="1" xfId="1" applyFont="1" applyFill="1" applyBorder="1" applyAlignment="1">
      <alignment horizontal="center" vertical="center"/>
    </xf>
    <xf numFmtId="9" fontId="3" fillId="0" borderId="1" xfId="0" applyNumberFormat="1" applyFont="1" applyBorder="1">
      <alignment vertical="center"/>
    </xf>
    <xf numFmtId="178" fontId="3" fillId="0" borderId="1" xfId="0" applyNumberFormat="1" applyFont="1" applyBorder="1">
      <alignment vertical="center"/>
    </xf>
    <xf numFmtId="9" fontId="3" fillId="0" borderId="1" xfId="2" applyFont="1" applyBorder="1">
      <alignment vertical="center"/>
    </xf>
    <xf numFmtId="41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41" fontId="3" fillId="0" borderId="16" xfId="0" applyNumberFormat="1" applyFont="1" applyBorder="1">
      <alignment vertical="center"/>
    </xf>
    <xf numFmtId="41" fontId="3" fillId="0" borderId="0" xfId="0" applyNumberFormat="1" applyFont="1">
      <alignment vertical="center"/>
    </xf>
    <xf numFmtId="41" fontId="3" fillId="3" borderId="1" xfId="0" applyNumberFormat="1" applyFont="1" applyFill="1" applyBorder="1">
      <alignment vertical="center"/>
    </xf>
    <xf numFmtId="0" fontId="3" fillId="0" borderId="1" xfId="0" applyFont="1" applyBorder="1">
      <alignment vertical="center"/>
    </xf>
    <xf numFmtId="9" fontId="3" fillId="0" borderId="0" xfId="2" applyFont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41" fontId="3" fillId="0" borderId="13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1" fontId="3" fillId="0" borderId="1" xfId="1" applyFont="1" applyFill="1" applyBorder="1">
      <alignment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>
      <alignment vertical="center"/>
    </xf>
    <xf numFmtId="0" fontId="3" fillId="3" borderId="8" xfId="0" applyFont="1" applyFill="1" applyBorder="1" applyAlignment="1">
      <alignment horizontal="right" vertical="center"/>
    </xf>
    <xf numFmtId="0" fontId="3" fillId="3" borderId="9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3" xfId="0" quotePrefix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1" fontId="3" fillId="0" borderId="15" xfId="1" applyFont="1" applyBorder="1">
      <alignment vertical="center"/>
    </xf>
    <xf numFmtId="41" fontId="3" fillId="0" borderId="15" xfId="1" applyFont="1" applyFill="1" applyBorder="1">
      <alignment vertical="center"/>
    </xf>
    <xf numFmtId="41" fontId="3" fillId="0" borderId="16" xfId="1" applyFont="1" applyBorder="1">
      <alignment vertical="center"/>
    </xf>
    <xf numFmtId="9" fontId="3" fillId="0" borderId="0" xfId="2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9" fontId="3" fillId="0" borderId="0" xfId="2" applyFont="1" applyAlignment="1">
      <alignment horizontal="left" vertical="center"/>
    </xf>
    <xf numFmtId="41" fontId="3" fillId="0" borderId="0" xfId="1" applyFont="1" applyAlignment="1">
      <alignment horizontal="left" vertical="center"/>
    </xf>
    <xf numFmtId="9" fontId="6" fillId="0" borderId="0" xfId="2" applyFont="1" applyAlignment="1">
      <alignment horizontal="left" vertical="center"/>
    </xf>
    <xf numFmtId="41" fontId="3" fillId="0" borderId="3" xfId="1" applyFont="1" applyBorder="1">
      <alignment vertical="center"/>
    </xf>
    <xf numFmtId="9" fontId="3" fillId="0" borderId="5" xfId="2" applyFont="1" applyBorder="1">
      <alignment vertical="center"/>
    </xf>
    <xf numFmtId="0" fontId="3" fillId="0" borderId="5" xfId="0" applyFont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9" fontId="3" fillId="0" borderId="27" xfId="2" applyFont="1" applyBorder="1">
      <alignment vertical="center"/>
    </xf>
    <xf numFmtId="41" fontId="3" fillId="0" borderId="28" xfId="1" applyFont="1" applyBorder="1">
      <alignment vertical="center"/>
    </xf>
    <xf numFmtId="0" fontId="3" fillId="0" borderId="29" xfId="0" applyFont="1" applyBorder="1">
      <alignment vertical="center"/>
    </xf>
    <xf numFmtId="0" fontId="3" fillId="0" borderId="30" xfId="0" applyFont="1" applyBorder="1">
      <alignment vertical="center"/>
    </xf>
    <xf numFmtId="41" fontId="3" fillId="0" borderId="31" xfId="1" applyFont="1" applyBorder="1">
      <alignment vertical="center"/>
    </xf>
    <xf numFmtId="179" fontId="3" fillId="0" borderId="33" xfId="0" applyNumberFormat="1" applyFont="1" applyBorder="1">
      <alignment vertical="center"/>
    </xf>
    <xf numFmtId="179" fontId="3" fillId="0" borderId="34" xfId="0" applyNumberFormat="1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41" fontId="0" fillId="0" borderId="1" xfId="0" applyNumberFormat="1" applyBorder="1">
      <alignment vertical="center"/>
    </xf>
    <xf numFmtId="41" fontId="0" fillId="5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9" fontId="0" fillId="0" borderId="1" xfId="0" applyNumberFormat="1" applyBorder="1">
      <alignment vertical="center"/>
    </xf>
    <xf numFmtId="0" fontId="0" fillId="7" borderId="1" xfId="0" applyFill="1" applyBorder="1">
      <alignment vertical="center"/>
    </xf>
    <xf numFmtId="176" fontId="0" fillId="0" borderId="1" xfId="0" applyNumberFormat="1" applyBorder="1">
      <alignment vertical="center"/>
    </xf>
    <xf numFmtId="41" fontId="8" fillId="5" borderId="1" xfId="0" applyNumberFormat="1" applyFont="1" applyFill="1" applyBorder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3" fillId="0" borderId="0" xfId="2" applyFont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9" fontId="3" fillId="2" borderId="24" xfId="0" quotePrefix="1" applyNumberFormat="1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9" fontId="3" fillId="2" borderId="5" xfId="0" quotePrefix="1" applyNumberFormat="1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50012</xdr:colOff>
      <xdr:row>22</xdr:row>
      <xdr:rowOff>24159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B583D8-A6DE-9D1E-097A-666E591FC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49532" cy="48857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CD0E-3759-4D9D-90E1-6661CB79F35F}">
  <dimension ref="A1:J21"/>
  <sheetViews>
    <sheetView tabSelected="1" workbookViewId="0">
      <selection activeCell="G3" sqref="G3"/>
    </sheetView>
  </sheetViews>
  <sheetFormatPr defaultRowHeight="17.399999999999999" x14ac:dyDescent="0.4"/>
  <cols>
    <col min="1" max="1" width="15.296875" customWidth="1"/>
    <col min="2" max="2" width="18.3984375" customWidth="1"/>
    <col min="3" max="3" width="19.59765625" customWidth="1"/>
    <col min="4" max="4" width="19.796875" customWidth="1"/>
    <col min="5" max="5" width="12.3984375" bestFit="1" customWidth="1"/>
    <col min="6" max="6" width="5.5" bestFit="1" customWidth="1"/>
    <col min="7" max="7" width="26.69921875" bestFit="1" customWidth="1"/>
    <col min="8" max="8" width="9.59765625" customWidth="1"/>
    <col min="9" max="9" width="10.5" customWidth="1"/>
    <col min="10" max="10" width="11.59765625" customWidth="1"/>
  </cols>
  <sheetData>
    <row r="1" spans="1:10" ht="18" thickBot="1" x14ac:dyDescent="0.45">
      <c r="A1" s="65" t="s">
        <v>8</v>
      </c>
      <c r="B1" s="61">
        <v>1370</v>
      </c>
    </row>
    <row r="2" spans="1:10" x14ac:dyDescent="0.4">
      <c r="A2" s="73" t="s">
        <v>18</v>
      </c>
      <c r="B2" s="74"/>
      <c r="C2" s="75"/>
    </row>
    <row r="3" spans="1:10" ht="21.6" customHeight="1" x14ac:dyDescent="0.4">
      <c r="A3" s="27" t="s">
        <v>16</v>
      </c>
      <c r="B3" s="36" t="s">
        <v>19</v>
      </c>
      <c r="C3" s="36" t="s">
        <v>33</v>
      </c>
    </row>
    <row r="4" spans="1:10" x14ac:dyDescent="0.4">
      <c r="A4" s="6" t="s">
        <v>4</v>
      </c>
      <c r="B4" s="4">
        <v>950000</v>
      </c>
      <c r="C4" s="4">
        <f>B4*0.7</f>
        <v>665000</v>
      </c>
    </row>
    <row r="5" spans="1:10" ht="18.600000000000001" customHeight="1" thickBot="1" x14ac:dyDescent="0.45">
      <c r="A5" s="38" t="s">
        <v>3</v>
      </c>
      <c r="B5" s="39">
        <v>700000</v>
      </c>
      <c r="C5" s="39">
        <f>B5*0.6</f>
        <v>420000</v>
      </c>
    </row>
    <row r="8" spans="1:10" x14ac:dyDescent="0.4">
      <c r="A8" s="76" t="s">
        <v>34</v>
      </c>
      <c r="B8" s="77"/>
      <c r="C8" s="77"/>
      <c r="D8" s="77"/>
      <c r="F8" s="67" t="s">
        <v>41</v>
      </c>
      <c r="G8" s="67" t="s">
        <v>42</v>
      </c>
      <c r="H8" s="67" t="s">
        <v>9</v>
      </c>
      <c r="I8" s="67" t="s">
        <v>10</v>
      </c>
      <c r="J8" s="67" t="s">
        <v>11</v>
      </c>
    </row>
    <row r="9" spans="1:10" x14ac:dyDescent="0.4">
      <c r="A9" s="62" t="s">
        <v>16</v>
      </c>
      <c r="B9" s="62" t="s">
        <v>36</v>
      </c>
      <c r="C9" s="36" t="s">
        <v>19</v>
      </c>
      <c r="D9" s="36" t="s">
        <v>33</v>
      </c>
      <c r="F9" s="61">
        <v>1</v>
      </c>
      <c r="G9" s="61" t="s">
        <v>40</v>
      </c>
      <c r="H9" s="66">
        <v>1</v>
      </c>
      <c r="I9" s="66"/>
      <c r="J9" s="66"/>
    </row>
    <row r="10" spans="1:10" x14ac:dyDescent="0.4">
      <c r="A10" s="3" t="s">
        <v>4</v>
      </c>
      <c r="B10" s="61"/>
      <c r="C10" s="63"/>
      <c r="D10" s="63">
        <f>C4*B10</f>
        <v>0</v>
      </c>
      <c r="F10" s="61">
        <v>2</v>
      </c>
      <c r="G10" s="61" t="s">
        <v>38</v>
      </c>
      <c r="H10" s="66">
        <v>0.5</v>
      </c>
      <c r="I10" s="66">
        <v>0.5</v>
      </c>
      <c r="J10" s="66"/>
    </row>
    <row r="11" spans="1:10" x14ac:dyDescent="0.4">
      <c r="A11" s="3" t="s">
        <v>3</v>
      </c>
      <c r="B11" s="61">
        <v>2</v>
      </c>
      <c r="C11" s="63">
        <f>B5*B11</f>
        <v>1400000</v>
      </c>
      <c r="D11" s="63">
        <f>C5*B11</f>
        <v>840000</v>
      </c>
      <c r="F11" s="61">
        <v>3</v>
      </c>
      <c r="G11" s="61" t="s">
        <v>39</v>
      </c>
      <c r="H11" s="66">
        <v>0.35</v>
      </c>
      <c r="I11" s="66">
        <v>0.5</v>
      </c>
      <c r="J11" s="66">
        <v>0.15</v>
      </c>
    </row>
    <row r="12" spans="1:10" x14ac:dyDescent="0.4">
      <c r="A12" s="70" t="s">
        <v>35</v>
      </c>
      <c r="B12" s="72"/>
      <c r="C12" s="64">
        <f>SUM(C10:C11)</f>
        <v>1400000</v>
      </c>
      <c r="D12" s="69">
        <f>SUM(D10:D11)</f>
        <v>840000</v>
      </c>
    </row>
    <row r="17" spans="1:5" x14ac:dyDescent="0.4">
      <c r="A17" s="1" t="s">
        <v>5</v>
      </c>
      <c r="B17" s="1" t="s">
        <v>0</v>
      </c>
      <c r="C17" s="1" t="s">
        <v>6</v>
      </c>
      <c r="D17" s="1" t="s">
        <v>37</v>
      </c>
      <c r="E17" s="1" t="s">
        <v>7</v>
      </c>
    </row>
    <row r="18" spans="1:5" x14ac:dyDescent="0.4">
      <c r="A18" s="3" t="s">
        <v>9</v>
      </c>
      <c r="B18" s="4">
        <v>2400</v>
      </c>
      <c r="C18" s="14">
        <f>B18*$B$1</f>
        <v>3288000</v>
      </c>
      <c r="D18" s="15">
        <f>E18/C18</f>
        <v>0.25547445255474455</v>
      </c>
      <c r="E18" s="14">
        <f>IF(D12&lt;=5000000, D12*1, IF(D12&lt;10000000, D12*0.5, D12*0.35))</f>
        <v>840000</v>
      </c>
    </row>
    <row r="19" spans="1:5" x14ac:dyDescent="0.4">
      <c r="A19" s="3" t="s">
        <v>10</v>
      </c>
      <c r="B19" s="4">
        <v>3400</v>
      </c>
      <c r="C19" s="14">
        <f>B19*$B$1</f>
        <v>4658000</v>
      </c>
      <c r="D19" s="15">
        <f>E19/C19</f>
        <v>0</v>
      </c>
      <c r="E19" s="14">
        <f>IF(D12&lt;=5000000, 0, D12*0.5)</f>
        <v>0</v>
      </c>
    </row>
    <row r="20" spans="1:5" x14ac:dyDescent="0.4">
      <c r="A20" s="3" t="s">
        <v>11</v>
      </c>
      <c r="B20" s="4">
        <v>4300</v>
      </c>
      <c r="C20" s="14">
        <f>B20*$B$1</f>
        <v>5891000</v>
      </c>
      <c r="D20" s="68">
        <f>E20/C20</f>
        <v>0</v>
      </c>
      <c r="E20" s="14">
        <f>IF(D12&gt;=10000000, D12*0.15, 0)</f>
        <v>0</v>
      </c>
    </row>
    <row r="21" spans="1:5" x14ac:dyDescent="0.4">
      <c r="A21" s="70" t="s">
        <v>35</v>
      </c>
      <c r="B21" s="71"/>
      <c r="C21" s="71"/>
      <c r="D21" s="72"/>
      <c r="E21" s="69">
        <f>SUM(E18:E20)</f>
        <v>840000</v>
      </c>
    </row>
  </sheetData>
  <mergeCells count="4">
    <mergeCell ref="A21:D21"/>
    <mergeCell ref="A12:B12"/>
    <mergeCell ref="A2:C2"/>
    <mergeCell ref="A8:D8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8DEC-0977-4D79-A1A2-8132F8AFC6C6}">
  <dimension ref="A1"/>
  <sheetViews>
    <sheetView workbookViewId="0">
      <selection activeCell="B4" sqref="B4"/>
    </sheetView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7103-F32C-4395-94D4-5DEE8AD70BBA}">
  <dimension ref="B1:Q51"/>
  <sheetViews>
    <sheetView showGridLines="0" topLeftCell="A18" zoomScale="115" zoomScaleNormal="115" workbookViewId="0">
      <selection activeCell="B32" sqref="B32:C32"/>
    </sheetView>
  </sheetViews>
  <sheetFormatPr defaultColWidth="9" defaultRowHeight="15.6" x14ac:dyDescent="0.4"/>
  <cols>
    <col min="1" max="1" width="2.59765625" style="2" customWidth="1"/>
    <col min="2" max="2" width="9.5" style="2" customWidth="1"/>
    <col min="3" max="3" width="11.8984375" style="2" bestFit="1" customWidth="1"/>
    <col min="4" max="4" width="14.59765625" style="2" bestFit="1" customWidth="1"/>
    <col min="5" max="5" width="13.8984375" style="2" customWidth="1"/>
    <col min="6" max="6" width="13.5" style="2" bestFit="1" customWidth="1"/>
    <col min="7" max="7" width="2.09765625" style="2" customWidth="1"/>
    <col min="8" max="8" width="10.5" style="2" bestFit="1" customWidth="1"/>
    <col min="9" max="9" width="5.5" style="2" bestFit="1" customWidth="1"/>
    <col min="10" max="11" width="11.8984375" style="2" bestFit="1" customWidth="1"/>
    <col min="12" max="12" width="5.19921875" style="2" bestFit="1" customWidth="1"/>
    <col min="13" max="14" width="11.8984375" style="2" bestFit="1" customWidth="1"/>
    <col min="15" max="15" width="9" style="2"/>
    <col min="16" max="16" width="11.8984375" style="2" bestFit="1" customWidth="1"/>
    <col min="17" max="17" width="10.8984375" style="2" bestFit="1" customWidth="1"/>
    <col min="18" max="18" width="2.09765625" style="2" customWidth="1"/>
    <col min="19" max="19" width="10.5" style="2" bestFit="1" customWidth="1"/>
    <col min="20" max="16384" width="9" style="2"/>
  </cols>
  <sheetData>
    <row r="1" spans="2:17" ht="16.2" thickBot="1" x14ac:dyDescent="0.45"/>
    <row r="2" spans="2:17" x14ac:dyDescent="0.4">
      <c r="B2" s="95" t="s">
        <v>18</v>
      </c>
      <c r="C2" s="75"/>
      <c r="D2" s="75"/>
      <c r="E2" s="75"/>
      <c r="F2" s="96"/>
      <c r="H2" s="60" t="s">
        <v>32</v>
      </c>
    </row>
    <row r="3" spans="2:17" x14ac:dyDescent="0.4">
      <c r="B3" s="27" t="s">
        <v>16</v>
      </c>
      <c r="C3" s="36" t="s">
        <v>19</v>
      </c>
      <c r="D3" s="36" t="s">
        <v>24</v>
      </c>
      <c r="E3" s="36" t="s">
        <v>17</v>
      </c>
      <c r="F3" s="37" t="s">
        <v>25</v>
      </c>
      <c r="H3" s="59" t="s">
        <v>31</v>
      </c>
    </row>
    <row r="4" spans="2:17" x14ac:dyDescent="0.4">
      <c r="B4" s="6" t="s">
        <v>4</v>
      </c>
      <c r="C4" s="4">
        <v>19000000</v>
      </c>
      <c r="D4" s="31">
        <v>15000000</v>
      </c>
      <c r="E4" s="4">
        <f>$C$4*0.75</f>
        <v>14250000</v>
      </c>
      <c r="F4" s="8">
        <f>D4-E4</f>
        <v>750000</v>
      </c>
      <c r="H4" s="57">
        <f>C4*0.7</f>
        <v>13300000</v>
      </c>
    </row>
    <row r="5" spans="2:17" ht="16.2" thickBot="1" x14ac:dyDescent="0.45">
      <c r="B5" s="38" t="s">
        <v>3</v>
      </c>
      <c r="C5" s="39">
        <v>14000000</v>
      </c>
      <c r="D5" s="40">
        <v>10000000</v>
      </c>
      <c r="E5" s="39">
        <f>$C$5*0.65</f>
        <v>9100000</v>
      </c>
      <c r="F5" s="41">
        <f>D5-E5</f>
        <v>900000</v>
      </c>
      <c r="H5" s="58">
        <f>C5*0.6</f>
        <v>8400000</v>
      </c>
    </row>
    <row r="7" spans="2:17" ht="16.2" thickBot="1" x14ac:dyDescent="0.45"/>
    <row r="8" spans="2:17" x14ac:dyDescent="0.4">
      <c r="C8" s="83" t="s">
        <v>26</v>
      </c>
      <c r="D8" s="84"/>
      <c r="E8" s="84"/>
      <c r="F8" s="85"/>
      <c r="G8" s="5"/>
      <c r="H8" s="89" t="s">
        <v>28</v>
      </c>
      <c r="I8" s="79" t="s">
        <v>27</v>
      </c>
      <c r="J8" s="80"/>
      <c r="K8" s="80"/>
      <c r="L8" s="91" t="s">
        <v>14</v>
      </c>
      <c r="M8" s="92"/>
      <c r="N8" s="93"/>
      <c r="O8" s="94" t="s">
        <v>15</v>
      </c>
      <c r="P8" s="82"/>
      <c r="Q8" s="82"/>
    </row>
    <row r="9" spans="2:17" x14ac:dyDescent="0.4">
      <c r="C9" s="27"/>
      <c r="D9" s="1" t="s">
        <v>0</v>
      </c>
      <c r="E9" s="1" t="s">
        <v>1</v>
      </c>
      <c r="F9" s="28" t="s">
        <v>2</v>
      </c>
      <c r="G9" s="5"/>
      <c r="H9" s="90"/>
      <c r="I9" s="1" t="s">
        <v>12</v>
      </c>
      <c r="J9" s="1" t="s">
        <v>0</v>
      </c>
      <c r="K9" s="29" t="s">
        <v>13</v>
      </c>
      <c r="L9" s="50" t="s">
        <v>12</v>
      </c>
      <c r="M9" s="1" t="s">
        <v>0</v>
      </c>
      <c r="N9" s="51" t="s">
        <v>7</v>
      </c>
      <c r="O9" s="30" t="s">
        <v>12</v>
      </c>
      <c r="P9" s="1" t="s">
        <v>0</v>
      </c>
      <c r="Q9" s="1" t="s">
        <v>7</v>
      </c>
    </row>
    <row r="10" spans="2:17" x14ac:dyDescent="0.4">
      <c r="C10" s="6" t="s">
        <v>4</v>
      </c>
      <c r="D10" s="4">
        <v>19000000</v>
      </c>
      <c r="E10" s="7">
        <v>0.2</v>
      </c>
      <c r="F10" s="8">
        <f>D10*E10</f>
        <v>3800000</v>
      </c>
      <c r="G10" s="9"/>
      <c r="H10" s="10" t="s">
        <v>4</v>
      </c>
      <c r="I10" s="11">
        <v>0.75</v>
      </c>
      <c r="J10" s="12">
        <f>D10*I10</f>
        <v>14250000</v>
      </c>
      <c r="K10" s="47">
        <f>E10*J10</f>
        <v>2850000</v>
      </c>
      <c r="L10" s="52">
        <v>0.7</v>
      </c>
      <c r="M10" s="14">
        <f>$D$10*L10</f>
        <v>13300000</v>
      </c>
      <c r="N10" s="53">
        <f>M10*E10</f>
        <v>2660000</v>
      </c>
      <c r="O10" s="48">
        <v>0.65</v>
      </c>
      <c r="P10" s="14">
        <f>$D$10*O10</f>
        <v>12350000</v>
      </c>
      <c r="Q10" s="4">
        <f>P10*E10</f>
        <v>2470000</v>
      </c>
    </row>
    <row r="11" spans="2:17" x14ac:dyDescent="0.4">
      <c r="C11" s="6" t="s">
        <v>3</v>
      </c>
      <c r="D11" s="4">
        <v>14000000</v>
      </c>
      <c r="E11" s="15">
        <v>1.6</v>
      </c>
      <c r="F11" s="8">
        <f>D11*E11</f>
        <v>22400000</v>
      </c>
      <c r="G11" s="9"/>
      <c r="H11" s="10" t="s">
        <v>3</v>
      </c>
      <c r="I11" s="11">
        <v>0.65</v>
      </c>
      <c r="J11" s="12">
        <f>D11*I11</f>
        <v>9100000</v>
      </c>
      <c r="K11" s="47">
        <f>E11*J11</f>
        <v>14560000</v>
      </c>
      <c r="L11" s="52">
        <v>0.6</v>
      </c>
      <c r="M11" s="14">
        <f>$D$11*L11</f>
        <v>8400000</v>
      </c>
      <c r="N11" s="53">
        <f>M11*E11</f>
        <v>13440000</v>
      </c>
      <c r="O11" s="48">
        <v>0.55000000000000004</v>
      </c>
      <c r="P11" s="14">
        <f>$D$11*O11</f>
        <v>7700000.0000000009</v>
      </c>
      <c r="Q11" s="4">
        <f>P11*E11</f>
        <v>12320000.000000002</v>
      </c>
    </row>
    <row r="12" spans="2:17" ht="16.2" thickBot="1" x14ac:dyDescent="0.45">
      <c r="C12" s="16"/>
      <c r="D12" s="17"/>
      <c r="E12" s="17"/>
      <c r="F12" s="18">
        <f>SUM(F10:F11)</f>
        <v>26200000</v>
      </c>
      <c r="G12" s="19"/>
      <c r="H12" s="20"/>
      <c r="I12" s="13"/>
      <c r="J12" s="14"/>
      <c r="K12" s="47">
        <f>SUM(K10:K11)</f>
        <v>17410000</v>
      </c>
      <c r="L12" s="54"/>
      <c r="M12" s="55"/>
      <c r="N12" s="56">
        <f>SUM(N10:N11)</f>
        <v>16100000</v>
      </c>
      <c r="O12" s="49"/>
      <c r="P12" s="21"/>
      <c r="Q12" s="4">
        <f>SUM(Q10:Q11)</f>
        <v>14790000.000000002</v>
      </c>
    </row>
    <row r="13" spans="2:17" ht="16.2" thickBot="1" x14ac:dyDescent="0.45">
      <c r="I13" s="22"/>
      <c r="J13" s="19"/>
    </row>
    <row r="14" spans="2:17" x14ac:dyDescent="0.4">
      <c r="B14" s="23"/>
      <c r="C14" s="24"/>
      <c r="D14" s="24"/>
      <c r="E14" s="34" t="s">
        <v>8</v>
      </c>
      <c r="F14" s="35">
        <v>1370</v>
      </c>
      <c r="I14" s="22"/>
      <c r="J14" s="19"/>
    </row>
    <row r="15" spans="2:17" x14ac:dyDescent="0.4">
      <c r="B15" s="86" t="s">
        <v>30</v>
      </c>
      <c r="C15" s="87"/>
      <c r="D15" s="87"/>
      <c r="E15" s="87"/>
      <c r="F15" s="88"/>
    </row>
    <row r="16" spans="2:17" x14ac:dyDescent="0.4">
      <c r="B16" s="27" t="s">
        <v>5</v>
      </c>
      <c r="C16" s="1" t="s">
        <v>0</v>
      </c>
      <c r="D16" s="1" t="s">
        <v>6</v>
      </c>
      <c r="E16" s="1" t="s">
        <v>1</v>
      </c>
      <c r="F16" s="28" t="s">
        <v>7</v>
      </c>
      <c r="G16" s="5"/>
      <c r="J16" s="89" t="s">
        <v>28</v>
      </c>
      <c r="K16" s="1" t="s">
        <v>20</v>
      </c>
    </row>
    <row r="17" spans="2:12" x14ac:dyDescent="0.4">
      <c r="B17" s="6" t="s">
        <v>9</v>
      </c>
      <c r="C17" s="4">
        <v>2400</v>
      </c>
      <c r="D17" s="14">
        <f>$F$14*C17</f>
        <v>3288000</v>
      </c>
      <c r="E17" s="21">
        <v>1</v>
      </c>
      <c r="F17" s="25">
        <f>D17*E17</f>
        <v>3288000</v>
      </c>
      <c r="G17" s="19"/>
      <c r="J17" s="90"/>
      <c r="K17" s="1" t="s">
        <v>7</v>
      </c>
    </row>
    <row r="18" spans="2:12" x14ac:dyDescent="0.4">
      <c r="B18" s="6" t="s">
        <v>10</v>
      </c>
      <c r="C18" s="4">
        <v>3400</v>
      </c>
      <c r="D18" s="14">
        <f>$F$14*C18</f>
        <v>4658000</v>
      </c>
      <c r="E18" s="21">
        <v>3</v>
      </c>
      <c r="F18" s="25">
        <f t="shared" ref="F18:F19" si="0">D18*E18</f>
        <v>13974000</v>
      </c>
      <c r="G18" s="19"/>
      <c r="J18" s="3" t="s">
        <v>4</v>
      </c>
      <c r="K18" s="4">
        <f>D4*E10</f>
        <v>3000000</v>
      </c>
    </row>
    <row r="19" spans="2:12" x14ac:dyDescent="0.4">
      <c r="B19" s="6" t="s">
        <v>11</v>
      </c>
      <c r="C19" s="4">
        <v>4300</v>
      </c>
      <c r="D19" s="14">
        <f>$F$14*C19</f>
        <v>5891000</v>
      </c>
      <c r="E19" s="21">
        <v>0</v>
      </c>
      <c r="F19" s="25">
        <f t="shared" si="0"/>
        <v>0</v>
      </c>
      <c r="G19" s="19"/>
      <c r="J19" s="3" t="s">
        <v>3</v>
      </c>
      <c r="K19" s="4">
        <f>D5*E11</f>
        <v>16000000</v>
      </c>
    </row>
    <row r="20" spans="2:12" ht="16.2" thickBot="1" x14ac:dyDescent="0.45">
      <c r="B20" s="16"/>
      <c r="C20" s="17"/>
      <c r="D20" s="17"/>
      <c r="E20" s="17"/>
      <c r="F20" s="18">
        <f>SUM(F17:F19)</f>
        <v>17262000</v>
      </c>
      <c r="G20" s="19"/>
      <c r="H20" s="42">
        <f>F20/F12</f>
        <v>0.65885496183206105</v>
      </c>
      <c r="J20" s="3" t="s">
        <v>23</v>
      </c>
      <c r="K20" s="4">
        <f>SUM(K18:K19)</f>
        <v>19000000</v>
      </c>
      <c r="L20" s="22">
        <f>K20/F12</f>
        <v>0.72519083969465647</v>
      </c>
    </row>
    <row r="21" spans="2:12" x14ac:dyDescent="0.4">
      <c r="H21" s="43"/>
    </row>
    <row r="22" spans="2:12" x14ac:dyDescent="0.4">
      <c r="H22" s="43"/>
    </row>
    <row r="23" spans="2:12" x14ac:dyDescent="0.4">
      <c r="H23" s="43"/>
    </row>
    <row r="24" spans="2:12" x14ac:dyDescent="0.4">
      <c r="H24" s="43"/>
    </row>
    <row r="25" spans="2:12" x14ac:dyDescent="0.4">
      <c r="H25" s="43"/>
    </row>
    <row r="26" spans="2:12" x14ac:dyDescent="0.4">
      <c r="H26" s="43"/>
    </row>
    <row r="27" spans="2:12" x14ac:dyDescent="0.4">
      <c r="E27" s="32" t="s">
        <v>8</v>
      </c>
      <c r="F27" s="33">
        <v>1370</v>
      </c>
      <c r="H27" s="43"/>
    </row>
    <row r="28" spans="2:12" x14ac:dyDescent="0.4">
      <c r="B28" s="79" t="s">
        <v>21</v>
      </c>
      <c r="C28" s="80"/>
      <c r="D28" s="80"/>
      <c r="E28" s="80"/>
      <c r="F28" s="81"/>
      <c r="H28" s="43"/>
    </row>
    <row r="29" spans="2:12" x14ac:dyDescent="0.4">
      <c r="B29" s="1" t="s">
        <v>5</v>
      </c>
      <c r="C29" s="1" t="s">
        <v>0</v>
      </c>
      <c r="D29" s="1" t="s">
        <v>6</v>
      </c>
      <c r="E29" s="1" t="s">
        <v>1</v>
      </c>
      <c r="F29" s="1" t="s">
        <v>7</v>
      </c>
      <c r="H29" s="43"/>
    </row>
    <row r="30" spans="2:12" x14ac:dyDescent="0.4">
      <c r="B30" s="3" t="s">
        <v>9</v>
      </c>
      <c r="C30" s="4">
        <v>2400</v>
      </c>
      <c r="D30" s="14">
        <f>$F$14*C30</f>
        <v>3288000</v>
      </c>
      <c r="E30" s="15">
        <f>E11</f>
        <v>1.6</v>
      </c>
      <c r="F30" s="14">
        <f>D30*E30</f>
        <v>5260800</v>
      </c>
      <c r="H30" s="78">
        <f>(F30+F31)/F11</f>
        <v>0.56757142857142862</v>
      </c>
    </row>
    <row r="31" spans="2:12" x14ac:dyDescent="0.4">
      <c r="B31" s="3" t="s">
        <v>10</v>
      </c>
      <c r="C31" s="4">
        <v>3400</v>
      </c>
      <c r="D31" s="14">
        <f>$F$14*C31</f>
        <v>4658000</v>
      </c>
      <c r="E31" s="15">
        <f>E11</f>
        <v>1.6</v>
      </c>
      <c r="F31" s="14">
        <f t="shared" ref="F31" si="1">D31*E31</f>
        <v>7452800</v>
      </c>
      <c r="H31" s="78"/>
      <c r="J31" s="19"/>
    </row>
    <row r="32" spans="2:12" x14ac:dyDescent="0.4">
      <c r="B32" s="3" t="s">
        <v>11</v>
      </c>
      <c r="C32" s="4">
        <v>4300</v>
      </c>
      <c r="D32" s="14">
        <f>$F$14*C32</f>
        <v>5891000</v>
      </c>
      <c r="E32" s="26">
        <f>E10*2</f>
        <v>0.4</v>
      </c>
      <c r="F32" s="14">
        <f>D32*E32</f>
        <v>2356400</v>
      </c>
      <c r="H32" s="44">
        <f>F32/F10</f>
        <v>0.62010526315789471</v>
      </c>
      <c r="J32" s="19"/>
    </row>
    <row r="33" spans="2:8" x14ac:dyDescent="0.4">
      <c r="B33" s="21"/>
      <c r="C33" s="21"/>
      <c r="D33" s="21"/>
      <c r="E33" s="21"/>
      <c r="F33" s="14">
        <f>SUM(F30:F32)</f>
        <v>15070000</v>
      </c>
      <c r="H33" s="46">
        <f>F33/F12</f>
        <v>0.57519083969465645</v>
      </c>
    </row>
    <row r="34" spans="2:8" x14ac:dyDescent="0.4">
      <c r="H34" s="45"/>
    </row>
    <row r="35" spans="2:8" x14ac:dyDescent="0.4">
      <c r="H35" s="45"/>
    </row>
    <row r="36" spans="2:8" x14ac:dyDescent="0.4">
      <c r="E36" s="32" t="s">
        <v>8</v>
      </c>
      <c r="F36" s="33">
        <v>1370</v>
      </c>
      <c r="H36" s="43"/>
    </row>
    <row r="37" spans="2:8" x14ac:dyDescent="0.4">
      <c r="B37" s="82" t="s">
        <v>22</v>
      </c>
      <c r="C37" s="82"/>
      <c r="D37" s="82"/>
      <c r="E37" s="82"/>
      <c r="F37" s="82"/>
      <c r="H37" s="43"/>
    </row>
    <row r="38" spans="2:8" x14ac:dyDescent="0.4">
      <c r="B38" s="1" t="s">
        <v>5</v>
      </c>
      <c r="C38" s="1" t="s">
        <v>0</v>
      </c>
      <c r="D38" s="1" t="s">
        <v>6</v>
      </c>
      <c r="E38" s="1" t="s">
        <v>1</v>
      </c>
      <c r="F38" s="1" t="s">
        <v>7</v>
      </c>
      <c r="H38" s="43"/>
    </row>
    <row r="39" spans="2:8" x14ac:dyDescent="0.4">
      <c r="B39" s="3" t="s">
        <v>9</v>
      </c>
      <c r="C39" s="4">
        <v>2400</v>
      </c>
      <c r="D39" s="14">
        <f>$F$14*C39</f>
        <v>3288000</v>
      </c>
      <c r="E39" s="15">
        <f>E20</f>
        <v>0</v>
      </c>
      <c r="F39" s="14">
        <f>D39*E39</f>
        <v>0</v>
      </c>
      <c r="H39" s="43"/>
    </row>
    <row r="40" spans="2:8" x14ac:dyDescent="0.4">
      <c r="B40" s="3" t="s">
        <v>10</v>
      </c>
      <c r="C40" s="4">
        <v>3400</v>
      </c>
      <c r="D40" s="14">
        <f>$F$14*C40</f>
        <v>4658000</v>
      </c>
      <c r="E40" s="15">
        <f>E11*2</f>
        <v>3.2</v>
      </c>
      <c r="F40" s="14">
        <f t="shared" ref="F40:F41" si="2">D40*E40</f>
        <v>14905600</v>
      </c>
      <c r="H40" s="44">
        <f>F40/F11</f>
        <v>0.66542857142857148</v>
      </c>
    </row>
    <row r="41" spans="2:8" x14ac:dyDescent="0.4">
      <c r="B41" s="3" t="s">
        <v>11</v>
      </c>
      <c r="C41" s="4">
        <v>4300</v>
      </c>
      <c r="D41" s="14">
        <f>$F$14*C41</f>
        <v>5891000</v>
      </c>
      <c r="E41" s="26">
        <f>E10</f>
        <v>0.2</v>
      </c>
      <c r="F41" s="14">
        <f t="shared" si="2"/>
        <v>1178200</v>
      </c>
      <c r="H41" s="44">
        <f>F41/F10</f>
        <v>0.31005263157894736</v>
      </c>
    </row>
    <row r="42" spans="2:8" x14ac:dyDescent="0.4">
      <c r="B42" s="21"/>
      <c r="C42" s="21"/>
      <c r="D42" s="21"/>
      <c r="E42" s="21"/>
      <c r="F42" s="14">
        <f>SUM(F39:F41)</f>
        <v>16083800</v>
      </c>
      <c r="H42" s="46">
        <f>F42/F12</f>
        <v>0.61388549618320609</v>
      </c>
    </row>
    <row r="43" spans="2:8" x14ac:dyDescent="0.4">
      <c r="H43" s="43"/>
    </row>
    <row r="44" spans="2:8" x14ac:dyDescent="0.4">
      <c r="H44" s="43"/>
    </row>
    <row r="45" spans="2:8" x14ac:dyDescent="0.4">
      <c r="E45" s="32" t="s">
        <v>8</v>
      </c>
      <c r="F45" s="33">
        <v>1370</v>
      </c>
      <c r="H45" s="43"/>
    </row>
    <row r="46" spans="2:8" x14ac:dyDescent="0.4">
      <c r="B46" s="82" t="s">
        <v>29</v>
      </c>
      <c r="C46" s="82"/>
      <c r="D46" s="82"/>
      <c r="E46" s="82"/>
      <c r="F46" s="82"/>
      <c r="H46" s="43"/>
    </row>
    <row r="47" spans="2:8" x14ac:dyDescent="0.4">
      <c r="B47" s="1" t="s">
        <v>5</v>
      </c>
      <c r="C47" s="1" t="s">
        <v>0</v>
      </c>
      <c r="D47" s="1" t="s">
        <v>6</v>
      </c>
      <c r="E47" s="1" t="s">
        <v>1</v>
      </c>
      <c r="F47" s="1" t="s">
        <v>7</v>
      </c>
      <c r="H47" s="43"/>
    </row>
    <row r="48" spans="2:8" x14ac:dyDescent="0.4">
      <c r="B48" s="3" t="s">
        <v>9</v>
      </c>
      <c r="C48" s="4">
        <v>2400</v>
      </c>
      <c r="D48" s="14">
        <f>$F$14*C48</f>
        <v>3288000</v>
      </c>
      <c r="E48" s="15">
        <f>E11*2.5</f>
        <v>4</v>
      </c>
      <c r="F48" s="14">
        <f>D48*E48</f>
        <v>13152000</v>
      </c>
      <c r="H48" s="44">
        <f>F48/F11</f>
        <v>0.58714285714285719</v>
      </c>
    </row>
    <row r="49" spans="2:8" x14ac:dyDescent="0.4">
      <c r="B49" s="3" t="s">
        <v>10</v>
      </c>
      <c r="C49" s="4">
        <v>3400</v>
      </c>
      <c r="D49" s="14">
        <f>$F$14*C49</f>
        <v>4658000</v>
      </c>
      <c r="E49" s="15">
        <f>E20*2</f>
        <v>0</v>
      </c>
      <c r="F49" s="14">
        <f t="shared" ref="F49:F50" si="3">D49*E49</f>
        <v>0</v>
      </c>
      <c r="H49" s="44"/>
    </row>
    <row r="50" spans="2:8" x14ac:dyDescent="0.4">
      <c r="B50" s="3" t="s">
        <v>11</v>
      </c>
      <c r="C50" s="4">
        <v>4300</v>
      </c>
      <c r="D50" s="14">
        <f>$F$14*C50</f>
        <v>5891000</v>
      </c>
      <c r="E50" s="26">
        <f>E10*2</f>
        <v>0.4</v>
      </c>
      <c r="F50" s="14">
        <f t="shared" si="3"/>
        <v>2356400</v>
      </c>
      <c r="H50" s="44">
        <f>F50/F10</f>
        <v>0.62010526315789471</v>
      </c>
    </row>
    <row r="51" spans="2:8" x14ac:dyDescent="0.4">
      <c r="B51" s="21"/>
      <c r="C51" s="21"/>
      <c r="D51" s="21"/>
      <c r="E51" s="21"/>
      <c r="F51" s="14">
        <f>SUM(F48:F50)</f>
        <v>15508400</v>
      </c>
      <c r="H51" s="46">
        <f>F51/F12</f>
        <v>0.59192366412213737</v>
      </c>
    </row>
  </sheetData>
  <mergeCells count="12">
    <mergeCell ref="J16:J17"/>
    <mergeCell ref="I8:K8"/>
    <mergeCell ref="L8:N8"/>
    <mergeCell ref="O8:Q8"/>
    <mergeCell ref="B2:F2"/>
    <mergeCell ref="H8:H9"/>
    <mergeCell ref="H30:H31"/>
    <mergeCell ref="B28:F28"/>
    <mergeCell ref="B37:F37"/>
    <mergeCell ref="B46:F46"/>
    <mergeCell ref="C8:F8"/>
    <mergeCell ref="B15:F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인니외주계산</vt:lpstr>
      <vt:lpstr>사용법</vt:lpstr>
      <vt:lpstr>기타 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영규</dc:creator>
  <cp:lastModifiedBy>김 명남</cp:lastModifiedBy>
  <dcterms:created xsi:type="dcterms:W3CDTF">2025-07-03T01:39:06Z</dcterms:created>
  <dcterms:modified xsi:type="dcterms:W3CDTF">2025-08-11T00:35:49Z</dcterms:modified>
</cp:coreProperties>
</file>