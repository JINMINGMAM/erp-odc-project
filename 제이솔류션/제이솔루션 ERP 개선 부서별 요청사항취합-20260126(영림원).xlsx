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제이솔류션/"/>
    </mc:Choice>
  </mc:AlternateContent>
  <xr:revisionPtr revIDLastSave="96" documentId="13_ncr:1_{106D515B-7E60-4D19-9C79-51300BD4BB1E}" xr6:coauthVersionLast="47" xr6:coauthVersionMax="47" xr10:uidLastSave="{C252413C-7C38-4404-A12A-664A5CEB44CB}"/>
  <bookViews>
    <workbookView xWindow="-108" yWindow="-108" windowWidth="23256" windowHeight="12456" activeTab="1" xr2:uid="{00000000-000D-0000-FFFF-FFFF00000000}"/>
  </bookViews>
  <sheets>
    <sheet name="개발요청목록_수정" sheetId="5" r:id="rId1"/>
    <sheet name="Sheet1" sheetId="6" r:id="rId2"/>
    <sheet name="Sheet2" sheetId="7" r:id="rId3"/>
    <sheet name="개발요청목록" sheetId="2" state="hidden" r:id="rId4"/>
    <sheet name="생관" sheetId="3" r:id="rId5"/>
    <sheet name="생산현황" sheetId="4" r:id="rId6"/>
  </sheets>
  <definedNames>
    <definedName name="_xlnm._FilterDatabase" localSheetId="3" hidden="1">개발요청목록!$A$2:$Y$2</definedName>
    <definedName name="_xlnm._FilterDatabase" localSheetId="0" hidden="1">개발요청목록_수정!$A$2:$Y$2</definedName>
    <definedName name="_xlnm.Print_Titles" localSheetId="3">개발요청목록!$2:$2</definedName>
    <definedName name="_xlnm.Print_Titles" localSheetId="0">개발요청목록_수정!$2:$2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5" l="1"/>
</calcChain>
</file>

<file path=xl/sharedStrings.xml><?xml version="1.0" encoding="utf-8"?>
<sst xmlns="http://schemas.openxmlformats.org/spreadsheetml/2006/main" count="816" uniqueCount="370">
  <si>
    <t>요청일자</t>
  </si>
  <si>
    <t>프로세스명</t>
  </si>
  <si>
    <t>하위프로세스</t>
  </si>
  <si>
    <t>요구사항명</t>
  </si>
  <si>
    <t>중요도</t>
  </si>
  <si>
    <t>요구사항ID</t>
  </si>
  <si>
    <t>작성자</t>
  </si>
  <si>
    <t>요청부서(고객)</t>
  </si>
  <si>
    <t>요청자(고객)</t>
  </si>
  <si>
    <t>요청근거</t>
  </si>
  <si>
    <t>요구사항세부내용</t>
  </si>
  <si>
    <t>대응방안</t>
  </si>
  <si>
    <t>대응방안세부내용</t>
  </si>
  <si>
    <t>최종요구사항(요약)</t>
  </si>
  <si>
    <t>완료일</t>
  </si>
  <si>
    <t>중단여부</t>
  </si>
  <si>
    <t>중단일</t>
  </si>
  <si>
    <t>중단자</t>
  </si>
  <si>
    <t>J-Solution 고객요구사항관리</t>
    <phoneticPr fontId="6" type="noConversion"/>
  </si>
  <si>
    <t>번호</t>
    <phoneticPr fontId="6" type="noConversion"/>
  </si>
  <si>
    <t>휴가신청서</t>
    <phoneticPr fontId="6" type="noConversion"/>
  </si>
  <si>
    <t>구매</t>
    <phoneticPr fontId="6" type="noConversion"/>
  </si>
  <si>
    <t>물류</t>
    <phoneticPr fontId="6" type="noConversion"/>
  </si>
  <si>
    <t>창고별재고조회</t>
    <phoneticPr fontId="6" type="noConversion"/>
  </si>
  <si>
    <t>생산</t>
    <phoneticPr fontId="6" type="noConversion"/>
  </si>
  <si>
    <t>개발공수</t>
    <phoneticPr fontId="6" type="noConversion"/>
  </si>
  <si>
    <t>난이도</t>
    <phoneticPr fontId="6" type="noConversion"/>
  </si>
  <si>
    <t>비고
(개발할화면명)</t>
    <phoneticPr fontId="6" type="noConversion"/>
  </si>
  <si>
    <t>BOM등록</t>
    <phoneticPr fontId="6" type="noConversion"/>
  </si>
  <si>
    <t>생산관리</t>
    <phoneticPr fontId="6" type="noConversion"/>
  </si>
  <si>
    <t>거래중지, 폐기자재등 미사용자재가 BOM에 포함 되어 실적 오류발생(BOM복붙 시)
 -&gt; 미사용자재 BOM 등록 불가</t>
    <phoneticPr fontId="6" type="noConversion"/>
  </si>
  <si>
    <t>제품별공정별일괄등록</t>
    <phoneticPr fontId="6" type="noConversion"/>
  </si>
  <si>
    <t>미사용자재 BOM 등록불가해야함</t>
    <phoneticPr fontId="6" type="noConversion"/>
  </si>
  <si>
    <t>BOM등록 시 신규품번 일괄등록 필요</t>
    <phoneticPr fontId="6" type="noConversion"/>
  </si>
  <si>
    <t>수정</t>
    <phoneticPr fontId="6" type="noConversion"/>
  </si>
  <si>
    <t>작업지시배포전, 신규 품번 제품별 공정별 등록 일일히 등록 中, 미등록정보 일괄불러오기 불가함</t>
    <phoneticPr fontId="6" type="noConversion"/>
  </si>
  <si>
    <t>작업실적</t>
    <phoneticPr fontId="6" type="noConversion"/>
  </si>
  <si>
    <r>
      <t>일일히 잉여자재</t>
    </r>
    <r>
      <rPr>
        <sz val="9"/>
        <rFont val="돋움체"/>
        <family val="3"/>
        <charset val="129"/>
      </rPr>
      <t xml:space="preserve"> 조건 검색 후 투입처리 중,</t>
    </r>
    <phoneticPr fontId="6" type="noConversion"/>
  </si>
  <si>
    <t>미투입자재 일괄투입 기능 필요-&gt;조회구분추가</t>
    <phoneticPr fontId="6" type="noConversion"/>
  </si>
  <si>
    <t>기본정보</t>
    <phoneticPr fontId="6" type="noConversion"/>
  </si>
  <si>
    <t>안전재고설정/알람기능</t>
    <phoneticPr fontId="6" type="noConversion"/>
  </si>
  <si>
    <t>안전재고 지정과 알림기능으로 재고 부족 방지</t>
    <phoneticPr fontId="6" type="noConversion"/>
  </si>
  <si>
    <t>개발</t>
    <phoneticPr fontId="6" type="noConversion"/>
  </si>
  <si>
    <t>작업지시</t>
    <phoneticPr fontId="6" type="noConversion"/>
  </si>
  <si>
    <t>작업지시 출력이력 추가</t>
    <phoneticPr fontId="6" type="noConversion"/>
  </si>
  <si>
    <t>주간계획?</t>
    <phoneticPr fontId="6" type="noConversion"/>
  </si>
  <si>
    <t>생산현황표 생성
(엑셀-&gt;ERP)</t>
    <phoneticPr fontId="6" type="noConversion"/>
  </si>
  <si>
    <t>자재투입 실적 수시 입력 가능 필요</t>
    <phoneticPr fontId="6" type="noConversion"/>
  </si>
  <si>
    <t>김동수</t>
    <phoneticPr fontId="6" type="noConversion"/>
  </si>
  <si>
    <t>공수입력</t>
    <phoneticPr fontId="6" type="noConversion"/>
  </si>
  <si>
    <t>공수입력 최종 작업 종료 시 작업종료 체크박스 추가</t>
    <phoneticPr fontId="6" type="noConversion"/>
  </si>
  <si>
    <t># ERP 개선 요청 사항_생산관리부</t>
    <phoneticPr fontId="11" type="noConversion"/>
  </si>
  <si>
    <t>1. BOM등록 관련</t>
    <phoneticPr fontId="11" type="noConversion"/>
  </si>
  <si>
    <t xml:space="preserve"> - 현상 : 거래중지, 폐기자재등 미사용자재가 BOM에 포함 되어 실적 처리시, </t>
    <phoneticPr fontId="11" type="noConversion"/>
  </si>
  <si>
    <t xml:space="preserve">           올바른 사용자재를 실적 건마다 찾는 공수 증가</t>
    <phoneticPr fontId="11" type="noConversion"/>
  </si>
  <si>
    <t xml:space="preserve"> - 원인 : BOM 입력시, BOM 복사 후, 수량 변경 기입으로 예상</t>
    <phoneticPr fontId="11" type="noConversion"/>
  </si>
  <si>
    <t xml:space="preserve"> - 대책 : ① BOM 복사 행위 금지</t>
    <phoneticPr fontId="11" type="noConversion"/>
  </si>
  <si>
    <t xml:space="preserve">           ② BOM 복사시, 미사용 자재 로딩 금지 또는 경고 표기</t>
    <phoneticPr fontId="11" type="noConversion"/>
  </si>
  <si>
    <t>2. 제품별 공정별 일괄 등록</t>
    <phoneticPr fontId="11" type="noConversion"/>
  </si>
  <si>
    <t xml:space="preserve"> - 현상 : 작업지시배포전, 신규 품번 재품별 공정별 등록 건 바이 건으로 진행 中</t>
    <phoneticPr fontId="11" type="noConversion"/>
  </si>
  <si>
    <t xml:space="preserve"> - 원인 : 일괄 등록 처리 불가 (미 등록 정보 일괄 불러오는 행위 불가)</t>
    <phoneticPr fontId="11" type="noConversion"/>
  </si>
  <si>
    <t xml:space="preserve"> - 대책 : BOM등록 품번 中 미등록 품번 일괄 불러오기 기능 추가</t>
    <phoneticPr fontId="11" type="noConversion"/>
  </si>
  <si>
    <t>.</t>
    <phoneticPr fontId="11" type="noConversion"/>
  </si>
  <si>
    <t>3. 특정자재 실적 일괄 투입 (과부족 자재 일괄 투입)</t>
    <phoneticPr fontId="11" type="noConversion"/>
  </si>
  <si>
    <t xml:space="preserve"> - 현상 : 이상자재 일괄 투입 불가, 미투입 자재, 변경 자재 등 (기간별, 지시별, 실적별, 비고내용별 등) 개별 기재로 작업 공수 다수 발생</t>
    <phoneticPr fontId="11" type="noConversion"/>
  </si>
  <si>
    <t xml:space="preserve"> - 원인 : 조회 구분 조건 부족과, 누적 조회 불가로 개별 진행중</t>
    <phoneticPr fontId="11" type="noConversion"/>
  </si>
  <si>
    <t xml:space="preserve"> - 대책 : 조회 구분 항목 증가, 누적 조회 가능으로 시스템 변경</t>
    <phoneticPr fontId="11" type="noConversion"/>
  </si>
  <si>
    <t>4. 안전재고 수량 설정 및 알람 기능 추가</t>
    <phoneticPr fontId="11" type="noConversion"/>
  </si>
  <si>
    <t>5. 작업지시 출력 이력 추가</t>
    <phoneticPr fontId="11" type="noConversion"/>
  </si>
  <si>
    <t>6. 생산의뢰에 의한 작업지시 진행</t>
    <phoneticPr fontId="11" type="noConversion"/>
  </si>
  <si>
    <t>7. 생산현황표 ERP내재화</t>
    <phoneticPr fontId="11" type="noConversion"/>
  </si>
  <si>
    <t>8. 생산 현장 수불 (공정 이동 현황) 진행 목표 (수불 정합성 향상 및 생산 Capa 검증)</t>
    <phoneticPr fontId="11" type="noConversion"/>
  </si>
  <si>
    <t>9. 열선 재고 실시간 반영 방법 (1번과 연계)</t>
    <phoneticPr fontId="11" type="noConversion"/>
  </si>
  <si>
    <t>Process</t>
    <phoneticPr fontId="22" type="noConversion"/>
  </si>
  <si>
    <t>Status</t>
    <phoneticPr fontId="11" type="noConversion"/>
  </si>
  <si>
    <t>구분</t>
    <phoneticPr fontId="11" type="noConversion"/>
  </si>
  <si>
    <t>Order No.</t>
    <phoneticPr fontId="22" type="noConversion"/>
  </si>
  <si>
    <t>Sortation</t>
    <phoneticPr fontId="22" type="noConversion"/>
  </si>
  <si>
    <t>구분</t>
    <phoneticPr fontId="23" type="noConversion"/>
  </si>
  <si>
    <t>Customer</t>
    <phoneticPr fontId="22" type="noConversion"/>
  </si>
  <si>
    <t>MODEL</t>
    <phoneticPr fontId="22" type="noConversion"/>
  </si>
  <si>
    <t>제품명</t>
    <phoneticPr fontId="23" type="noConversion"/>
  </si>
  <si>
    <t>규격</t>
    <phoneticPr fontId="23" type="noConversion"/>
  </si>
  <si>
    <t>챔버</t>
    <phoneticPr fontId="22" type="noConversion"/>
  </si>
  <si>
    <t>구간</t>
    <phoneticPr fontId="22" type="noConversion"/>
  </si>
  <si>
    <t>조각</t>
    <phoneticPr fontId="23" type="noConversion"/>
  </si>
  <si>
    <t>제작완료</t>
    <phoneticPr fontId="22" type="noConversion"/>
  </si>
  <si>
    <t>고객사 납기</t>
    <phoneticPr fontId="23" type="noConversion"/>
  </si>
  <si>
    <t>실측</t>
    <phoneticPr fontId="22" type="noConversion"/>
  </si>
  <si>
    <t>설계예정</t>
    <phoneticPr fontId="11" type="noConversion"/>
  </si>
  <si>
    <t>설계</t>
    <phoneticPr fontId="22" type="noConversion"/>
  </si>
  <si>
    <t>재단</t>
    <phoneticPr fontId="22" type="noConversion"/>
  </si>
  <si>
    <t>단열재</t>
    <phoneticPr fontId="11" type="noConversion"/>
  </si>
  <si>
    <t>합봉</t>
    <phoneticPr fontId="22" type="noConversion"/>
  </si>
  <si>
    <t>테스트
/포장</t>
    <phoneticPr fontId="11" type="noConversion"/>
  </si>
  <si>
    <t>감리</t>
    <phoneticPr fontId="11" type="noConversion"/>
  </si>
  <si>
    <t>설정 
온도</t>
    <phoneticPr fontId="23" type="noConversion"/>
  </si>
  <si>
    <t>내피</t>
    <phoneticPr fontId="23" type="noConversion"/>
  </si>
  <si>
    <t>외피</t>
    <phoneticPr fontId="23" type="noConversion"/>
  </si>
  <si>
    <t>속지</t>
    <phoneticPr fontId="22" type="noConversion"/>
  </si>
  <si>
    <t>체결 타입</t>
    <phoneticPr fontId="23" type="noConversion"/>
  </si>
  <si>
    <t>공통구간</t>
    <phoneticPr fontId="22" type="noConversion"/>
  </si>
  <si>
    <t>비고</t>
    <phoneticPr fontId="23" type="noConversion"/>
  </si>
  <si>
    <t>진행상황</t>
    <phoneticPr fontId="22" type="noConversion"/>
  </si>
  <si>
    <t>OPEN</t>
  </si>
  <si>
    <t>삼성</t>
  </si>
  <si>
    <t>P</t>
  </si>
  <si>
    <t>감리</t>
  </si>
  <si>
    <t>P4</t>
    <phoneticPr fontId="11" type="noConversion"/>
  </si>
  <si>
    <t>SEC</t>
  </si>
  <si>
    <t>히팅</t>
  </si>
  <si>
    <t>H/J P4 ETCH EHP3503 4CH B타입</t>
  </si>
  <si>
    <t/>
  </si>
  <si>
    <t>실리콘 코팅</t>
    <phoneticPr fontId="11" type="noConversion"/>
  </si>
  <si>
    <t>검정</t>
    <phoneticPr fontId="11" type="noConversion"/>
  </si>
  <si>
    <t>신규감리건</t>
  </si>
  <si>
    <t>W</t>
  </si>
  <si>
    <t>P4</t>
  </si>
  <si>
    <t>P4 EHP3503 PM1 (FSF)(4ch)_02</t>
  </si>
  <si>
    <t>NW125</t>
    <phoneticPr fontId="11" type="noConversion"/>
  </si>
  <si>
    <t>PM1</t>
    <phoneticPr fontId="11" type="noConversion"/>
  </si>
  <si>
    <t>FSF</t>
    <phoneticPr fontId="11" type="noConversion"/>
  </si>
  <si>
    <t>P4 EHP3503 PM2 (FSF)(4ch)_02</t>
  </si>
  <si>
    <t>PM2</t>
    <phoneticPr fontId="11" type="noConversion"/>
  </si>
  <si>
    <t>P4 EHP3503 PM3 (FSF)(4ch)_02</t>
  </si>
  <si>
    <t>PM3</t>
    <phoneticPr fontId="11" type="noConversion"/>
  </si>
  <si>
    <t>P4 EHP3503 PM4 (FSF)(4ch)_02</t>
  </si>
  <si>
    <t>PM4</t>
    <phoneticPr fontId="11" type="noConversion"/>
  </si>
  <si>
    <t>-</t>
    <phoneticPr fontId="11" type="noConversion"/>
  </si>
  <si>
    <t>히팅</t>
    <phoneticPr fontId="11" type="noConversion"/>
  </si>
  <si>
    <t>장비사</t>
  </si>
  <si>
    <t>하이닉스</t>
    <phoneticPr fontId="11" type="noConversion"/>
  </si>
  <si>
    <t>100SET</t>
    <phoneticPr fontId="11" type="noConversion"/>
  </si>
  <si>
    <t>보온</t>
    <phoneticPr fontId="11" type="noConversion"/>
  </si>
  <si>
    <t>보온자켓 / PMS-45H 130mm_Ver.2.0</t>
  </si>
  <si>
    <t>PMS 적용 보온 Jacket으로 생산 완료 후 전장 사업부 전달 부탁 드립니다.</t>
  </si>
  <si>
    <t>원익</t>
    <phoneticPr fontId="11" type="noConversion"/>
  </si>
  <si>
    <t>30inch Column H/J Ver.4.1</t>
  </si>
  <si>
    <t>(S) 원익홀딩스 30 Inch 컬럼_상부 Ver.4.1</t>
  </si>
  <si>
    <t>(S) 원익홀딩스 30 Inch 컬럼_하부 Ver.4.1</t>
  </si>
  <si>
    <t>외주</t>
    <phoneticPr fontId="11" type="noConversion"/>
  </si>
  <si>
    <t>20260209001-001</t>
    <phoneticPr fontId="11" type="noConversion"/>
  </si>
  <si>
    <t>20260209001-002</t>
    <phoneticPr fontId="11" type="noConversion"/>
  </si>
  <si>
    <t>20260210020-001</t>
    <phoneticPr fontId="11" type="noConversion"/>
  </si>
  <si>
    <t>20260210020-002</t>
    <phoneticPr fontId="11" type="noConversion"/>
  </si>
  <si>
    <t>20260212002-001</t>
  </si>
  <si>
    <t>20260212002-002</t>
  </si>
  <si>
    <t>20260213005-001</t>
  </si>
  <si>
    <t>20260213005-002</t>
  </si>
  <si>
    <t>70SET</t>
    <phoneticPr fontId="11" type="noConversion"/>
  </si>
  <si>
    <t>품목등록</t>
    <phoneticPr fontId="6" type="noConversion"/>
  </si>
  <si>
    <t>추가정보 등록/삭제 권한 부여</t>
    <phoneticPr fontId="6" type="noConversion"/>
  </si>
  <si>
    <r>
      <t>H</t>
    </r>
    <r>
      <rPr>
        <sz val="9"/>
        <rFont val="돋움체"/>
        <family val="3"/>
        <charset val="129"/>
      </rPr>
      <t>/J개발</t>
    </r>
    <phoneticPr fontId="6" type="noConversion"/>
  </si>
  <si>
    <t>품목조회</t>
    <phoneticPr fontId="6" type="noConversion"/>
  </si>
  <si>
    <t>컬럼 이동 가능</t>
    <phoneticPr fontId="6" type="noConversion"/>
  </si>
  <si>
    <t>품목조회창의 '조각수량'컬럼 이동이 불가</t>
    <phoneticPr fontId="6" type="noConversion"/>
  </si>
  <si>
    <t>생산의뢰조회</t>
    <phoneticPr fontId="6" type="noConversion"/>
  </si>
  <si>
    <t>제품명 클릭 시 품목등록 또는 조회 메뉴로 이동</t>
    <phoneticPr fontId="6" type="noConversion"/>
  </si>
  <si>
    <t>생산의뢰조회 화면의 의뢰대표품명 클릭 시 품목등록 / 품목조회 창으로 이동</t>
    <phoneticPr fontId="6" type="noConversion"/>
  </si>
  <si>
    <t>마우스 우클릭시 행삭제 기능 필요(행추가만 있슴)</t>
    <phoneticPr fontId="6" type="noConversion"/>
  </si>
  <si>
    <t xml:space="preserve">BOM 등록창 행삭제 기능 메뉴에만 있음 
  └&gt;마우스 우클릭시 행추가 메뉴만 있음
▶ 마우스 우클릭시 행추가&amp;삭제 기능 추가 </t>
    <phoneticPr fontId="6" type="noConversion"/>
  </si>
  <si>
    <t>공통</t>
    <phoneticPr fontId="6" type="noConversion"/>
  </si>
  <si>
    <t>창메뉴</t>
    <phoneticPr fontId="6" type="noConversion"/>
  </si>
  <si>
    <t>뒤로가기 클릭 시 로그아웃 팝업창-&gt;이전 메뉴로 이동</t>
    <phoneticPr fontId="6" type="noConversion"/>
  </si>
  <si>
    <t xml:space="preserve">로그아웃 창이 아닌 이전 확인 창으로 갈수 잇도록 개선 요청
</t>
    <phoneticPr fontId="6" type="noConversion"/>
  </si>
  <si>
    <t>영업</t>
    <phoneticPr fontId="6" type="noConversion"/>
  </si>
  <si>
    <t>판매계획</t>
    <phoneticPr fontId="6" type="noConversion"/>
  </si>
  <si>
    <t>품목별판매계획으로 연간계획 수립 가능토록</t>
    <phoneticPr fontId="6" type="noConversion"/>
  </si>
  <si>
    <t>이현희</t>
    <phoneticPr fontId="6" type="noConversion"/>
  </si>
  <si>
    <t>홍성호</t>
    <phoneticPr fontId="6" type="noConversion"/>
  </si>
  <si>
    <t xml:space="preserve"> - 단가, 수량 입력 후 금액 자동계산
 - 금액합계 필요; 연간계획
 - 품목별판매계획 클릭 시 조회화면 없슴</t>
    <phoneticPr fontId="6" type="noConversion"/>
  </si>
  <si>
    <t>판매계획/실적</t>
    <phoneticPr fontId="6" type="noConversion"/>
  </si>
  <si>
    <t>판매계획 수립 시 Project 입력 후 실적 연동 필요</t>
    <phoneticPr fontId="6" type="noConversion"/>
  </si>
  <si>
    <t xml:space="preserve"> - 품목별 판매계획 실적 조회 시 project 분류체계 추가 필요 </t>
    <phoneticPr fontId="6" type="noConversion"/>
  </si>
  <si>
    <t>수정; K SYSTEM 버그?
영업계획/실적 메뉴 전반적으로 현실성 떨어짐</t>
    <phoneticPr fontId="6" type="noConversion"/>
  </si>
  <si>
    <t>인사</t>
    <phoneticPr fontId="6" type="noConversion"/>
  </si>
  <si>
    <t>조직진단현황_jsl</t>
    <phoneticPr fontId="6" type="noConversion"/>
  </si>
  <si>
    <t>데쉬보드의 숫자와 실제 면담 data 수가 다름</t>
    <phoneticPr fontId="6" type="noConversion"/>
  </si>
  <si>
    <t>인력개발</t>
    <phoneticPr fontId="6" type="noConversion"/>
  </si>
  <si>
    <t>정성철</t>
    <phoneticPr fontId="6" type="noConversion"/>
  </si>
  <si>
    <t>오휴 수정 필요</t>
    <phoneticPr fontId="6" type="noConversion"/>
  </si>
  <si>
    <t>오류수정</t>
    <phoneticPr fontId="6" type="noConversion"/>
  </si>
  <si>
    <t>학습신청등록</t>
    <phoneticPr fontId="6" type="noConversion"/>
  </si>
  <si>
    <r>
      <t>등록된 학습과정</t>
    </r>
    <r>
      <rPr>
        <sz val="9"/>
        <rFont val="돋움체"/>
        <family val="3"/>
        <charset val="129"/>
      </rPr>
      <t xml:space="preserve"> 외에 신청자가 과정을 신설/기입할 수 있도록 수정 필요</t>
    </r>
    <phoneticPr fontId="6" type="noConversion"/>
  </si>
  <si>
    <t>학습과정의 신청자 신설 등록 가능할 필요가 있슴</t>
    <phoneticPr fontId="6" type="noConversion"/>
  </si>
  <si>
    <t>학습구분 메뉴 오류</t>
    <phoneticPr fontId="6" type="noConversion"/>
  </si>
  <si>
    <t>학습구분 입력 후에도 '필수입력항목을 입력하지않았습니다' 시트오류 팝업 뜸</t>
    <phoneticPr fontId="6" type="noConversion"/>
  </si>
  <si>
    <t>학습결과등록_jsl</t>
    <phoneticPr fontId="6" type="noConversion"/>
  </si>
  <si>
    <t>개별 교육결과보고서 입력 가능하도록 개방 필요</t>
    <phoneticPr fontId="6" type="noConversion"/>
  </si>
  <si>
    <t>단체교육 시 개인별 사전신청이 없더라도 개별 결과보고서를 작성할 수 있도록 수정 필요</t>
    <phoneticPr fontId="6" type="noConversion"/>
  </si>
  <si>
    <t>소요자재</t>
    <phoneticPr fontId="6" type="noConversion"/>
  </si>
  <si>
    <t>여러 작업지시건에 대한 소요자재 취합하여 구매 진행할 수 있도록 개선</t>
    <phoneticPr fontId="6" type="noConversion"/>
  </si>
  <si>
    <t>이미자</t>
    <phoneticPr fontId="6" type="noConversion"/>
  </si>
  <si>
    <t>서비스관리</t>
    <phoneticPr fontId="6" type="noConversion"/>
  </si>
  <si>
    <t>서비스처리조회 시 품목 분류별 구분 조회가 필요</t>
    <phoneticPr fontId="6" type="noConversion"/>
  </si>
  <si>
    <t>품질</t>
    <phoneticPr fontId="6" type="noConversion"/>
  </si>
  <si>
    <t>이민규</t>
    <phoneticPr fontId="6" type="noConversion"/>
  </si>
  <si>
    <t>서비스관리
(서비스처리조회_jsl)</t>
    <phoneticPr fontId="6" type="noConversion"/>
  </si>
  <si>
    <t>K-DCS</t>
    <phoneticPr fontId="6" type="noConversion"/>
  </si>
  <si>
    <t>설비 연동 확장 및 보수 필요; 증설</t>
    <phoneticPr fontId="6" type="noConversion"/>
  </si>
  <si>
    <t>기존 투자 설비 보다 증설되어 추가 투자 필요하고 시스템 전반 보수 필요 판단; 미사용중</t>
    <phoneticPr fontId="6" type="noConversion"/>
  </si>
  <si>
    <t>전자결재</t>
    <phoneticPr fontId="6" type="noConversion"/>
  </si>
  <si>
    <t>결재 시 첨부화일 조회 안됨</t>
    <phoneticPr fontId="6" type="noConversion"/>
  </si>
  <si>
    <t>경영지원</t>
    <phoneticPr fontId="6" type="noConversion"/>
  </si>
  <si>
    <t>이형기</t>
    <phoneticPr fontId="6" type="noConversion"/>
  </si>
  <si>
    <t>결재 시 첨부화일 조회 안되는 이슈가 있슴</t>
    <phoneticPr fontId="6" type="noConversion"/>
  </si>
  <si>
    <t>그룹웨어</t>
    <phoneticPr fontId="6" type="noConversion"/>
  </si>
  <si>
    <t>K-System 전자결재 하나로 통합 필요함</t>
    <phoneticPr fontId="6" type="noConversion"/>
  </si>
  <si>
    <t>현재 사용하는 그룹웨어와 연동이 안되어있고 최대한 K-System 전자결재로 이용하려함
영림원 그룹웨어 연동 추천 필요</t>
    <phoneticPr fontId="6" type="noConversion"/>
  </si>
  <si>
    <r>
      <t>개발/수정</t>
    </r>
    <r>
      <rPr>
        <sz val="9"/>
        <rFont val="돋움체"/>
        <family val="3"/>
        <charset val="129"/>
      </rPr>
      <t>?</t>
    </r>
    <phoneticPr fontId="6" type="noConversion"/>
  </si>
  <si>
    <t>구매요청서</t>
    <phoneticPr fontId="6" type="noConversion"/>
  </si>
  <si>
    <t>구매요청서의 거래처 표시를 현재고로 수정</t>
    <phoneticPr fontId="6" type="noConversion"/>
  </si>
  <si>
    <t>구매자재부</t>
    <phoneticPr fontId="6" type="noConversion"/>
  </si>
  <si>
    <t>전영일</t>
    <phoneticPr fontId="6" type="noConversion"/>
  </si>
  <si>
    <t>평가관리</t>
    <phoneticPr fontId="6" type="noConversion"/>
  </si>
  <si>
    <t>K-System 목표관리 메뉴가 개발되어 있는 지 확인</t>
    <phoneticPr fontId="6" type="noConversion"/>
  </si>
  <si>
    <t>당사는 OKR 관리체계로 업무관리함. KPI나 OKR 관리를 위한 시스템 개발이 되어 있을까요?</t>
    <phoneticPr fontId="6" type="noConversion"/>
  </si>
  <si>
    <t>?</t>
    <phoneticPr fontId="6" type="noConversion"/>
  </si>
  <si>
    <t>결재 전 문서 확인 불가능</t>
    <phoneticPr fontId="6" type="noConversion"/>
  </si>
  <si>
    <t>구매요청서 결재 전 도면, 내역 등 사전 확인이 필요함, 사전 조회기능 필요</t>
    <phoneticPr fontId="6" type="noConversion"/>
  </si>
  <si>
    <t>수정/개발</t>
    <phoneticPr fontId="6" type="noConversion"/>
  </si>
  <si>
    <t>당사 2개 사업단위로 시스템 사용중으로 구분하여 조회 가능해야 함</t>
    <phoneticPr fontId="6" type="noConversion"/>
  </si>
  <si>
    <t>구매요청서
자재,제상품 조회</t>
    <phoneticPr fontId="6" type="noConversion"/>
  </si>
  <si>
    <t>사업단위 구분 조회 옵션 필요함</t>
    <phoneticPr fontId="6" type="noConversion"/>
  </si>
  <si>
    <t>보관위치 표시 컬럼 추가 필요함</t>
    <phoneticPr fontId="6" type="noConversion"/>
  </si>
  <si>
    <t>보관위치 조회는 '창고별  수불집계조회'화면에서만 제공됨. 기존 추가 요청하였으나 반영 안됨</t>
    <phoneticPr fontId="6" type="noConversion"/>
  </si>
  <si>
    <t>자재등록_jsl,자재정보 일괄수정</t>
    <phoneticPr fontId="6" type="noConversion"/>
  </si>
  <si>
    <t>창고와 보관위치를 일괄 등록 편집할 수 있도록 '자재정보일괄수정'화면에 컬럼 추가 요청</t>
    <phoneticPr fontId="6" type="noConversion"/>
  </si>
  <si>
    <t>품목 일일히 창고와 보관위치를 등록/수정해야 함. 보관위치가 수시로 변동되어 일괄 편집이 필요함</t>
    <phoneticPr fontId="6" type="noConversion"/>
  </si>
  <si>
    <t>생산/구매</t>
    <phoneticPr fontId="6" type="noConversion"/>
  </si>
  <si>
    <r>
      <t>요약B</t>
    </r>
    <r>
      <rPr>
        <sz val="9"/>
        <rFont val="돋움체"/>
        <family val="3"/>
        <charset val="129"/>
      </rPr>
      <t>OM조회</t>
    </r>
    <phoneticPr fontId="6" type="noConversion"/>
  </si>
  <si>
    <t>현재고 표시 컬럼에 창고별 재고현황 및 합계가 표시되어야함</t>
    <phoneticPr fontId="6" type="noConversion"/>
  </si>
  <si>
    <r>
      <t>창고 구분없이</t>
    </r>
    <r>
      <rPr>
        <sz val="9"/>
        <rFont val="돋움체"/>
        <family val="3"/>
        <charset val="129"/>
      </rPr>
      <t xml:space="preserve"> 현재고가 표시되어 재고 인식의 차이가 있슴</t>
    </r>
    <phoneticPr fontId="6" type="noConversion"/>
  </si>
  <si>
    <r>
      <t>경영통계,</t>
    </r>
    <r>
      <rPr>
        <sz val="9"/>
        <rFont val="돋움체"/>
        <family val="3"/>
        <charset val="129"/>
      </rPr>
      <t xml:space="preserve"> BI</t>
    </r>
    <phoneticPr fontId="6" type="noConversion"/>
  </si>
  <si>
    <t>경영자정보</t>
    <phoneticPr fontId="6" type="noConversion"/>
  </si>
  <si>
    <r>
      <t>메뉴 전반</t>
    </r>
    <r>
      <rPr>
        <sz val="9"/>
        <rFont val="돋움체"/>
        <family val="3"/>
        <charset val="129"/>
      </rPr>
      <t xml:space="preserve"> 리뉴얼</t>
    </r>
    <phoneticPr fontId="6" type="noConversion"/>
  </si>
  <si>
    <t>임태영</t>
    <phoneticPr fontId="6" type="noConversion"/>
  </si>
  <si>
    <t>별지(생산현황)참조</t>
    <phoneticPr fontId="6" type="noConversion"/>
  </si>
  <si>
    <t>품질</t>
    <phoneticPr fontId="6" type="noConversion"/>
  </si>
  <si>
    <t>최종검사처리</t>
    <phoneticPr fontId="6" type="noConversion"/>
  </si>
  <si>
    <r>
      <t>L</t>
    </r>
    <r>
      <rPr>
        <sz val="9"/>
        <rFont val="돋움체"/>
        <family val="3"/>
        <charset val="129"/>
      </rPr>
      <t>ot 합/불판정 구분 필요</t>
    </r>
    <phoneticPr fontId="6" type="noConversion"/>
  </si>
  <si>
    <t>품질부</t>
    <phoneticPr fontId="6" type="noConversion"/>
  </si>
  <si>
    <t>수정</t>
    <phoneticPr fontId="6" type="noConversion"/>
  </si>
  <si>
    <t>구매</t>
    <phoneticPr fontId="6" type="noConversion"/>
  </si>
  <si>
    <t>BOM구매단가조회_JSL</t>
    <phoneticPr fontId="6" type="noConversion"/>
  </si>
  <si>
    <r>
      <t>제품별 재료비</t>
    </r>
    <r>
      <rPr>
        <sz val="9"/>
        <rFont val="돋움체"/>
        <family val="3"/>
        <charset val="129"/>
      </rPr>
      <t xml:space="preserve"> 총금액도 큰조회 화면에서 확인이 가능하도록 컬럼 추가</t>
    </r>
    <phoneticPr fontId="6" type="noConversion"/>
  </si>
  <si>
    <t>세부내역 조회로 총금액확인도 필요하지만 제품별 재료비 총금액도 큰 조회화면에서 확인이 가능하도록 추가</t>
    <phoneticPr fontId="6" type="noConversion"/>
  </si>
  <si>
    <t>수정</t>
    <phoneticPr fontId="6" type="noConversion"/>
  </si>
  <si>
    <t>도입메뉴 활용</t>
    <phoneticPr fontId="6" type="noConversion"/>
  </si>
  <si>
    <t>보류</t>
    <phoneticPr fontId="6" type="noConversion"/>
  </si>
  <si>
    <t>제외</t>
    <phoneticPr fontId="6" type="noConversion"/>
  </si>
  <si>
    <t>자체해결</t>
    <phoneticPr fontId="6" type="noConversion"/>
  </si>
  <si>
    <t>개발</t>
    <phoneticPr fontId="6" type="noConversion"/>
  </si>
  <si>
    <t>가공</t>
    <phoneticPr fontId="6" type="noConversion"/>
  </si>
  <si>
    <t>가능</t>
    <phoneticPr fontId="6" type="noConversion"/>
  </si>
  <si>
    <t>불가</t>
    <phoneticPr fontId="6" type="noConversion"/>
  </si>
  <si>
    <t>추후 검토</t>
    <phoneticPr fontId="6" type="noConversion"/>
  </si>
  <si>
    <t>점프단추추가</t>
    <phoneticPr fontId="6" type="noConversion"/>
  </si>
  <si>
    <t>불가, 단축키 사용가능(ctr+&lt;,&gt;)</t>
    <phoneticPr fontId="6" type="noConversion"/>
  </si>
  <si>
    <r>
      <t>P</t>
    </r>
    <r>
      <rPr>
        <sz val="9"/>
        <rFont val="돋움체"/>
        <family val="3"/>
        <charset val="129"/>
      </rPr>
      <t>KG요청</t>
    </r>
    <phoneticPr fontId="6" type="noConversion"/>
  </si>
  <si>
    <t>불필요</t>
    <phoneticPr fontId="6" type="noConversion"/>
  </si>
  <si>
    <t>수정가능</t>
    <phoneticPr fontId="6" type="noConversion"/>
  </si>
  <si>
    <t>바로저장확인</t>
    <phoneticPr fontId="6" type="noConversion"/>
  </si>
  <si>
    <r>
      <t>인사/평가</t>
    </r>
    <r>
      <rPr>
        <sz val="9"/>
        <rFont val="돋움체"/>
        <family val="3"/>
        <charset val="129"/>
      </rPr>
      <t xml:space="preserve"> 메뉴 라이선스 매뉴얼확인</t>
    </r>
    <phoneticPr fontId="6" type="noConversion"/>
  </si>
  <si>
    <t>작업지시개별건 유지: 추적성</t>
    <phoneticPr fontId="6" type="noConversion"/>
  </si>
  <si>
    <r>
      <t>화면설명자료 추가</t>
    </r>
    <r>
      <rPr>
        <sz val="9"/>
        <rFont val="돋움체"/>
        <family val="3"/>
        <charset val="129"/>
      </rPr>
      <t xml:space="preserve"> 제공 필요</t>
    </r>
    <phoneticPr fontId="6" type="noConversion"/>
  </si>
  <si>
    <t>시스템 제공 가능 확인
(수량파악)</t>
    <phoneticPr fontId="6" type="noConversion"/>
  </si>
  <si>
    <r>
      <t>그룹웨어 견적요청</t>
    </r>
    <r>
      <rPr>
        <sz val="9"/>
        <rFont val="돋움체"/>
        <family val="3"/>
        <charset val="129"/>
      </rPr>
      <t>; 화면연동</t>
    </r>
    <phoneticPr fontId="6" type="noConversion"/>
  </si>
  <si>
    <r>
      <t>긴급 우선</t>
    </r>
    <r>
      <rPr>
        <sz val="9"/>
        <rFont val="돋움체"/>
        <family val="3"/>
        <charset val="129"/>
      </rPr>
      <t xml:space="preserve"> 조치 요청</t>
    </r>
    <phoneticPr fontId="6" type="noConversion"/>
  </si>
  <si>
    <r>
      <t>추가정보입력 후</t>
    </r>
    <r>
      <rPr>
        <sz val="9"/>
        <rFont val="돋움체"/>
        <family val="3"/>
        <charset val="129"/>
      </rPr>
      <t xml:space="preserve"> 필요화면별 개발 필요</t>
    </r>
    <phoneticPr fontId="6" type="noConversion"/>
  </si>
  <si>
    <t>창고등록-창고별수불특성등록에서 일괄편집가능</t>
    <phoneticPr fontId="6" type="noConversion"/>
  </si>
  <si>
    <t>품질부서 확인 필요</t>
    <phoneticPr fontId="6" type="noConversion"/>
  </si>
  <si>
    <t>생산</t>
    <phoneticPr fontId="6" type="noConversion"/>
  </si>
  <si>
    <t>생산공수입력화면</t>
    <phoneticPr fontId="6" type="noConversion"/>
  </si>
  <si>
    <r>
      <t>타작업공수 노출</t>
    </r>
    <r>
      <rPr>
        <sz val="9"/>
        <rFont val="돋움체"/>
        <family val="3"/>
        <charset val="129"/>
      </rPr>
      <t xml:space="preserve"> 희망</t>
    </r>
    <phoneticPr fontId="6" type="noConversion"/>
  </si>
  <si>
    <t>검토</t>
    <phoneticPr fontId="6" type="noConversion"/>
  </si>
  <si>
    <r>
      <t>개발가능;</t>
    </r>
    <r>
      <rPr>
        <sz val="9"/>
        <rFont val="돋움체"/>
        <family val="3"/>
        <charset val="129"/>
      </rPr>
      <t xml:space="preserve"> 선택필요함</t>
    </r>
    <phoneticPr fontId="6" type="noConversion"/>
  </si>
  <si>
    <t>허용구</t>
  </si>
  <si>
    <t>알람추가/저장불가</t>
    <phoneticPr fontId="6" type="noConversion"/>
  </si>
  <si>
    <t>O</t>
  </si>
  <si>
    <t>O</t>
    <phoneticPr fontId="6" type="noConversion"/>
  </si>
  <si>
    <t>X</t>
  </si>
  <si>
    <t>X</t>
    <phoneticPr fontId="6" type="noConversion"/>
  </si>
  <si>
    <t>요청</t>
    <phoneticPr fontId="6" type="noConversion"/>
  </si>
  <si>
    <t>최종 작업실적 입력시에 자재투입처리하도록 되어 있으나 공정 특성 상 중간중간 투입처리 필요함</t>
    <phoneticPr fontId="6" type="noConversion"/>
  </si>
  <si>
    <t>X</t>
    <phoneticPr fontId="6" type="noConversion"/>
  </si>
  <si>
    <t>추가정보 창을 부서별로 분류하여 각 필요정보 분류 입력; 타부서 삭제/수정 불가토록..</t>
    <phoneticPr fontId="6" type="noConversion"/>
  </si>
  <si>
    <t>작업지시별 소요자재 발생 후 건별 구매요청하도록 되어있어서 취합결과를 통합하여 구매진행할 필요가 있슴</t>
    <phoneticPr fontId="6" type="noConversion"/>
  </si>
  <si>
    <t>품목 분류가 없어 구분 어려움
- 접수 조회와 동일하게 품목 추가 요청</t>
    <phoneticPr fontId="6" type="noConversion"/>
  </si>
  <si>
    <t>서비스 접수/처리 등록 첨부화일 연동 필요</t>
    <phoneticPr fontId="6" type="noConversion"/>
  </si>
  <si>
    <t>이력 확인 및 자료 요청 시 처리조회,접수조회 등 이중조회 발생, 성적서, 리포트, 사진, 내역 등 접수자료 동시 조회 가능필요</t>
    <phoneticPr fontId="6" type="noConversion"/>
  </si>
  <si>
    <t>자료화면 캡쳐 요청</t>
    <phoneticPr fontId="6" type="noConversion"/>
  </si>
  <si>
    <t>구매요청서 전자결재 시 거래처 표시되는데 현재고로 수정 희망; 서비스 신청한 상태임</t>
    <phoneticPr fontId="6" type="noConversion"/>
  </si>
  <si>
    <t>개발가능; 선택필요</t>
    <phoneticPr fontId="6" type="noConversion"/>
  </si>
  <si>
    <r>
      <t>경영자정보에서 취득할</t>
    </r>
    <r>
      <rPr>
        <sz val="9"/>
        <rFont val="돋움체"/>
        <family val="3"/>
        <charset val="129"/>
      </rPr>
      <t xml:space="preserve"> 수 있는 정보가 없슴</t>
    </r>
    <phoneticPr fontId="6" type="noConversion"/>
  </si>
  <si>
    <r>
      <t>A</t>
    </r>
    <r>
      <rPr>
        <sz val="9"/>
        <rFont val="돋움체"/>
        <family val="3"/>
        <charset val="129"/>
      </rPr>
      <t>I경영분석시스템 소개</t>
    </r>
    <phoneticPr fontId="6" type="noConversion"/>
  </si>
  <si>
    <t xml:space="preserve">ERP 검사 합격 처리에 대한 실제 검사 시점 매칭 불가
ex) Lot 40EA 중 1EA Fail 시, 해당 Lot 전수 합격 처리 불가
→ 재작업 대기 혹은 39EA 작업 실적 재입력 후, 검사 재요청 필요 </t>
    <phoneticPr fontId="6" type="noConversion"/>
  </si>
  <si>
    <r>
      <t>동일공정내 타작업자</t>
    </r>
    <r>
      <rPr>
        <sz val="9"/>
        <rFont val="돋움체"/>
        <family val="3"/>
        <charset val="129"/>
      </rPr>
      <t xml:space="preserve"> 공수 입력현황 공유했으면 좋겠다</t>
    </r>
    <phoneticPr fontId="6" type="noConversion"/>
  </si>
  <si>
    <t>개수 : 요청</t>
  </si>
  <si>
    <t>행 레이블</t>
  </si>
  <si>
    <t>총합계</t>
  </si>
  <si>
    <t>X</t>
    <phoneticPr fontId="6" type="noConversion"/>
  </si>
  <si>
    <t>생산관리</t>
  </si>
  <si>
    <t>주간계획?</t>
    <phoneticPr fontId="6" type="noConversion"/>
  </si>
  <si>
    <t>생산</t>
    <phoneticPr fontId="6" type="noConversion"/>
  </si>
  <si>
    <t>생산공수입력화면</t>
    <phoneticPr fontId="6" type="noConversion"/>
  </si>
  <si>
    <r>
      <t>타작업공수 노출</t>
    </r>
    <r>
      <rPr>
        <sz val="9"/>
        <rFont val="돋움체"/>
        <family val="3"/>
        <charset val="129"/>
      </rPr>
      <t xml:space="preserve"> 희망</t>
    </r>
    <phoneticPr fontId="6" type="noConversion"/>
  </si>
  <si>
    <t>박봉충</t>
    <phoneticPr fontId="6" type="noConversion"/>
  </si>
  <si>
    <t>생산부</t>
    <phoneticPr fontId="6" type="noConversion"/>
  </si>
  <si>
    <r>
      <t>동일공정내 타작업자</t>
    </r>
    <r>
      <rPr>
        <sz val="9"/>
        <rFont val="돋움체"/>
        <family val="3"/>
        <charset val="129"/>
      </rPr>
      <t xml:space="preserve"> 공수 입력현황 공유했으면 좋겠다</t>
    </r>
    <phoneticPr fontId="6" type="noConversion"/>
  </si>
  <si>
    <r>
      <t>개발가능;</t>
    </r>
    <r>
      <rPr>
        <sz val="9"/>
        <rFont val="돋움체"/>
        <family val="3"/>
        <charset val="129"/>
      </rPr>
      <t xml:space="preserve"> 선택필요</t>
    </r>
    <phoneticPr fontId="6" type="noConversion"/>
  </si>
  <si>
    <t>공수</t>
    <phoneticPr fontId="6" type="noConversion"/>
  </si>
  <si>
    <t>영림원</t>
    <phoneticPr fontId="6" type="noConversion"/>
  </si>
  <si>
    <t>주문기준 공정진행상태조회</t>
    <phoneticPr fontId="6" type="noConversion"/>
  </si>
  <si>
    <t>생산공수입력 기준으로 투입자재를 입력하여 가상창고로 이동, 작업실적 입력시 가져오기로 실제 투입처리
제품별공정별소요자재 자재리스트 중 선택하도록</t>
    <phoneticPr fontId="6" type="noConversion"/>
  </si>
  <si>
    <t>생산공수입력에 작업종료 체크박스 추가 및 생산공수조정에 조회</t>
    <phoneticPr fontId="6" type="noConversion"/>
  </si>
  <si>
    <t>품목등록 또는 품목조회로 점프 추가</t>
    <phoneticPr fontId="6" type="noConversion"/>
  </si>
  <si>
    <t>서비스처리조회에 품목분류 추가</t>
    <phoneticPr fontId="6" type="noConversion"/>
  </si>
  <si>
    <t>서비스처리조회에서 서비스접수 파일보기, 서비스처리 파일보기 창 추가</t>
    <phoneticPr fontId="6" type="noConversion"/>
  </si>
  <si>
    <t>구매요청서, 구매품의서에 거래처를 현재고로 변경</t>
    <phoneticPr fontId="6" type="noConversion"/>
  </si>
  <si>
    <t>불가</t>
    <phoneticPr fontId="6" type="noConversion"/>
  </si>
  <si>
    <t>요약BOM조회</t>
    <phoneticPr fontId="6" type="noConversion"/>
  </si>
  <si>
    <t>요약BOM조회의 재고를 창고별로 다이나믹조회</t>
    <phoneticPr fontId="6" type="noConversion"/>
  </si>
  <si>
    <t>생산공수입력에 타 작업자 입력현황 공유</t>
    <phoneticPr fontId="6" type="noConversion"/>
  </si>
  <si>
    <t>패키지 요청완료
--&gt; 불가시 개발필요</t>
    <phoneticPr fontId="6" type="noConversion"/>
  </si>
  <si>
    <t>별도(시스너 방문예정)</t>
    <phoneticPr fontId="6" type="noConversion"/>
  </si>
  <si>
    <t xml:space="preserve">비고 </t>
    <phoneticPr fontId="6" type="noConversion"/>
  </si>
  <si>
    <t>BOM등록+AB3+L3:Z3</t>
    <phoneticPr fontId="6" type="noConversion"/>
  </si>
  <si>
    <t xml:space="preserve">자재 상태에 따라 저장시 체크 로직 추가 </t>
    <phoneticPr fontId="6" type="noConversion"/>
  </si>
  <si>
    <t xml:space="preserve">추가 정보 </t>
    <phoneticPr fontId="6" type="noConversion"/>
  </si>
  <si>
    <t xml:space="preserve">투입시 버튼 추가 </t>
    <phoneticPr fontId="6" type="noConversion"/>
  </si>
  <si>
    <t>생산진행조회_jsl/
주문별생산진행조회/ ㅇ</t>
    <phoneticPr fontId="6" type="noConversion"/>
  </si>
  <si>
    <t xml:space="preserve">품목분류 대중소분류 다시 고객 확인  </t>
    <phoneticPr fontId="6" type="noConversion"/>
  </si>
  <si>
    <t xml:space="preserve">버튼추가 접수 / 처리 둘다 필요 한지 고객 확인 </t>
    <phoneticPr fontId="6" type="noConversion"/>
  </si>
  <si>
    <t xml:space="preserve">시트에 작업자 구분값 필요 함 </t>
    <phoneticPr fontId="6" type="noConversion"/>
  </si>
  <si>
    <t xml:space="preserve">테이블 생성 /mbom 자재 조회 /현장 있는거를 다른 가상창고로 옮기기 /
창고 하나 지정해서 하드코딩으로 하기 </t>
    <phoneticPr fontId="6" type="noConversion"/>
  </si>
  <si>
    <t>생산</t>
  </si>
  <si>
    <t>미사용자재 BOM 등록불가해야함</t>
  </si>
  <si>
    <t>생산현황표 생성(엑셀-&gt;ERP)</t>
  </si>
  <si>
    <t>자재투입 실적 수시 입력 가능 필요</t>
  </si>
  <si>
    <t>공수입력 최종 작업 종료 시 작업종료 체크박스 추가</t>
  </si>
  <si>
    <t>제품명 클릭 시 품목등록 또는 조회 메뉴로 이동</t>
  </si>
  <si>
    <t>서비스처리조회 시 품목 분류별 구분 조회가 필요</t>
  </si>
  <si>
    <t>서비스 접수/처리 등록 첨부화일 연동 필요</t>
  </si>
  <si>
    <t>구매요청서의 거래처 표시를 현재고로 수정</t>
  </si>
  <si>
    <t>현재고 표시 컬럼에 창고별 재고현황 및 합계가 표시되어야함</t>
  </si>
  <si>
    <t>타작업공수 노출 희망</t>
  </si>
  <si>
    <t>JSL_PD_001</t>
    <phoneticPr fontId="6" type="noConversion"/>
  </si>
  <si>
    <t>JSL_PD_002</t>
  </si>
  <si>
    <t>JSL_PD_002</t>
    <phoneticPr fontId="6" type="noConversion"/>
  </si>
  <si>
    <t>JSL_PD_003</t>
  </si>
  <si>
    <t>JSL_PD_004</t>
  </si>
  <si>
    <t>JSL_PD_005</t>
  </si>
  <si>
    <t>JSL_PD_005</t>
    <phoneticPr fontId="6" type="noConversion"/>
  </si>
  <si>
    <t>JSL_SD_001</t>
  </si>
  <si>
    <t>JSL_SD_001</t>
    <phoneticPr fontId="6" type="noConversion"/>
  </si>
  <si>
    <t>JSL_SD_002</t>
  </si>
  <si>
    <t>JSL_PU_001</t>
  </si>
  <si>
    <t>JSL_PU_001</t>
    <phoneticPr fontId="6" type="noConversion"/>
  </si>
  <si>
    <t>JSL_PD_006</t>
    <phoneticPr fontId="6" type="noConversion"/>
  </si>
  <si>
    <t>JSL_PD_007</t>
  </si>
  <si>
    <t>JSL_PD_007</t>
    <phoneticPr fontId="6" type="noConversion"/>
  </si>
  <si>
    <t>JSL_GAP_PD_001</t>
    <phoneticPr fontId="6" type="noConversion"/>
  </si>
  <si>
    <t>JSL_GAP_PD_002</t>
  </si>
  <si>
    <t>JSL_GAP_PD_003</t>
  </si>
  <si>
    <t>JSL_GAP_PD_004</t>
  </si>
  <si>
    <t>JSL_GAP_PD_005</t>
  </si>
  <si>
    <t>JSL_GAP_SD_001</t>
    <phoneticPr fontId="6" type="noConversion"/>
  </si>
  <si>
    <t>JSL_GAP_SD_002</t>
    <phoneticPr fontId="6" type="noConversion"/>
  </si>
  <si>
    <t>JSL_PD_008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</si>
</sst>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409]d&quot;-&quot;mmm;@"/>
    <numFmt numFmtId="177" formatCode="0_);[Red]\(0\)"/>
    <numFmt numFmtId="178" formatCode="mm\/dd\/aaa"/>
    <numFmt numFmtId="179" formatCode="mm\/dd"/>
    <numFmt numFmtId="180" formatCode="m&quot;/&quot;d;@"/>
    <numFmt numFmtId="181" formatCode="mm&quot;월&quot;\ dd&quot;일&quot;"/>
  </numFmts>
  <fonts count="24" x14ac:knownFonts="1">
    <font>
      <sz val="9"/>
      <name val="돋움체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b/>
      <sz val="9"/>
      <color rgb="FFFF0000"/>
      <name val="돋움체"/>
      <family val="3"/>
      <charset val="129"/>
    </font>
    <font>
      <sz val="9"/>
      <name val="돋움체"/>
      <family val="3"/>
      <charset val="129"/>
    </font>
    <font>
      <sz val="8"/>
      <name val="돋움"/>
      <family val="3"/>
      <charset val="129"/>
    </font>
    <font>
      <b/>
      <sz val="9"/>
      <name val="돋움체"/>
      <family val="3"/>
      <charset val="129"/>
    </font>
    <font>
      <sz val="9"/>
      <color rgb="FFFF0000"/>
      <name val="돋움체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rgb="FF686868" tint="0.59999389629810485"/>
      </top>
      <bottom style="hair">
        <color rgb="FF686868" tint="0.59999389629810485"/>
      </bottom>
      <diagonal/>
    </border>
    <border>
      <left/>
      <right/>
      <top style="hair">
        <color rgb="FF686868" tint="0.59999389629810485"/>
      </top>
      <bottom style="hair">
        <color rgb="FF686868" tint="0.59999389629810485"/>
      </bottom>
      <diagonal/>
    </border>
    <border>
      <left/>
      <right/>
      <top style="hair">
        <color rgb="FF686868" tint="0.59999389629810485"/>
      </top>
      <bottom style="thin">
        <color rgb="FF686868" tint="0.59999389629810485"/>
      </bottom>
      <diagonal/>
    </border>
  </borders>
  <cellStyleXfs count="2">
    <xf numFmtId="0" fontId="0" fillId="0" borderId="0">
      <alignment vertical="center"/>
    </xf>
    <xf numFmtId="176" fontId="1" fillId="0" borderId="0">
      <alignment vertical="center"/>
    </xf>
  </cellStyleXfs>
  <cellXfs count="201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176" fontId="13" fillId="0" borderId="0" xfId="1" applyFont="1">
      <alignment vertical="center"/>
    </xf>
    <xf numFmtId="176" fontId="14" fillId="0" borderId="0" xfId="1" applyFont="1">
      <alignment vertical="center"/>
    </xf>
    <xf numFmtId="0" fontId="13" fillId="0" borderId="0" xfId="1" applyNumberFormat="1" applyFont="1" applyAlignment="1">
      <alignment horizontal="center" vertical="center" shrinkToFit="1"/>
    </xf>
    <xf numFmtId="0" fontId="13" fillId="0" borderId="0" xfId="1" applyNumberFormat="1" applyFont="1" applyAlignment="1">
      <alignment horizontal="center" vertical="center"/>
    </xf>
    <xf numFmtId="0" fontId="14" fillId="0" borderId="0" xfId="1" applyNumberFormat="1" applyFont="1" applyAlignment="1">
      <alignment horizontal="center" vertical="center"/>
    </xf>
    <xf numFmtId="0" fontId="1" fillId="0" borderId="0" xfId="1" applyNumberFormat="1">
      <alignment vertical="center"/>
    </xf>
    <xf numFmtId="0" fontId="13" fillId="0" borderId="0" xfId="1" applyNumberFormat="1" applyFont="1" applyAlignment="1">
      <alignment horizontal="left" vertical="center"/>
    </xf>
    <xf numFmtId="177" fontId="13" fillId="0" borderId="0" xfId="1" applyNumberFormat="1" applyFont="1" applyAlignment="1">
      <alignment horizontal="center" vertical="center"/>
    </xf>
    <xf numFmtId="14" fontId="13" fillId="5" borderId="0" xfId="1" applyNumberFormat="1" applyFont="1" applyFill="1" applyAlignment="1">
      <alignment horizontal="center" vertical="center"/>
    </xf>
    <xf numFmtId="176" fontId="15" fillId="0" borderId="2" xfId="1" applyFont="1" applyBorder="1" applyAlignment="1">
      <alignment horizontal="left" vertical="center"/>
    </xf>
    <xf numFmtId="176" fontId="13" fillId="0" borderId="0" xfId="1" applyFont="1" applyAlignment="1">
      <alignment horizontal="center" vertical="center"/>
    </xf>
    <xf numFmtId="14" fontId="13" fillId="0" borderId="0" xfId="1" applyNumberFormat="1" applyFont="1" applyAlignment="1">
      <alignment horizontal="center" vertical="center"/>
    </xf>
    <xf numFmtId="177" fontId="13" fillId="0" borderId="0" xfId="1" applyNumberFormat="1" applyFont="1">
      <alignment vertical="center"/>
    </xf>
    <xf numFmtId="176" fontId="13" fillId="0" borderId="0" xfId="1" applyFont="1" applyAlignment="1">
      <alignment horizontal="left" vertical="center"/>
    </xf>
    <xf numFmtId="0" fontId="16" fillId="0" borderId="0" xfId="1" applyNumberFormat="1" applyFont="1">
      <alignment vertical="center"/>
    </xf>
    <xf numFmtId="176" fontId="1" fillId="0" borderId="0" xfId="1">
      <alignment vertical="center"/>
    </xf>
    <xf numFmtId="176" fontId="17" fillId="0" borderId="0" xfId="1" applyFont="1">
      <alignment vertical="center"/>
    </xf>
    <xf numFmtId="0" fontId="1" fillId="0" borderId="0" xfId="1" applyNumberFormat="1" applyAlignment="1">
      <alignment vertical="center" shrinkToFit="1"/>
    </xf>
    <xf numFmtId="0" fontId="1" fillId="0" borderId="0" xfId="1" applyNumberFormat="1" applyAlignment="1">
      <alignment horizontal="center" vertical="center"/>
    </xf>
    <xf numFmtId="177" fontId="1" fillId="0" borderId="0" xfId="1" applyNumberFormat="1">
      <alignment vertical="center"/>
    </xf>
    <xf numFmtId="176" fontId="18" fillId="0" borderId="0" xfId="1" applyFont="1">
      <alignment vertical="center"/>
    </xf>
    <xf numFmtId="22" fontId="19" fillId="0" borderId="0" xfId="1" applyNumberFormat="1" applyFont="1" applyAlignment="1">
      <alignment horizontal="right" vertical="center"/>
    </xf>
    <xf numFmtId="176" fontId="0" fillId="0" borderId="0" xfId="1" applyFont="1" applyAlignment="1">
      <alignment horizontal="center" vertical="center"/>
    </xf>
    <xf numFmtId="176" fontId="1" fillId="0" borderId="0" xfId="1" applyAlignment="1">
      <alignment horizontal="center" vertical="center"/>
    </xf>
    <xf numFmtId="14" fontId="13" fillId="0" borderId="0" xfId="1" applyNumberFormat="1" applyFont="1">
      <alignment vertical="center"/>
    </xf>
    <xf numFmtId="176" fontId="20" fillId="6" borderId="3" xfId="1" applyFont="1" applyFill="1" applyBorder="1">
      <alignment vertical="center"/>
    </xf>
    <xf numFmtId="0" fontId="21" fillId="6" borderId="3" xfId="1" applyNumberFormat="1" applyFont="1" applyFill="1" applyBorder="1" applyAlignment="1">
      <alignment vertical="center" shrinkToFit="1"/>
    </xf>
    <xf numFmtId="0" fontId="20" fillId="6" borderId="3" xfId="1" applyNumberFormat="1" applyFont="1" applyFill="1" applyBorder="1">
      <alignment vertical="center"/>
    </xf>
    <xf numFmtId="0" fontId="21" fillId="6" borderId="3" xfId="1" applyNumberFormat="1" applyFont="1" applyFill="1" applyBorder="1">
      <alignment vertical="center"/>
    </xf>
    <xf numFmtId="0" fontId="20" fillId="6" borderId="3" xfId="1" applyNumberFormat="1" applyFont="1" applyFill="1" applyBorder="1" applyAlignment="1">
      <alignment horizontal="center" vertical="center"/>
    </xf>
    <xf numFmtId="0" fontId="0" fillId="6" borderId="3" xfId="1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>
      <alignment vertical="center"/>
    </xf>
    <xf numFmtId="14" fontId="20" fillId="6" borderId="3" xfId="1" applyNumberFormat="1" applyFont="1" applyFill="1" applyBorder="1">
      <alignment vertical="center"/>
    </xf>
    <xf numFmtId="178" fontId="20" fillId="6" borderId="3" xfId="1" applyNumberFormat="1" applyFont="1" applyFill="1" applyBorder="1">
      <alignment vertical="center"/>
    </xf>
    <xf numFmtId="176" fontId="20" fillId="6" borderId="4" xfId="1" applyFont="1" applyFill="1" applyBorder="1">
      <alignment vertical="center"/>
    </xf>
    <xf numFmtId="176" fontId="20" fillId="6" borderId="5" xfId="1" applyFont="1" applyFill="1" applyBorder="1">
      <alignment vertical="center"/>
    </xf>
    <xf numFmtId="176" fontId="20" fillId="6" borderId="6" xfId="1" applyFont="1" applyFill="1" applyBorder="1">
      <alignment vertical="center"/>
    </xf>
    <xf numFmtId="177" fontId="20" fillId="6" borderId="3" xfId="1" applyNumberFormat="1" applyFont="1" applyFill="1" applyBorder="1" applyAlignment="1">
      <alignment horizontal="center" vertical="center"/>
    </xf>
    <xf numFmtId="176" fontId="20" fillId="6" borderId="7" xfId="1" applyFont="1" applyFill="1" applyBorder="1" applyAlignment="1">
      <alignment horizontal="center" vertical="center"/>
    </xf>
    <xf numFmtId="0" fontId="20" fillId="6" borderId="7" xfId="1" applyNumberFormat="1" applyFont="1" applyFill="1" applyBorder="1" applyAlignment="1">
      <alignment horizontal="center" vertical="center" shrinkToFit="1"/>
    </xf>
    <xf numFmtId="0" fontId="20" fillId="6" borderId="7" xfId="1" applyNumberFormat="1" applyFont="1" applyFill="1" applyBorder="1" applyAlignment="1">
      <alignment horizontal="center" vertical="center"/>
    </xf>
    <xf numFmtId="177" fontId="20" fillId="6" borderId="7" xfId="1" applyNumberFormat="1" applyFont="1" applyFill="1" applyBorder="1" applyAlignment="1">
      <alignment horizontal="center" vertical="center"/>
    </xf>
    <xf numFmtId="14" fontId="20" fillId="6" borderId="7" xfId="1" applyNumberFormat="1" applyFont="1" applyFill="1" applyBorder="1" applyAlignment="1">
      <alignment horizontal="center" vertical="center"/>
    </xf>
    <xf numFmtId="178" fontId="20" fillId="6" borderId="7" xfId="1" applyNumberFormat="1" applyFont="1" applyFill="1" applyBorder="1" applyAlignment="1">
      <alignment horizontal="center" vertical="center"/>
    </xf>
    <xf numFmtId="176" fontId="20" fillId="6" borderId="1" xfId="1" applyFont="1" applyFill="1" applyBorder="1" applyAlignment="1">
      <alignment horizontal="center" vertical="center"/>
    </xf>
    <xf numFmtId="14" fontId="20" fillId="6" borderId="1" xfId="1" applyNumberFormat="1" applyFont="1" applyFill="1" applyBorder="1" applyAlignment="1">
      <alignment horizontal="center" vertical="center"/>
    </xf>
    <xf numFmtId="14" fontId="20" fillId="6" borderId="1" xfId="1" applyNumberFormat="1" applyFont="1" applyFill="1" applyBorder="1" applyAlignment="1">
      <alignment horizontal="center" vertical="center" wrapText="1"/>
    </xf>
    <xf numFmtId="177" fontId="20" fillId="6" borderId="7" xfId="1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5" fillId="0" borderId="8" xfId="1" quotePrefix="1" applyNumberFormat="1" applyFont="1" applyBorder="1" applyAlignment="1">
      <alignment horizontal="center" vertical="center" shrinkToFit="1"/>
    </xf>
    <xf numFmtId="0" fontId="15" fillId="0" borderId="8" xfId="1" quotePrefix="1" applyNumberFormat="1" applyFont="1" applyBorder="1" applyAlignment="1">
      <alignment horizontal="center" vertical="center"/>
    </xf>
    <xf numFmtId="0" fontId="19" fillId="0" borderId="8" xfId="1" applyNumberFormat="1" applyFont="1" applyBorder="1" applyAlignment="1">
      <alignment horizontal="center" vertical="center"/>
    </xf>
    <xf numFmtId="0" fontId="19" fillId="0" borderId="8" xfId="1" applyNumberFormat="1" applyFont="1" applyBorder="1" applyAlignment="1">
      <alignment horizontal="left" vertical="center"/>
    </xf>
    <xf numFmtId="0" fontId="19" fillId="0" borderId="8" xfId="1" quotePrefix="1" applyNumberFormat="1" applyFont="1" applyBorder="1" applyAlignment="1">
      <alignment horizontal="center" vertical="center"/>
    </xf>
    <xf numFmtId="177" fontId="19" fillId="0" borderId="8" xfId="1" applyNumberFormat="1" applyFont="1" applyBorder="1" applyAlignment="1">
      <alignment horizontal="center" vertical="center"/>
    </xf>
    <xf numFmtId="179" fontId="19" fillId="0" borderId="8" xfId="1" applyNumberFormat="1" applyFont="1" applyBorder="1" applyAlignment="1">
      <alignment horizontal="center" vertical="center"/>
    </xf>
    <xf numFmtId="178" fontId="15" fillId="7" borderId="8" xfId="1" applyNumberFormat="1" applyFont="1" applyFill="1" applyBorder="1" applyAlignment="1">
      <alignment horizontal="center" vertical="center"/>
    </xf>
    <xf numFmtId="180" fontId="19" fillId="0" borderId="8" xfId="0" applyNumberFormat="1" applyFont="1" applyBorder="1" applyAlignment="1">
      <alignment horizontal="center" vertical="center"/>
    </xf>
    <xf numFmtId="180" fontId="19" fillId="0" borderId="8" xfId="1" applyNumberFormat="1" applyFont="1" applyBorder="1" applyAlignment="1">
      <alignment horizontal="center" vertical="center"/>
    </xf>
    <xf numFmtId="177" fontId="16" fillId="0" borderId="8" xfId="1" quotePrefix="1" applyNumberFormat="1" applyFont="1" applyBorder="1" applyAlignment="1">
      <alignment horizontal="center" vertical="center"/>
    </xf>
    <xf numFmtId="0" fontId="16" fillId="0" borderId="8" xfId="1" quotePrefix="1" applyNumberFormat="1" applyFont="1" applyBorder="1" applyAlignment="1">
      <alignment horizontal="center" vertical="center"/>
    </xf>
    <xf numFmtId="177" fontId="21" fillId="0" borderId="8" xfId="1" applyNumberFormat="1" applyFont="1" applyBorder="1" applyAlignment="1">
      <alignment horizontal="center" vertical="center"/>
    </xf>
    <xf numFmtId="176" fontId="21" fillId="0" borderId="8" xfId="1" applyFont="1" applyBorder="1" applyAlignment="1">
      <alignment horizontal="left" vertical="center"/>
    </xf>
    <xf numFmtId="176" fontId="21" fillId="0" borderId="8" xfId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5" fillId="0" borderId="9" xfId="1" quotePrefix="1" applyNumberFormat="1" applyFont="1" applyBorder="1" applyAlignment="1">
      <alignment horizontal="center" vertical="center" shrinkToFit="1"/>
    </xf>
    <xf numFmtId="0" fontId="15" fillId="0" borderId="9" xfId="1" quotePrefix="1" applyNumberFormat="1" applyFont="1" applyBorder="1" applyAlignment="1">
      <alignment horizontal="center" vertical="center"/>
    </xf>
    <xf numFmtId="0" fontId="19" fillId="0" borderId="9" xfId="1" applyNumberFormat="1" applyFont="1" applyBorder="1" applyAlignment="1">
      <alignment horizontal="center" vertical="center"/>
    </xf>
    <xf numFmtId="0" fontId="21" fillId="0" borderId="9" xfId="1" applyNumberFormat="1" applyFont="1" applyBorder="1" applyAlignment="1">
      <alignment horizontal="left" vertical="center"/>
    </xf>
    <xf numFmtId="0" fontId="19" fillId="0" borderId="9" xfId="1" quotePrefix="1" applyNumberFormat="1" applyFont="1" applyBorder="1" applyAlignment="1">
      <alignment horizontal="center" vertical="center"/>
    </xf>
    <xf numFmtId="177" fontId="19" fillId="0" borderId="9" xfId="1" applyNumberFormat="1" applyFont="1" applyBorder="1" applyAlignment="1">
      <alignment horizontal="center" vertical="center"/>
    </xf>
    <xf numFmtId="179" fontId="19" fillId="0" borderId="9" xfId="1" applyNumberFormat="1" applyFont="1" applyBorder="1" applyAlignment="1">
      <alignment horizontal="center" vertical="center"/>
    </xf>
    <xf numFmtId="178" fontId="15" fillId="7" borderId="9" xfId="1" applyNumberFormat="1" applyFont="1" applyFill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0" fontId="19" fillId="0" borderId="9" xfId="1" applyNumberFormat="1" applyFont="1" applyBorder="1" applyAlignment="1">
      <alignment horizontal="center" vertical="center"/>
    </xf>
    <xf numFmtId="177" fontId="16" fillId="0" borderId="9" xfId="1" quotePrefix="1" applyNumberFormat="1" applyFont="1" applyBorder="1" applyAlignment="1">
      <alignment horizontal="center" vertical="center"/>
    </xf>
    <xf numFmtId="0" fontId="16" fillId="0" borderId="9" xfId="1" quotePrefix="1" applyNumberFormat="1" applyFont="1" applyBorder="1" applyAlignment="1">
      <alignment horizontal="center" vertical="center"/>
    </xf>
    <xf numFmtId="177" fontId="21" fillId="0" borderId="9" xfId="1" applyNumberFormat="1" applyFont="1" applyBorder="1" applyAlignment="1">
      <alignment horizontal="center" vertical="center"/>
    </xf>
    <xf numFmtId="176" fontId="21" fillId="0" borderId="9" xfId="1" applyFont="1" applyBorder="1" applyAlignment="1">
      <alignment horizontal="left" vertical="center"/>
    </xf>
    <xf numFmtId="176" fontId="21" fillId="0" borderId="9" xfId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5" fillId="0" borderId="3" xfId="1" quotePrefix="1" applyNumberFormat="1" applyFont="1" applyBorder="1" applyAlignment="1">
      <alignment horizontal="center" vertical="center" shrinkToFit="1"/>
    </xf>
    <xf numFmtId="0" fontId="15" fillId="0" borderId="3" xfId="1" quotePrefix="1" applyNumberFormat="1" applyFont="1" applyBorder="1" applyAlignment="1">
      <alignment horizontal="center" vertical="center"/>
    </xf>
    <xf numFmtId="0" fontId="19" fillId="0" borderId="3" xfId="1" applyNumberFormat="1" applyFont="1" applyBorder="1" applyAlignment="1">
      <alignment horizontal="center" vertical="center"/>
    </xf>
    <xf numFmtId="0" fontId="19" fillId="0" borderId="3" xfId="1" applyNumberFormat="1" applyFont="1" applyBorder="1" applyAlignment="1">
      <alignment horizontal="left" vertical="center"/>
    </xf>
    <xf numFmtId="0" fontId="19" fillId="0" borderId="3" xfId="1" quotePrefix="1" applyNumberFormat="1" applyFont="1" applyBorder="1" applyAlignment="1">
      <alignment horizontal="center" vertical="center"/>
    </xf>
    <xf numFmtId="177" fontId="19" fillId="0" borderId="3" xfId="1" applyNumberFormat="1" applyFont="1" applyBorder="1" applyAlignment="1">
      <alignment horizontal="center" vertical="center"/>
    </xf>
    <xf numFmtId="179" fontId="19" fillId="0" borderId="3" xfId="1" applyNumberFormat="1" applyFont="1" applyBorder="1" applyAlignment="1">
      <alignment horizontal="center" vertical="center"/>
    </xf>
    <xf numFmtId="178" fontId="15" fillId="7" borderId="3" xfId="1" applyNumberFormat="1" applyFont="1" applyFill="1" applyBorder="1" applyAlignment="1">
      <alignment horizontal="center" vertical="center"/>
    </xf>
    <xf numFmtId="180" fontId="19" fillId="0" borderId="3" xfId="0" applyNumberFormat="1" applyFont="1" applyBorder="1" applyAlignment="1">
      <alignment horizontal="center" vertical="center"/>
    </xf>
    <xf numFmtId="180" fontId="19" fillId="0" borderId="3" xfId="1" applyNumberFormat="1" applyFont="1" applyBorder="1" applyAlignment="1">
      <alignment horizontal="center" vertical="center"/>
    </xf>
    <xf numFmtId="177" fontId="16" fillId="0" borderId="3" xfId="1" quotePrefix="1" applyNumberFormat="1" applyFont="1" applyBorder="1" applyAlignment="1">
      <alignment horizontal="center" vertical="center"/>
    </xf>
    <xf numFmtId="0" fontId="16" fillId="0" borderId="3" xfId="1" quotePrefix="1" applyNumberFormat="1" applyFont="1" applyBorder="1" applyAlignment="1">
      <alignment horizontal="center" vertical="center"/>
    </xf>
    <xf numFmtId="177" fontId="21" fillId="0" borderId="3" xfId="1" applyNumberFormat="1" applyFont="1" applyBorder="1" applyAlignment="1">
      <alignment horizontal="center" vertical="center"/>
    </xf>
    <xf numFmtId="176" fontId="21" fillId="0" borderId="3" xfId="1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5" fillId="0" borderId="7" xfId="1" quotePrefix="1" applyNumberFormat="1" applyFont="1" applyBorder="1" applyAlignment="1">
      <alignment horizontal="center" vertical="center" shrinkToFit="1"/>
    </xf>
    <xf numFmtId="0" fontId="15" fillId="0" borderId="7" xfId="1" quotePrefix="1" applyNumberFormat="1" applyFont="1" applyBorder="1" applyAlignment="1">
      <alignment horizontal="center" vertical="center"/>
    </xf>
    <xf numFmtId="0" fontId="19" fillId="0" borderId="7" xfId="1" applyNumberFormat="1" applyFont="1" applyBorder="1" applyAlignment="1">
      <alignment horizontal="center" vertical="center"/>
    </xf>
    <xf numFmtId="0" fontId="21" fillId="0" borderId="7" xfId="1" applyNumberFormat="1" applyFont="1" applyBorder="1" applyAlignment="1">
      <alignment horizontal="left" vertical="center"/>
    </xf>
    <xf numFmtId="0" fontId="19" fillId="0" borderId="7" xfId="1" quotePrefix="1" applyNumberFormat="1" applyFont="1" applyBorder="1" applyAlignment="1">
      <alignment horizontal="center" vertical="center"/>
    </xf>
    <xf numFmtId="177" fontId="19" fillId="0" borderId="7" xfId="1" applyNumberFormat="1" applyFont="1" applyBorder="1" applyAlignment="1">
      <alignment horizontal="center" vertical="center"/>
    </xf>
    <xf numFmtId="179" fontId="19" fillId="0" borderId="7" xfId="1" applyNumberFormat="1" applyFont="1" applyBorder="1" applyAlignment="1">
      <alignment horizontal="center" vertical="center"/>
    </xf>
    <xf numFmtId="178" fontId="15" fillId="7" borderId="7" xfId="1" applyNumberFormat="1" applyFont="1" applyFill="1" applyBorder="1" applyAlignment="1">
      <alignment horizontal="center" vertical="center"/>
    </xf>
    <xf numFmtId="180" fontId="19" fillId="0" borderId="7" xfId="0" applyNumberFormat="1" applyFont="1" applyBorder="1" applyAlignment="1">
      <alignment horizontal="center" vertical="center"/>
    </xf>
    <xf numFmtId="180" fontId="19" fillId="0" borderId="7" xfId="1" applyNumberFormat="1" applyFont="1" applyBorder="1" applyAlignment="1">
      <alignment horizontal="center" vertical="center"/>
    </xf>
    <xf numFmtId="177" fontId="16" fillId="0" borderId="7" xfId="1" quotePrefix="1" applyNumberFormat="1" applyFont="1" applyBorder="1" applyAlignment="1">
      <alignment horizontal="center" vertical="center"/>
    </xf>
    <xf numFmtId="0" fontId="16" fillId="0" borderId="7" xfId="1" quotePrefix="1" applyNumberFormat="1" applyFont="1" applyBorder="1" applyAlignment="1">
      <alignment horizontal="center" vertical="center"/>
    </xf>
    <xf numFmtId="177" fontId="21" fillId="0" borderId="7" xfId="1" applyNumberFormat="1" applyFont="1" applyBorder="1" applyAlignment="1">
      <alignment horizontal="center" vertical="center"/>
    </xf>
    <xf numFmtId="176" fontId="21" fillId="0" borderId="7" xfId="1" applyFont="1" applyBorder="1" applyAlignment="1">
      <alignment horizontal="left" vertical="center"/>
    </xf>
    <xf numFmtId="176" fontId="21" fillId="0" borderId="7" xfId="1" applyFont="1" applyBorder="1" applyAlignment="1">
      <alignment horizontal="center" vertical="center"/>
    </xf>
    <xf numFmtId="177" fontId="21" fillId="0" borderId="9" xfId="0" applyNumberFormat="1" applyFont="1" applyBorder="1" applyAlignment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1" quotePrefix="1" applyNumberFormat="1" applyFont="1" applyBorder="1" applyAlignment="1">
      <alignment horizontal="center" vertical="center" shrinkToFit="1"/>
    </xf>
    <xf numFmtId="0" fontId="15" fillId="0" borderId="1" xfId="1" quotePrefix="1" applyNumberFormat="1" applyFont="1" applyBorder="1" applyAlignment="1">
      <alignment horizontal="center" vertical="center"/>
    </xf>
    <xf numFmtId="0" fontId="19" fillId="0" borderId="1" xfId="1" applyNumberFormat="1" applyFont="1" applyBorder="1" applyAlignment="1">
      <alignment horizontal="center" vertical="center"/>
    </xf>
    <xf numFmtId="0" fontId="19" fillId="0" borderId="1" xfId="1" applyNumberFormat="1" applyFont="1" applyBorder="1" applyAlignment="1">
      <alignment horizontal="left" vertical="center"/>
    </xf>
    <xf numFmtId="0" fontId="19" fillId="0" borderId="1" xfId="1" quotePrefix="1" applyNumberFormat="1" applyFont="1" applyBorder="1" applyAlignment="1">
      <alignment horizontal="center" vertical="center"/>
    </xf>
    <xf numFmtId="177" fontId="19" fillId="0" borderId="1" xfId="1" applyNumberFormat="1" applyFont="1" applyBorder="1" applyAlignment="1">
      <alignment horizontal="center" vertical="center"/>
    </xf>
    <xf numFmtId="179" fontId="19" fillId="0" borderId="1" xfId="1" applyNumberFormat="1" applyFont="1" applyBorder="1" applyAlignment="1">
      <alignment horizontal="center" vertical="center"/>
    </xf>
    <xf numFmtId="178" fontId="15" fillId="7" borderId="1" xfId="1" applyNumberFormat="1" applyFont="1" applyFill="1" applyBorder="1" applyAlignment="1">
      <alignment horizontal="center" vertical="center"/>
    </xf>
    <xf numFmtId="180" fontId="19" fillId="0" borderId="1" xfId="0" applyNumberFormat="1" applyFont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7" fontId="16" fillId="0" borderId="1" xfId="1" quotePrefix="1" applyNumberFormat="1" applyFont="1" applyBorder="1" applyAlignment="1">
      <alignment horizontal="center" vertical="center"/>
    </xf>
    <xf numFmtId="0" fontId="16" fillId="0" borderId="1" xfId="1" quotePrefix="1" applyNumberFormat="1" applyFont="1" applyBorder="1" applyAlignment="1">
      <alignment horizontal="center" vertical="center"/>
    </xf>
    <xf numFmtId="177" fontId="21" fillId="0" borderId="1" xfId="1" applyNumberFormat="1" applyFont="1" applyBorder="1" applyAlignment="1">
      <alignment horizontal="center" vertical="center"/>
    </xf>
    <xf numFmtId="176" fontId="21" fillId="0" borderId="1" xfId="1" applyFont="1" applyBorder="1" applyAlignment="1">
      <alignment horizontal="left" vertical="center"/>
    </xf>
    <xf numFmtId="176" fontId="21" fillId="0" borderId="1" xfId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10" xfId="1" quotePrefix="1" applyNumberFormat="1" applyFont="1" applyBorder="1" applyAlignment="1">
      <alignment horizontal="center" vertical="center" shrinkToFit="1"/>
    </xf>
    <xf numFmtId="0" fontId="15" fillId="0" borderId="10" xfId="1" quotePrefix="1" applyNumberFormat="1" applyFont="1" applyBorder="1" applyAlignment="1">
      <alignment horizontal="center" vertical="center"/>
    </xf>
    <xf numFmtId="0" fontId="19" fillId="0" borderId="10" xfId="1" applyNumberFormat="1" applyFont="1" applyBorder="1" applyAlignment="1">
      <alignment horizontal="center" vertical="center"/>
    </xf>
    <xf numFmtId="0" fontId="21" fillId="0" borderId="10" xfId="1" applyNumberFormat="1" applyFont="1" applyBorder="1" applyAlignment="1">
      <alignment horizontal="left" vertical="center"/>
    </xf>
    <xf numFmtId="0" fontId="19" fillId="0" borderId="10" xfId="1" quotePrefix="1" applyNumberFormat="1" applyFont="1" applyBorder="1" applyAlignment="1">
      <alignment horizontal="center" vertical="center"/>
    </xf>
    <xf numFmtId="177" fontId="19" fillId="0" borderId="10" xfId="1" applyNumberFormat="1" applyFont="1" applyBorder="1" applyAlignment="1">
      <alignment horizontal="center" vertical="center"/>
    </xf>
    <xf numFmtId="179" fontId="19" fillId="0" borderId="10" xfId="1" applyNumberFormat="1" applyFont="1" applyBorder="1" applyAlignment="1">
      <alignment horizontal="center" vertical="center"/>
    </xf>
    <xf numFmtId="178" fontId="15" fillId="7" borderId="10" xfId="1" applyNumberFormat="1" applyFont="1" applyFill="1" applyBorder="1" applyAlignment="1">
      <alignment horizontal="center" vertical="center"/>
    </xf>
    <xf numFmtId="180" fontId="19" fillId="0" borderId="10" xfId="0" applyNumberFormat="1" applyFont="1" applyBorder="1" applyAlignment="1">
      <alignment horizontal="center" vertical="center"/>
    </xf>
    <xf numFmtId="180" fontId="19" fillId="0" borderId="10" xfId="1" applyNumberFormat="1" applyFont="1" applyBorder="1" applyAlignment="1">
      <alignment horizontal="center" vertical="center"/>
    </xf>
    <xf numFmtId="177" fontId="16" fillId="0" borderId="10" xfId="1" quotePrefix="1" applyNumberFormat="1" applyFont="1" applyBorder="1" applyAlignment="1">
      <alignment horizontal="center" vertical="center"/>
    </xf>
    <xf numFmtId="0" fontId="16" fillId="0" borderId="10" xfId="1" quotePrefix="1" applyNumberFormat="1" applyFont="1" applyBorder="1" applyAlignment="1">
      <alignment horizontal="center" vertical="center"/>
    </xf>
    <xf numFmtId="177" fontId="21" fillId="0" borderId="10" xfId="1" applyNumberFormat="1" applyFont="1" applyBorder="1" applyAlignment="1">
      <alignment horizontal="center" vertical="center"/>
    </xf>
    <xf numFmtId="176" fontId="21" fillId="0" borderId="10" xfId="1" applyFont="1" applyBorder="1" applyAlignment="1">
      <alignment horizontal="left" vertical="center"/>
    </xf>
    <xf numFmtId="176" fontId="21" fillId="0" borderId="10" xfId="1" applyFont="1" applyBorder="1" applyAlignment="1">
      <alignment horizontal="center" vertical="center"/>
    </xf>
    <xf numFmtId="0" fontId="19" fillId="0" borderId="7" xfId="1" applyNumberFormat="1" applyFont="1" applyBorder="1" applyAlignment="1">
      <alignment horizontal="left" vertical="center"/>
    </xf>
    <xf numFmtId="177" fontId="21" fillId="0" borderId="10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</cellXfs>
  <cellStyles count="2">
    <cellStyle name="표준" xfId="0" builtinId="0"/>
    <cellStyle name="표준 2" xfId="1" xr:uid="{00000000-0005-0000-0000-000001000000}"/>
  </cellStyles>
  <dxfs count="6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CC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523875</xdr:colOff>
      <xdr:row>16</xdr:row>
      <xdr:rowOff>247425</xdr:rowOff>
    </xdr:from>
    <xdr:to>
      <xdr:col>39</xdr:col>
      <xdr:colOff>356820</xdr:colOff>
      <xdr:row>21</xdr:row>
      <xdr:rowOff>360231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3425" y="7086375"/>
          <a:ext cx="3033346" cy="201022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14</xdr:col>
      <xdr:colOff>1476375</xdr:colOff>
      <xdr:row>14</xdr:row>
      <xdr:rowOff>228600</xdr:rowOff>
    </xdr:from>
    <xdr:to>
      <xdr:col>34</xdr:col>
      <xdr:colOff>85725</xdr:colOff>
      <xdr:row>17</xdr:row>
      <xdr:rowOff>276225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2715875" y="6191250"/>
          <a:ext cx="7162800" cy="1362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142875</xdr:colOff>
      <xdr:row>8</xdr:row>
      <xdr:rowOff>352426</xdr:rowOff>
    </xdr:from>
    <xdr:to>
      <xdr:col>36</xdr:col>
      <xdr:colOff>123750</xdr:colOff>
      <xdr:row>15</xdr:row>
      <xdr:rowOff>182588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87550" y="2914651"/>
          <a:ext cx="3181274" cy="278130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14</xdr:col>
      <xdr:colOff>1361419</xdr:colOff>
      <xdr:row>13</xdr:row>
      <xdr:rowOff>178020</xdr:rowOff>
    </xdr:from>
    <xdr:to>
      <xdr:col>30</xdr:col>
      <xdr:colOff>123169</xdr:colOff>
      <xdr:row>13</xdr:row>
      <xdr:rowOff>244694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13041040" y="5728796"/>
          <a:ext cx="5179629" cy="666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123825</xdr:colOff>
      <xdr:row>0</xdr:row>
      <xdr:rowOff>238125</xdr:rowOff>
    </xdr:from>
    <xdr:to>
      <xdr:col>38</xdr:col>
      <xdr:colOff>464323</xdr:colOff>
      <xdr:row>6</xdr:row>
      <xdr:rowOff>169583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68500" y="238125"/>
          <a:ext cx="4607696" cy="258127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14</xdr:col>
      <xdr:colOff>1504950</xdr:colOff>
      <xdr:row>3</xdr:row>
      <xdr:rowOff>395288</xdr:rowOff>
    </xdr:from>
    <xdr:to>
      <xdr:col>30</xdr:col>
      <xdr:colOff>123825</xdr:colOff>
      <xdr:row>12</xdr:row>
      <xdr:rowOff>133350</xdr:rowOff>
    </xdr:to>
    <xdr:cxnSp macro="">
      <xdr:nvCxnSpPr>
        <xdr:cNvPr id="19" name="꺾인 연결선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endCxn id="17" idx="1"/>
        </xdr:cNvCxnSpPr>
      </xdr:nvCxnSpPr>
      <xdr:spPr>
        <a:xfrm flipV="1">
          <a:off x="10582275" y="1528763"/>
          <a:ext cx="4086225" cy="24526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26378</xdr:colOff>
      <xdr:row>17</xdr:row>
      <xdr:rowOff>16119</xdr:rowOff>
    </xdr:from>
    <xdr:to>
      <xdr:col>9</xdr:col>
      <xdr:colOff>344436</xdr:colOff>
      <xdr:row>27</xdr:row>
      <xdr:rowOff>92581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78" y="2618642"/>
          <a:ext cx="4854889" cy="1424616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17</xdr:row>
      <xdr:rowOff>38100</xdr:rowOff>
    </xdr:from>
    <xdr:to>
      <xdr:col>18</xdr:col>
      <xdr:colOff>474424</xdr:colOff>
      <xdr:row>24</xdr:row>
      <xdr:rowOff>25854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2714625"/>
          <a:ext cx="4751149" cy="987879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30</xdr:row>
      <xdr:rowOff>62948</xdr:rowOff>
    </xdr:from>
    <xdr:to>
      <xdr:col>15</xdr:col>
      <xdr:colOff>226683</xdr:colOff>
      <xdr:row>43</xdr:row>
      <xdr:rowOff>80282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4175" y="4596848"/>
          <a:ext cx="4893933" cy="1874709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3</xdr:row>
      <xdr:rowOff>161925</xdr:rowOff>
    </xdr:from>
    <xdr:to>
      <xdr:col>15</xdr:col>
      <xdr:colOff>115155</xdr:colOff>
      <xdr:row>15</xdr:row>
      <xdr:rowOff>137966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04850"/>
          <a:ext cx="3001230" cy="182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173935</xdr:colOff>
      <xdr:row>0</xdr:row>
      <xdr:rowOff>182218</xdr:rowOff>
    </xdr:from>
    <xdr:to>
      <xdr:col>14</xdr:col>
      <xdr:colOff>331304</xdr:colOff>
      <xdr:row>3</xdr:row>
      <xdr:rowOff>132522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040960" y="182218"/>
          <a:ext cx="6329569" cy="62657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FFFF00"/>
              </a:solidFill>
            </a:rPr>
            <a:t>BOM</a:t>
          </a:r>
          <a:r>
            <a:rPr lang="ko-KR" altLang="en-US" sz="1100">
              <a:solidFill>
                <a:srgbClr val="FFFF00"/>
              </a:solidFill>
            </a:rPr>
            <a:t>등록 시 재고 현황 참고할 수 있도록</a:t>
          </a:r>
          <a:r>
            <a:rPr lang="en-US" altLang="ko-KR" sz="1100">
              <a:solidFill>
                <a:srgbClr val="FFFF00"/>
              </a:solidFill>
            </a:rPr>
            <a:t>....</a:t>
          </a:r>
        </a:p>
        <a:p>
          <a:r>
            <a:rPr lang="en-US" altLang="ko-KR" sz="1100">
              <a:solidFill>
                <a:srgbClr val="FFFF00"/>
              </a:solidFill>
            </a:rPr>
            <a:t> (EX, </a:t>
          </a:r>
          <a:r>
            <a:rPr lang="ko-KR" altLang="en-US" sz="1100">
              <a:solidFill>
                <a:srgbClr val="FFFF00"/>
              </a:solidFill>
            </a:rPr>
            <a:t>열선 재고</a:t>
          </a:r>
          <a:r>
            <a:rPr lang="en-US" altLang="ko-KR" sz="1100">
              <a:solidFill>
                <a:srgbClr val="FFFF00"/>
              </a:solidFill>
            </a:rPr>
            <a:t>; </a:t>
          </a:r>
          <a:r>
            <a:rPr lang="ko-KR" altLang="en-US" sz="1100">
              <a:solidFill>
                <a:srgbClr val="FFFF00"/>
              </a:solidFill>
            </a:rPr>
            <a:t>실적입력 시점과 사용 시점의 차이로 인한 장부</a:t>
          </a:r>
          <a:r>
            <a:rPr lang="en-US" altLang="ko-KR" sz="1100">
              <a:solidFill>
                <a:srgbClr val="FFFF00"/>
              </a:solidFill>
            </a:rPr>
            <a:t>VS </a:t>
          </a:r>
          <a:r>
            <a:rPr lang="ko-KR" altLang="en-US" sz="1100">
              <a:solidFill>
                <a:srgbClr val="FFFF00"/>
              </a:solidFill>
            </a:rPr>
            <a:t>실재고 차이</a:t>
          </a:r>
          <a:r>
            <a:rPr lang="en-US" altLang="ko-KR" sz="1100">
              <a:solidFill>
                <a:srgbClr val="FFFF00"/>
              </a:solidFill>
            </a:rPr>
            <a:t>)</a:t>
          </a:r>
          <a:endParaRPr lang="ko-KR" altLang="en-US" sz="1100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상윤" refreshedDate="46043.735028356481" createdVersion="6" refreshedVersion="6" minRefreshableVersion="3" recordCount="36" xr:uid="{00000000-000A-0000-FFFF-FFFF03000000}">
  <cacheSource type="worksheet">
    <worksheetSource ref="Y2:Y38" sheet="개발요청목록"/>
  </cacheSource>
  <cacheFields count="1">
    <cacheField name="요청" numFmtId="0">
      <sharedItems containsBlank="1" count="3">
        <s v="O"/>
        <s v="X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A2:AB5" firstHeaderRow="1" firstDataRow="1" firstDataCol="1"/>
  <pivotFields count="1">
    <pivotField axis="axisRow" dataField="1" showAll="0">
      <items count="4">
        <item x="0"/>
        <item x="1"/>
        <item h="1" m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개수 : 요청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1"/>
  <sheetViews>
    <sheetView showGridLines="0" topLeftCell="X7" zoomScale="145" zoomScaleNormal="145" workbookViewId="0">
      <selection activeCell="Z13" sqref="Z13"/>
    </sheetView>
  </sheetViews>
  <sheetFormatPr defaultColWidth="9.375" defaultRowHeight="10.8" x14ac:dyDescent="0.15"/>
  <cols>
    <col min="1" max="1" width="4" style="9" customWidth="1"/>
    <col min="2" max="2" width="6.875" style="9" customWidth="1"/>
    <col min="3" max="3" width="7.125" style="9" customWidth="1"/>
    <col min="4" max="4" width="23.625" style="9" customWidth="1"/>
    <col min="5" max="5" width="39.625" style="9" customWidth="1"/>
    <col min="6" max="8" width="3.625" style="9" customWidth="1"/>
    <col min="9" max="9" width="6.625" style="9" customWidth="1"/>
    <col min="10" max="10" width="7.375" style="9" customWidth="1"/>
    <col min="11" max="11" width="5.125" style="9" customWidth="1"/>
    <col min="12" max="12" width="92.5" style="9" customWidth="1"/>
    <col min="13" max="13" width="11.5" style="9" hidden="1" customWidth="1"/>
    <col min="14" max="14" width="65.125" style="9" hidden="1" customWidth="1"/>
    <col min="15" max="15" width="6.5" style="9" customWidth="1"/>
    <col min="16" max="16" width="8.875" style="9" hidden="1" customWidth="1"/>
    <col min="17" max="17" width="6.125" style="9" hidden="1" customWidth="1"/>
    <col min="18" max="18" width="7.125" style="9" hidden="1" customWidth="1"/>
    <col min="19" max="19" width="0" style="9" hidden="1" customWidth="1"/>
    <col min="20" max="20" width="8.625" style="9" hidden="1" customWidth="1"/>
    <col min="21" max="21" width="7.875" style="9" hidden="1" customWidth="1"/>
    <col min="22" max="22" width="8.125" style="9" hidden="1" customWidth="1"/>
    <col min="23" max="23" width="8" style="9" hidden="1" customWidth="1"/>
    <col min="24" max="24" width="24" style="9" customWidth="1"/>
    <col min="25" max="25" width="5.125" style="178" customWidth="1"/>
    <col min="26" max="26" width="110.375" style="9" bestFit="1" customWidth="1"/>
    <col min="27" max="27" width="9.375" style="9"/>
    <col min="28" max="28" width="57.5" style="9" customWidth="1"/>
    <col min="29" max="16384" width="9.375" style="9"/>
  </cols>
  <sheetData>
    <row r="1" spans="1:29" ht="33" customHeight="1" x14ac:dyDescent="0.15">
      <c r="B1" s="195" t="s">
        <v>18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</row>
    <row r="2" spans="1:29" ht="54" x14ac:dyDescent="0.15">
      <c r="A2" s="2" t="s">
        <v>19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2" t="s">
        <v>11</v>
      </c>
      <c r="N2" s="3" t="s">
        <v>12</v>
      </c>
      <c r="O2" s="3" t="s">
        <v>27</v>
      </c>
      <c r="P2" s="3" t="s">
        <v>26</v>
      </c>
      <c r="Q2" s="3" t="s">
        <v>25</v>
      </c>
      <c r="R2" s="3"/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189"/>
      <c r="Y2" s="12" t="s">
        <v>283</v>
      </c>
      <c r="Z2" s="191" t="s">
        <v>312</v>
      </c>
      <c r="AA2" s="191" t="s">
        <v>311</v>
      </c>
      <c r="AB2" s="193" t="s">
        <v>326</v>
      </c>
    </row>
    <row r="3" spans="1:29" s="1" customFormat="1" ht="30" customHeight="1" x14ac:dyDescent="0.15">
      <c r="A3" s="5">
        <v>1</v>
      </c>
      <c r="B3" s="5"/>
      <c r="C3" s="4" t="s">
        <v>24</v>
      </c>
      <c r="D3" s="4" t="s">
        <v>28</v>
      </c>
      <c r="E3" s="4" t="s">
        <v>32</v>
      </c>
      <c r="F3" s="5"/>
      <c r="G3" s="5"/>
      <c r="H3" s="5"/>
      <c r="I3" s="4" t="s">
        <v>29</v>
      </c>
      <c r="J3" s="4" t="s">
        <v>277</v>
      </c>
      <c r="K3" s="4"/>
      <c r="L3" s="4" t="s">
        <v>30</v>
      </c>
      <c r="M3" s="4"/>
      <c r="N3" s="4"/>
      <c r="O3" s="11" t="s">
        <v>34</v>
      </c>
      <c r="P3" s="5"/>
      <c r="Q3" s="5"/>
      <c r="R3" s="5"/>
      <c r="S3" s="5"/>
      <c r="T3" s="5"/>
      <c r="U3" s="5"/>
      <c r="V3" s="5"/>
      <c r="W3" s="5"/>
      <c r="X3" s="4" t="s">
        <v>278</v>
      </c>
      <c r="Y3" s="12" t="s">
        <v>280</v>
      </c>
      <c r="Z3" s="4" t="s">
        <v>327</v>
      </c>
      <c r="AA3" s="188">
        <v>2</v>
      </c>
      <c r="AB3" s="174" t="s">
        <v>328</v>
      </c>
    </row>
    <row r="4" spans="1:29" s="1" customFormat="1" ht="30" customHeight="1" x14ac:dyDescent="0.15">
      <c r="A4" s="5">
        <v>6</v>
      </c>
      <c r="B4" s="4"/>
      <c r="C4" s="4" t="s">
        <v>24</v>
      </c>
      <c r="D4" s="4" t="s">
        <v>303</v>
      </c>
      <c r="E4" s="4" t="s">
        <v>46</v>
      </c>
      <c r="F4" s="5"/>
      <c r="G4" s="5"/>
      <c r="H4" s="5"/>
      <c r="I4" s="4" t="s">
        <v>29</v>
      </c>
      <c r="J4" s="4" t="s">
        <v>277</v>
      </c>
      <c r="K4" s="5"/>
      <c r="L4" s="4" t="s">
        <v>237</v>
      </c>
      <c r="M4" s="4"/>
      <c r="N4" s="4"/>
      <c r="O4" s="12" t="s">
        <v>42</v>
      </c>
      <c r="P4" s="5"/>
      <c r="Q4" s="5"/>
      <c r="R4" s="5"/>
      <c r="S4" s="5"/>
      <c r="T4" s="5"/>
      <c r="U4" s="5"/>
      <c r="V4" s="5"/>
      <c r="W4" s="5"/>
      <c r="X4" s="4" t="s">
        <v>252</v>
      </c>
      <c r="Y4" s="190" t="s">
        <v>279</v>
      </c>
      <c r="Z4" s="4" t="s">
        <v>313</v>
      </c>
      <c r="AA4" s="188">
        <v>7</v>
      </c>
      <c r="AB4" s="194" t="s">
        <v>331</v>
      </c>
      <c r="AC4" s="174" t="s">
        <v>329</v>
      </c>
    </row>
    <row r="5" spans="1:29" s="1" customFormat="1" ht="45" customHeight="1" x14ac:dyDescent="0.15">
      <c r="A5" s="5">
        <v>7</v>
      </c>
      <c r="B5" s="4"/>
      <c r="C5" s="4" t="s">
        <v>24</v>
      </c>
      <c r="D5" s="4" t="s">
        <v>36</v>
      </c>
      <c r="E5" s="4" t="s">
        <v>47</v>
      </c>
      <c r="F5" s="5"/>
      <c r="G5" s="5"/>
      <c r="H5" s="5"/>
      <c r="I5" s="4" t="s">
        <v>302</v>
      </c>
      <c r="J5" s="4" t="s">
        <v>48</v>
      </c>
      <c r="K5" s="5"/>
      <c r="L5" s="4" t="s">
        <v>284</v>
      </c>
      <c r="M5" s="4"/>
      <c r="N5" s="4"/>
      <c r="O5" s="12" t="s">
        <v>34</v>
      </c>
      <c r="P5" s="5"/>
      <c r="Q5" s="5"/>
      <c r="R5" s="5"/>
      <c r="S5" s="5"/>
      <c r="T5" s="5"/>
      <c r="U5" s="5"/>
      <c r="V5" s="5"/>
      <c r="W5" s="5"/>
      <c r="X5" s="4" t="s">
        <v>253</v>
      </c>
      <c r="Y5" s="190" t="s">
        <v>279</v>
      </c>
      <c r="Z5" s="4" t="s">
        <v>314</v>
      </c>
      <c r="AA5" s="188">
        <v>8</v>
      </c>
      <c r="AB5" s="194" t="s">
        <v>335</v>
      </c>
      <c r="AC5" s="174" t="s">
        <v>330</v>
      </c>
    </row>
    <row r="6" spans="1:29" s="1" customFormat="1" ht="30" customHeight="1" x14ac:dyDescent="0.15">
      <c r="A6" s="5">
        <v>8</v>
      </c>
      <c r="B6" s="4"/>
      <c r="C6" s="4" t="s">
        <v>24</v>
      </c>
      <c r="D6" s="4" t="s">
        <v>49</v>
      </c>
      <c r="E6" s="4" t="s">
        <v>50</v>
      </c>
      <c r="F6" s="5"/>
      <c r="G6" s="5"/>
      <c r="H6" s="5"/>
      <c r="I6" s="4" t="s">
        <v>302</v>
      </c>
      <c r="J6" s="4" t="s">
        <v>48</v>
      </c>
      <c r="K6" s="5"/>
      <c r="L6" s="4" t="s">
        <v>284</v>
      </c>
      <c r="M6" s="4"/>
      <c r="N6" s="4"/>
      <c r="O6" s="12" t="s">
        <v>34</v>
      </c>
      <c r="P6" s="5"/>
      <c r="Q6" s="5"/>
      <c r="R6" s="5"/>
      <c r="S6" s="5"/>
      <c r="T6" s="5"/>
      <c r="U6" s="5"/>
      <c r="V6" s="5"/>
      <c r="W6" s="5"/>
      <c r="X6" s="4" t="s">
        <v>254</v>
      </c>
      <c r="Y6" s="190" t="s">
        <v>279</v>
      </c>
      <c r="Z6" s="4" t="s">
        <v>315</v>
      </c>
      <c r="AA6" s="188">
        <v>2</v>
      </c>
    </row>
    <row r="7" spans="1:29" s="1" customFormat="1" ht="30" customHeight="1" x14ac:dyDescent="0.15">
      <c r="A7" s="5">
        <v>11</v>
      </c>
      <c r="B7" s="5"/>
      <c r="C7" s="4" t="s">
        <v>24</v>
      </c>
      <c r="D7" s="4" t="s">
        <v>156</v>
      </c>
      <c r="E7" s="4" t="s">
        <v>157</v>
      </c>
      <c r="F7" s="5"/>
      <c r="G7" s="5"/>
      <c r="H7" s="5"/>
      <c r="I7" s="4" t="s">
        <v>152</v>
      </c>
      <c r="J7" s="4" t="s">
        <v>169</v>
      </c>
      <c r="K7" s="5"/>
      <c r="L7" s="4" t="s">
        <v>158</v>
      </c>
      <c r="M7" s="4"/>
      <c r="N7" s="5"/>
      <c r="O7" s="12" t="s">
        <v>34</v>
      </c>
      <c r="P7" s="5"/>
      <c r="Q7" s="5"/>
      <c r="R7" s="5"/>
      <c r="S7" s="5"/>
      <c r="T7" s="5"/>
      <c r="U7" s="5"/>
      <c r="V7" s="5"/>
      <c r="W7" s="5"/>
      <c r="X7" s="4" t="s">
        <v>257</v>
      </c>
      <c r="Y7" s="190" t="s">
        <v>279</v>
      </c>
      <c r="Z7" s="4" t="s">
        <v>316</v>
      </c>
      <c r="AA7" s="188">
        <v>0</v>
      </c>
    </row>
    <row r="8" spans="1:29" s="1" customFormat="1" ht="30" customHeight="1" x14ac:dyDescent="0.15">
      <c r="A8" s="5">
        <v>22</v>
      </c>
      <c r="B8" s="5"/>
      <c r="C8" s="4" t="s">
        <v>165</v>
      </c>
      <c r="D8" s="4" t="s">
        <v>197</v>
      </c>
      <c r="E8" s="4" t="s">
        <v>194</v>
      </c>
      <c r="F8" s="5"/>
      <c r="G8" s="5"/>
      <c r="H8" s="5"/>
      <c r="I8" s="4" t="s">
        <v>195</v>
      </c>
      <c r="J8" s="4" t="s">
        <v>196</v>
      </c>
      <c r="K8" s="5"/>
      <c r="L8" s="4" t="s">
        <v>288</v>
      </c>
      <c r="M8" s="4"/>
      <c r="N8" s="4"/>
      <c r="O8" s="12" t="s">
        <v>34</v>
      </c>
      <c r="P8" s="5"/>
      <c r="Q8" s="5"/>
      <c r="R8" s="5"/>
      <c r="S8" s="5"/>
      <c r="T8" s="5"/>
      <c r="U8" s="5"/>
      <c r="V8" s="5"/>
      <c r="W8" s="5"/>
      <c r="X8" s="4" t="s">
        <v>252</v>
      </c>
      <c r="Y8" s="190" t="s">
        <v>279</v>
      </c>
      <c r="Z8" s="4" t="s">
        <v>317</v>
      </c>
      <c r="AA8" s="197">
        <v>4</v>
      </c>
      <c r="AB8" s="194" t="s">
        <v>332</v>
      </c>
    </row>
    <row r="9" spans="1:29" s="1" customFormat="1" ht="30" customHeight="1" x14ac:dyDescent="0.15">
      <c r="A9" s="5">
        <v>23</v>
      </c>
      <c r="B9" s="5"/>
      <c r="C9" s="4" t="s">
        <v>165</v>
      </c>
      <c r="D9" s="4" t="s">
        <v>193</v>
      </c>
      <c r="E9" s="4" t="s">
        <v>289</v>
      </c>
      <c r="F9" s="5"/>
      <c r="G9" s="5"/>
      <c r="H9" s="5"/>
      <c r="I9" s="4" t="s">
        <v>195</v>
      </c>
      <c r="J9" s="4" t="s">
        <v>196</v>
      </c>
      <c r="K9" s="5"/>
      <c r="L9" s="4" t="s">
        <v>290</v>
      </c>
      <c r="M9" s="8"/>
      <c r="N9" s="8"/>
      <c r="O9" s="12" t="s">
        <v>34</v>
      </c>
      <c r="P9" s="5"/>
      <c r="Q9" s="5"/>
      <c r="R9" s="5"/>
      <c r="S9" s="5"/>
      <c r="T9" s="5"/>
      <c r="U9" s="5"/>
      <c r="V9" s="5"/>
      <c r="W9" s="5"/>
      <c r="X9" s="4" t="s">
        <v>265</v>
      </c>
      <c r="Y9" s="190" t="s">
        <v>279</v>
      </c>
      <c r="Z9" s="4" t="s">
        <v>318</v>
      </c>
      <c r="AA9" s="198"/>
      <c r="AB9" s="194" t="s">
        <v>333</v>
      </c>
    </row>
    <row r="10" spans="1:29" s="1" customFormat="1" ht="30" customHeight="1" x14ac:dyDescent="0.15">
      <c r="A10" s="5">
        <v>24</v>
      </c>
      <c r="B10" s="5"/>
      <c r="C10" s="4" t="s">
        <v>24</v>
      </c>
      <c r="D10" s="4" t="s">
        <v>198</v>
      </c>
      <c r="E10" s="4" t="s">
        <v>199</v>
      </c>
      <c r="F10" s="5"/>
      <c r="G10" s="5"/>
      <c r="H10" s="5"/>
      <c r="I10" s="4" t="s">
        <v>195</v>
      </c>
      <c r="J10" s="4" t="s">
        <v>196</v>
      </c>
      <c r="K10" s="5"/>
      <c r="L10" s="6" t="s">
        <v>200</v>
      </c>
      <c r="M10" s="4"/>
      <c r="N10" s="5"/>
      <c r="O10" s="12" t="s">
        <v>34</v>
      </c>
      <c r="P10" s="5"/>
      <c r="Q10" s="5"/>
      <c r="R10" s="5"/>
      <c r="S10" s="5"/>
      <c r="T10" s="5"/>
      <c r="U10" s="5"/>
      <c r="V10" s="5"/>
      <c r="W10" s="5"/>
      <c r="X10" s="4" t="s">
        <v>266</v>
      </c>
      <c r="Y10" s="190" t="s">
        <v>279</v>
      </c>
      <c r="Z10" s="4" t="s">
        <v>325</v>
      </c>
      <c r="AA10" s="188"/>
    </row>
    <row r="11" spans="1:29" s="1" customFormat="1" ht="30" customHeight="1" x14ac:dyDescent="0.15">
      <c r="A11" s="5">
        <v>27</v>
      </c>
      <c r="B11" s="5"/>
      <c r="C11" s="4" t="s">
        <v>21</v>
      </c>
      <c r="D11" s="4" t="s">
        <v>210</v>
      </c>
      <c r="E11" s="4" t="s">
        <v>211</v>
      </c>
      <c r="F11" s="5"/>
      <c r="G11" s="5"/>
      <c r="H11" s="5"/>
      <c r="I11" s="4" t="s">
        <v>212</v>
      </c>
      <c r="J11" s="4" t="s">
        <v>213</v>
      </c>
      <c r="K11" s="5"/>
      <c r="L11" s="4" t="s">
        <v>292</v>
      </c>
      <c r="M11" s="4"/>
      <c r="N11" s="4"/>
      <c r="O11" s="173" t="s">
        <v>34</v>
      </c>
      <c r="P11" s="7"/>
      <c r="Q11" s="7"/>
      <c r="R11" s="7"/>
      <c r="S11" s="5"/>
      <c r="T11" s="5"/>
      <c r="U11" s="5"/>
      <c r="V11" s="5"/>
      <c r="W11" s="5"/>
      <c r="X11" s="4" t="s">
        <v>268</v>
      </c>
      <c r="Y11" s="190" t="s">
        <v>279</v>
      </c>
      <c r="Z11" s="4" t="s">
        <v>319</v>
      </c>
      <c r="AA11" s="188">
        <v>3</v>
      </c>
    </row>
    <row r="12" spans="1:29" s="1" customFormat="1" ht="30" customHeight="1" x14ac:dyDescent="0.15">
      <c r="A12" s="5">
        <v>29</v>
      </c>
      <c r="B12" s="5"/>
      <c r="C12" s="4" t="s">
        <v>21</v>
      </c>
      <c r="D12" s="4" t="s">
        <v>222</v>
      </c>
      <c r="E12" s="174" t="s">
        <v>223</v>
      </c>
      <c r="F12" s="5"/>
      <c r="G12" s="5"/>
      <c r="H12" s="5"/>
      <c r="I12" s="4" t="s">
        <v>212</v>
      </c>
      <c r="J12" s="4" t="s">
        <v>213</v>
      </c>
      <c r="K12" s="5"/>
      <c r="L12" s="4" t="s">
        <v>221</v>
      </c>
      <c r="M12" s="4"/>
      <c r="N12" s="4"/>
      <c r="O12" s="173" t="s">
        <v>34</v>
      </c>
      <c r="P12" s="5"/>
      <c r="Q12" s="5"/>
      <c r="R12" s="5"/>
      <c r="S12" s="5"/>
      <c r="T12" s="5"/>
      <c r="U12" s="5"/>
      <c r="V12" s="5"/>
      <c r="W12" s="5"/>
      <c r="X12" s="4" t="s">
        <v>269</v>
      </c>
      <c r="Y12" s="190" t="s">
        <v>279</v>
      </c>
      <c r="Z12" s="4" t="s">
        <v>320</v>
      </c>
      <c r="AA12" s="188"/>
    </row>
    <row r="13" spans="1:29" s="1" customFormat="1" ht="30" customHeight="1" x14ac:dyDescent="0.15">
      <c r="A13" s="5">
        <v>30</v>
      </c>
      <c r="B13" s="5"/>
      <c r="C13" s="4" t="s">
        <v>22</v>
      </c>
      <c r="D13" s="4" t="s">
        <v>23</v>
      </c>
      <c r="E13" s="4" t="s">
        <v>224</v>
      </c>
      <c r="F13" s="5"/>
      <c r="G13" s="5"/>
      <c r="H13" s="5"/>
      <c r="I13" s="4" t="s">
        <v>212</v>
      </c>
      <c r="J13" s="4" t="s">
        <v>213</v>
      </c>
      <c r="K13" s="5"/>
      <c r="L13" s="4" t="s">
        <v>225</v>
      </c>
      <c r="M13" s="4"/>
      <c r="N13" s="4"/>
      <c r="O13" s="12" t="s">
        <v>34</v>
      </c>
      <c r="P13" s="5"/>
      <c r="Q13" s="5"/>
      <c r="R13" s="5"/>
      <c r="S13" s="5"/>
      <c r="T13" s="5"/>
      <c r="U13" s="5"/>
      <c r="V13" s="5"/>
      <c r="W13" s="5"/>
      <c r="X13" s="4" t="s">
        <v>254</v>
      </c>
      <c r="Y13" s="190" t="s">
        <v>279</v>
      </c>
      <c r="Z13" s="4" t="s">
        <v>324</v>
      </c>
      <c r="AA13" s="188"/>
    </row>
    <row r="14" spans="1:29" s="1" customFormat="1" ht="30" customHeight="1" x14ac:dyDescent="0.15">
      <c r="A14" s="5">
        <v>32</v>
      </c>
      <c r="B14" s="5"/>
      <c r="C14" s="4" t="s">
        <v>229</v>
      </c>
      <c r="D14" s="4" t="s">
        <v>321</v>
      </c>
      <c r="E14" s="4" t="s">
        <v>231</v>
      </c>
      <c r="F14" s="5"/>
      <c r="G14" s="5"/>
      <c r="H14" s="5"/>
      <c r="I14" s="4" t="s">
        <v>212</v>
      </c>
      <c r="J14" s="4" t="s">
        <v>213</v>
      </c>
      <c r="K14" s="5"/>
      <c r="L14" s="4" t="s">
        <v>232</v>
      </c>
      <c r="M14" s="5"/>
      <c r="N14" s="5"/>
      <c r="O14" s="12" t="s">
        <v>34</v>
      </c>
      <c r="P14" s="5"/>
      <c r="Q14" s="5"/>
      <c r="R14" s="5"/>
      <c r="S14" s="5"/>
      <c r="T14" s="5"/>
      <c r="U14" s="5"/>
      <c r="V14" s="5"/>
      <c r="W14" s="5"/>
      <c r="X14" s="4" t="s">
        <v>293</v>
      </c>
      <c r="Y14" s="190" t="s">
        <v>279</v>
      </c>
      <c r="Z14" s="4" t="s">
        <v>322</v>
      </c>
      <c r="AA14" s="188">
        <v>3</v>
      </c>
    </row>
    <row r="15" spans="1:29" s="1" customFormat="1" ht="30" customHeight="1" x14ac:dyDescent="0.15">
      <c r="A15" s="5">
        <v>35</v>
      </c>
      <c r="B15" s="5"/>
      <c r="C15" s="4" t="s">
        <v>304</v>
      </c>
      <c r="D15" s="4" t="s">
        <v>305</v>
      </c>
      <c r="E15" s="4" t="s">
        <v>306</v>
      </c>
      <c r="F15" s="5"/>
      <c r="G15" s="5"/>
      <c r="H15" s="5"/>
      <c r="I15" s="4" t="s">
        <v>308</v>
      </c>
      <c r="J15" s="4" t="s">
        <v>307</v>
      </c>
      <c r="K15" s="5"/>
      <c r="L15" s="4" t="s">
        <v>309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 t="s">
        <v>310</v>
      </c>
      <c r="Y15" s="12" t="s">
        <v>279</v>
      </c>
      <c r="Z15" s="4" t="s">
        <v>323</v>
      </c>
      <c r="AA15" s="188">
        <v>2</v>
      </c>
      <c r="AB15" s="194" t="s">
        <v>334</v>
      </c>
      <c r="AC15" s="174"/>
    </row>
    <row r="16" spans="1:29" s="1" customFormat="1" x14ac:dyDescent="0.15">
      <c r="Y16" s="178"/>
      <c r="AA16" s="192">
        <f>SUM(AA3:AA15)</f>
        <v>31</v>
      </c>
    </row>
    <row r="17" spans="25:25" s="1" customFormat="1" x14ac:dyDescent="0.15">
      <c r="Y17" s="178"/>
    </row>
    <row r="18" spans="25:25" s="1" customFormat="1" x14ac:dyDescent="0.15">
      <c r="Y18" s="178"/>
    </row>
    <row r="19" spans="25:25" s="1" customFormat="1" x14ac:dyDescent="0.15">
      <c r="Y19" s="178"/>
    </row>
    <row r="20" spans="25:25" s="1" customFormat="1" x14ac:dyDescent="0.15">
      <c r="Y20" s="178"/>
    </row>
    <row r="21" spans="25:25" s="1" customFormat="1" x14ac:dyDescent="0.15">
      <c r="Y21" s="178"/>
    </row>
    <row r="22" spans="25:25" s="1" customFormat="1" x14ac:dyDescent="0.15">
      <c r="Y22" s="178"/>
    </row>
    <row r="23" spans="25:25" s="1" customFormat="1" x14ac:dyDescent="0.15">
      <c r="Y23" s="178"/>
    </row>
    <row r="24" spans="25:25" s="1" customFormat="1" x14ac:dyDescent="0.15">
      <c r="Y24" s="178"/>
    </row>
    <row r="25" spans="25:25" s="1" customFormat="1" x14ac:dyDescent="0.15">
      <c r="Y25" s="178"/>
    </row>
    <row r="26" spans="25:25" s="1" customFormat="1" x14ac:dyDescent="0.15">
      <c r="Y26" s="178"/>
    </row>
    <row r="27" spans="25:25" s="1" customFormat="1" x14ac:dyDescent="0.15">
      <c r="Y27" s="178"/>
    </row>
    <row r="28" spans="25:25" s="1" customFormat="1" x14ac:dyDescent="0.15">
      <c r="Y28" s="178"/>
    </row>
    <row r="29" spans="25:25" s="1" customFormat="1" x14ac:dyDescent="0.15">
      <c r="Y29" s="178"/>
    </row>
    <row r="30" spans="25:25" s="1" customFormat="1" x14ac:dyDescent="0.15">
      <c r="Y30" s="178"/>
    </row>
    <row r="31" spans="25:25" s="1" customFormat="1" x14ac:dyDescent="0.15">
      <c r="Y31" s="178"/>
    </row>
  </sheetData>
  <autoFilter ref="A2:Y2" xr:uid="{00000000-0009-0000-0000-000000000000}"/>
  <mergeCells count="2">
    <mergeCell ref="B1:W1"/>
    <mergeCell ref="AA8:AA9"/>
  </mergeCells>
  <phoneticPr fontId="6" type="noConversion"/>
  <pageMargins left="0.23622047244094491" right="0.15748031496062992" top="0.35433070866141736" bottom="0.35433070866141736" header="0.31496062992125984" footer="0.31496062992125984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B97F-5F37-409F-8954-D0EFEAC1F81A}">
  <dimension ref="B1:G22"/>
  <sheetViews>
    <sheetView tabSelected="1" topLeftCell="C1" zoomScale="175" zoomScaleNormal="175" workbookViewId="0">
      <selection activeCell="E5" sqref="E5"/>
    </sheetView>
  </sheetViews>
  <sheetFormatPr defaultRowHeight="10.8" x14ac:dyDescent="0.15"/>
  <cols>
    <col min="2" max="2" width="28" customWidth="1"/>
    <col min="5" max="5" width="63.75" bestFit="1" customWidth="1"/>
    <col min="6" max="6" width="19.125" customWidth="1"/>
    <col min="7" max="7" width="30.875" customWidth="1"/>
  </cols>
  <sheetData>
    <row r="1" spans="2:7" x14ac:dyDescent="0.15">
      <c r="B1" s="199">
        <v>46082</v>
      </c>
      <c r="C1" t="s">
        <v>336</v>
      </c>
      <c r="E1" t="s">
        <v>337</v>
      </c>
      <c r="F1" s="200" t="s">
        <v>347</v>
      </c>
      <c r="G1" s="200" t="s">
        <v>362</v>
      </c>
    </row>
    <row r="2" spans="2:7" x14ac:dyDescent="0.15">
      <c r="B2" s="199">
        <v>46082</v>
      </c>
      <c r="C2" t="s">
        <v>336</v>
      </c>
      <c r="E2" t="s">
        <v>338</v>
      </c>
      <c r="F2" s="200" t="s">
        <v>349</v>
      </c>
      <c r="G2" s="200" t="s">
        <v>363</v>
      </c>
    </row>
    <row r="3" spans="2:7" x14ac:dyDescent="0.15">
      <c r="B3" s="199">
        <v>46082</v>
      </c>
      <c r="C3" t="s">
        <v>336</v>
      </c>
      <c r="E3" t="s">
        <v>339</v>
      </c>
      <c r="F3" s="200" t="s">
        <v>350</v>
      </c>
      <c r="G3" s="200" t="s">
        <v>364</v>
      </c>
    </row>
    <row r="4" spans="2:7" x14ac:dyDescent="0.15">
      <c r="B4" s="199">
        <v>46082</v>
      </c>
      <c r="C4" t="s">
        <v>336</v>
      </c>
      <c r="E4" t="s">
        <v>340</v>
      </c>
      <c r="F4" s="200" t="s">
        <v>351</v>
      </c>
      <c r="G4" s="200" t="s">
        <v>365</v>
      </c>
    </row>
    <row r="5" spans="2:7" x14ac:dyDescent="0.15">
      <c r="B5" s="199">
        <v>46082</v>
      </c>
      <c r="C5" t="s">
        <v>336</v>
      </c>
      <c r="E5" t="s">
        <v>341</v>
      </c>
      <c r="F5" s="200" t="s">
        <v>353</v>
      </c>
      <c r="G5" s="200" t="s">
        <v>366</v>
      </c>
    </row>
    <row r="6" spans="2:7" x14ac:dyDescent="0.15">
      <c r="B6" s="199">
        <v>46082</v>
      </c>
      <c r="C6" s="200" t="s">
        <v>165</v>
      </c>
      <c r="E6" t="s">
        <v>342</v>
      </c>
      <c r="F6" s="200" t="s">
        <v>355</v>
      </c>
      <c r="G6" s="200" t="s">
        <v>367</v>
      </c>
    </row>
    <row r="7" spans="2:7" x14ac:dyDescent="0.15">
      <c r="B7" s="199">
        <v>46082</v>
      </c>
      <c r="C7" s="200" t="s">
        <v>165</v>
      </c>
      <c r="E7" t="s">
        <v>343</v>
      </c>
      <c r="F7" s="200" t="s">
        <v>356</v>
      </c>
      <c r="G7" s="200" t="s">
        <v>368</v>
      </c>
    </row>
    <row r="8" spans="2:7" x14ac:dyDescent="0.15">
      <c r="B8" s="199">
        <v>46082</v>
      </c>
      <c r="C8" s="200" t="s">
        <v>21</v>
      </c>
      <c r="E8" t="s">
        <v>344</v>
      </c>
      <c r="F8" s="200" t="s">
        <v>358</v>
      </c>
    </row>
    <row r="9" spans="2:7" x14ac:dyDescent="0.15">
      <c r="B9" s="199">
        <v>46082</v>
      </c>
      <c r="C9" s="200" t="s">
        <v>24</v>
      </c>
      <c r="E9" t="s">
        <v>345</v>
      </c>
      <c r="F9" s="200" t="s">
        <v>359</v>
      </c>
    </row>
    <row r="10" spans="2:7" x14ac:dyDescent="0.15">
      <c r="B10" s="199">
        <v>46082</v>
      </c>
      <c r="C10" s="200" t="s">
        <v>24</v>
      </c>
      <c r="E10" t="s">
        <v>346</v>
      </c>
      <c r="F10" s="200" t="s">
        <v>361</v>
      </c>
    </row>
    <row r="14" spans="2:7" ht="32.4" x14ac:dyDescent="0.15">
      <c r="E14" s="4" t="s">
        <v>30</v>
      </c>
    </row>
    <row r="15" spans="2:7" x14ac:dyDescent="0.15">
      <c r="E15" s="4" t="s">
        <v>237</v>
      </c>
    </row>
    <row r="16" spans="2:7" ht="21.6" x14ac:dyDescent="0.15">
      <c r="E16" s="4" t="s">
        <v>284</v>
      </c>
    </row>
    <row r="17" spans="5:5" ht="21.6" x14ac:dyDescent="0.15">
      <c r="E17" s="4" t="s">
        <v>284</v>
      </c>
    </row>
    <row r="18" spans="5:5" ht="21.6" x14ac:dyDescent="0.15">
      <c r="E18" s="4" t="s">
        <v>288</v>
      </c>
    </row>
    <row r="19" spans="5:5" ht="21.6" x14ac:dyDescent="0.15">
      <c r="E19" s="4" t="s">
        <v>290</v>
      </c>
    </row>
    <row r="20" spans="5:5" ht="21.6" x14ac:dyDescent="0.15">
      <c r="E20" s="4" t="s">
        <v>292</v>
      </c>
    </row>
    <row r="21" spans="5:5" x14ac:dyDescent="0.15">
      <c r="E21" s="4" t="s">
        <v>232</v>
      </c>
    </row>
    <row r="22" spans="5:5" x14ac:dyDescent="0.15">
      <c r="E22" s="4" t="s">
        <v>297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C5B9-91E9-44B1-91E5-2FF0F1CEBC92}">
  <dimension ref="E2:E11"/>
  <sheetViews>
    <sheetView zoomScale="190" zoomScaleNormal="190" workbookViewId="0">
      <selection activeCell="E2" sqref="E2:E11"/>
    </sheetView>
  </sheetViews>
  <sheetFormatPr defaultRowHeight="10.8" x14ac:dyDescent="0.15"/>
  <cols>
    <col min="5" max="5" width="23.5" customWidth="1"/>
  </cols>
  <sheetData>
    <row r="2" spans="5:5" x14ac:dyDescent="0.15">
      <c r="E2" s="200" t="s">
        <v>347</v>
      </c>
    </row>
    <row r="3" spans="5:5" x14ac:dyDescent="0.15">
      <c r="E3" t="s">
        <v>348</v>
      </c>
    </row>
    <row r="4" spans="5:5" x14ac:dyDescent="0.15">
      <c r="E4" t="s">
        <v>350</v>
      </c>
    </row>
    <row r="5" spans="5:5" x14ac:dyDescent="0.15">
      <c r="E5" t="s">
        <v>351</v>
      </c>
    </row>
    <row r="6" spans="5:5" x14ac:dyDescent="0.15">
      <c r="E6" t="s">
        <v>352</v>
      </c>
    </row>
    <row r="7" spans="5:5" x14ac:dyDescent="0.15">
      <c r="E7" t="s">
        <v>354</v>
      </c>
    </row>
    <row r="8" spans="5:5" x14ac:dyDescent="0.15">
      <c r="E8" t="s">
        <v>356</v>
      </c>
    </row>
    <row r="9" spans="5:5" x14ac:dyDescent="0.15">
      <c r="E9" t="s">
        <v>357</v>
      </c>
    </row>
    <row r="10" spans="5:5" x14ac:dyDescent="0.15">
      <c r="E10" t="s">
        <v>360</v>
      </c>
    </row>
    <row r="11" spans="5:5" x14ac:dyDescent="0.15">
      <c r="E11" t="s">
        <v>369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5"/>
  <sheetViews>
    <sheetView showGridLines="0" zoomScale="130" zoomScaleNormal="130" workbookViewId="0">
      <pane xSplit="12" ySplit="2" topLeftCell="X3" activePane="bottomRight" state="frozen"/>
      <selection pane="topRight" activeCell="M1" sqref="M1"/>
      <selection pane="bottomLeft" activeCell="A3" sqref="A3"/>
      <selection pane="bottomRight" activeCell="X6" sqref="X6"/>
    </sheetView>
  </sheetViews>
  <sheetFormatPr defaultColWidth="9.375" defaultRowHeight="10.8" x14ac:dyDescent="0.15"/>
  <cols>
    <col min="1" max="1" width="4" style="9" customWidth="1"/>
    <col min="2" max="2" width="6.875" style="9" customWidth="1"/>
    <col min="3" max="3" width="16.125" style="9" customWidth="1"/>
    <col min="4" max="4" width="17.125" style="9" customWidth="1"/>
    <col min="5" max="5" width="32.875" style="9" bestFit="1" customWidth="1"/>
    <col min="6" max="8" width="3.625" style="9" customWidth="1"/>
    <col min="9" max="9" width="17.375" style="9" customWidth="1"/>
    <col min="10" max="10" width="14.5" style="9" customWidth="1"/>
    <col min="11" max="11" width="12.625" style="9" customWidth="1"/>
    <col min="12" max="12" width="71.875" style="9" bestFit="1" customWidth="1"/>
    <col min="13" max="13" width="11.5" style="9" hidden="1" customWidth="1"/>
    <col min="14" max="14" width="65.125" style="9" hidden="1" customWidth="1"/>
    <col min="15" max="15" width="30.375" style="9" customWidth="1"/>
    <col min="16" max="16" width="8.875" style="9" hidden="1" customWidth="1"/>
    <col min="17" max="17" width="6.125" style="9" hidden="1" customWidth="1"/>
    <col min="18" max="18" width="7.125" style="9" hidden="1" customWidth="1"/>
    <col min="19" max="19" width="0" style="9" hidden="1" customWidth="1"/>
    <col min="20" max="20" width="8.625" style="9" hidden="1" customWidth="1"/>
    <col min="21" max="21" width="7.875" style="9" hidden="1" customWidth="1"/>
    <col min="22" max="22" width="8.125" style="9" hidden="1" customWidth="1"/>
    <col min="23" max="23" width="8" style="9" hidden="1" customWidth="1"/>
    <col min="24" max="24" width="24" style="9" customWidth="1"/>
    <col min="25" max="25" width="11.375" style="178" customWidth="1"/>
    <col min="26" max="26" width="9.375" style="9"/>
    <col min="27" max="28" width="14.625" style="9" bestFit="1" customWidth="1"/>
    <col min="29" max="16384" width="9.375" style="9"/>
  </cols>
  <sheetData>
    <row r="1" spans="1:29" ht="33" customHeight="1" x14ac:dyDescent="0.15">
      <c r="B1" s="195" t="s">
        <v>18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</row>
    <row r="2" spans="1:29" ht="54" x14ac:dyDescent="0.15">
      <c r="A2" s="2" t="s">
        <v>19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2" t="s">
        <v>11</v>
      </c>
      <c r="N2" s="3" t="s">
        <v>12</v>
      </c>
      <c r="O2" s="3" t="s">
        <v>27</v>
      </c>
      <c r="P2" s="3" t="s">
        <v>26</v>
      </c>
      <c r="Q2" s="3" t="s">
        <v>25</v>
      </c>
      <c r="R2" s="3"/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Y2" s="184" t="s">
        <v>283</v>
      </c>
      <c r="AA2" s="182" t="s">
        <v>299</v>
      </c>
      <c r="AB2" t="s">
        <v>298</v>
      </c>
      <c r="AC2"/>
    </row>
    <row r="3" spans="1:29" s="1" customFormat="1" ht="30" customHeight="1" x14ac:dyDescent="0.15">
      <c r="A3" s="5">
        <v>1</v>
      </c>
      <c r="B3" s="5"/>
      <c r="C3" s="4" t="s">
        <v>24</v>
      </c>
      <c r="D3" s="4" t="s">
        <v>28</v>
      </c>
      <c r="E3" s="4" t="s">
        <v>32</v>
      </c>
      <c r="F3" s="5"/>
      <c r="G3" s="5"/>
      <c r="H3" s="5"/>
      <c r="I3" s="4" t="s">
        <v>29</v>
      </c>
      <c r="J3" s="4" t="s">
        <v>277</v>
      </c>
      <c r="K3" s="4"/>
      <c r="L3" s="4" t="s">
        <v>30</v>
      </c>
      <c r="M3" s="4"/>
      <c r="N3" s="4"/>
      <c r="O3" s="11" t="s">
        <v>34</v>
      </c>
      <c r="P3" s="5"/>
      <c r="Q3" s="5"/>
      <c r="R3" s="5"/>
      <c r="S3" s="5"/>
      <c r="T3" s="5"/>
      <c r="U3" s="5"/>
      <c r="V3" s="5"/>
      <c r="W3" s="5"/>
      <c r="X3" s="174" t="s">
        <v>278</v>
      </c>
      <c r="Y3" s="185" t="s">
        <v>280</v>
      </c>
      <c r="AA3" s="183" t="s">
        <v>279</v>
      </c>
      <c r="AB3">
        <v>14</v>
      </c>
      <c r="AC3"/>
    </row>
    <row r="4" spans="1:29" s="1" customFormat="1" ht="30" customHeight="1" x14ac:dyDescent="0.15">
      <c r="A4" s="5">
        <v>2</v>
      </c>
      <c r="B4" s="5"/>
      <c r="C4" s="4" t="s">
        <v>24</v>
      </c>
      <c r="D4" s="4" t="s">
        <v>31</v>
      </c>
      <c r="E4" s="4" t="s">
        <v>33</v>
      </c>
      <c r="F4" s="5"/>
      <c r="G4" s="5"/>
      <c r="H4" s="5"/>
      <c r="I4" s="4" t="s">
        <v>29</v>
      </c>
      <c r="J4" s="4" t="s">
        <v>277</v>
      </c>
      <c r="K4" s="4"/>
      <c r="L4" s="4" t="s">
        <v>35</v>
      </c>
      <c r="M4" s="4"/>
      <c r="N4" s="4"/>
      <c r="O4" s="12" t="s">
        <v>34</v>
      </c>
      <c r="P4" s="5"/>
      <c r="Q4" s="5"/>
      <c r="R4" s="5"/>
      <c r="S4" s="5"/>
      <c r="T4" s="5"/>
      <c r="U4" s="5"/>
      <c r="V4" s="5"/>
      <c r="W4" s="5"/>
      <c r="X4" s="174" t="s">
        <v>248</v>
      </c>
      <c r="Y4" s="185" t="s">
        <v>282</v>
      </c>
      <c r="AA4" s="183" t="s">
        <v>281</v>
      </c>
      <c r="AB4">
        <v>22</v>
      </c>
      <c r="AC4"/>
    </row>
    <row r="5" spans="1:29" s="1" customFormat="1" ht="30" customHeight="1" x14ac:dyDescent="0.15">
      <c r="A5" s="5">
        <v>3</v>
      </c>
      <c r="B5" s="5"/>
      <c r="C5" s="179" t="s">
        <v>24</v>
      </c>
      <c r="D5" s="179" t="s">
        <v>36</v>
      </c>
      <c r="E5" s="179" t="s">
        <v>38</v>
      </c>
      <c r="F5" s="180"/>
      <c r="G5" s="180"/>
      <c r="H5" s="180"/>
      <c r="I5" s="179" t="s">
        <v>29</v>
      </c>
      <c r="J5" s="179" t="s">
        <v>277</v>
      </c>
      <c r="K5" s="180"/>
      <c r="L5" s="179" t="s">
        <v>37</v>
      </c>
      <c r="M5" s="179"/>
      <c r="N5" s="179"/>
      <c r="O5" s="181" t="s">
        <v>34</v>
      </c>
      <c r="P5" s="5"/>
      <c r="Q5" s="5"/>
      <c r="R5" s="5"/>
      <c r="S5" s="5"/>
      <c r="T5" s="5"/>
      <c r="U5" s="5"/>
      <c r="V5" s="5"/>
      <c r="W5" s="5"/>
      <c r="X5" s="174" t="s">
        <v>251</v>
      </c>
      <c r="Y5" s="186" t="s">
        <v>281</v>
      </c>
      <c r="AA5" s="183" t="s">
        <v>300</v>
      </c>
      <c r="AB5">
        <v>36</v>
      </c>
      <c r="AC5"/>
    </row>
    <row r="6" spans="1:29" s="1" customFormat="1" ht="30" customHeight="1" x14ac:dyDescent="0.15">
      <c r="A6" s="5">
        <v>4</v>
      </c>
      <c r="B6" s="5"/>
      <c r="C6" s="179" t="s">
        <v>24</v>
      </c>
      <c r="D6" s="179" t="s">
        <v>39</v>
      </c>
      <c r="E6" s="179" t="s">
        <v>40</v>
      </c>
      <c r="F6" s="180"/>
      <c r="G6" s="180"/>
      <c r="H6" s="180"/>
      <c r="I6" s="179" t="s">
        <v>29</v>
      </c>
      <c r="J6" s="179" t="s">
        <v>277</v>
      </c>
      <c r="K6" s="180"/>
      <c r="L6" s="179" t="s">
        <v>41</v>
      </c>
      <c r="M6" s="179"/>
      <c r="N6" s="179"/>
      <c r="O6" s="181" t="s">
        <v>42</v>
      </c>
      <c r="P6" s="5"/>
      <c r="Q6" s="5"/>
      <c r="R6" s="5"/>
      <c r="S6" s="5"/>
      <c r="T6" s="5"/>
      <c r="U6" s="5"/>
      <c r="V6" s="5"/>
      <c r="W6" s="5"/>
      <c r="X6" s="174" t="s">
        <v>250</v>
      </c>
      <c r="Y6" s="186" t="s">
        <v>281</v>
      </c>
      <c r="AA6"/>
      <c r="AB6"/>
      <c r="AC6"/>
    </row>
    <row r="7" spans="1:29" s="1" customFormat="1" ht="30" customHeight="1" x14ac:dyDescent="0.15">
      <c r="A7" s="5">
        <v>5</v>
      </c>
      <c r="B7" s="5"/>
      <c r="C7" s="175" t="s">
        <v>24</v>
      </c>
      <c r="D7" s="175" t="s">
        <v>43</v>
      </c>
      <c r="E7" s="175" t="s">
        <v>44</v>
      </c>
      <c r="F7" s="176"/>
      <c r="G7" s="176"/>
      <c r="H7" s="176"/>
      <c r="I7" s="175" t="s">
        <v>29</v>
      </c>
      <c r="J7" s="175" t="s">
        <v>277</v>
      </c>
      <c r="K7" s="176"/>
      <c r="L7" s="175"/>
      <c r="M7" s="175"/>
      <c r="N7" s="175"/>
      <c r="O7" s="177" t="s">
        <v>34</v>
      </c>
      <c r="P7" s="5"/>
      <c r="Q7" s="5"/>
      <c r="R7" s="5"/>
      <c r="S7" s="5"/>
      <c r="T7" s="5"/>
      <c r="U7" s="5"/>
      <c r="V7" s="5"/>
      <c r="W7" s="5"/>
      <c r="X7" s="174" t="s">
        <v>249</v>
      </c>
      <c r="Y7" s="186" t="s">
        <v>281</v>
      </c>
      <c r="AA7"/>
      <c r="AB7"/>
      <c r="AC7"/>
    </row>
    <row r="8" spans="1:29" s="1" customFormat="1" ht="30" customHeight="1" x14ac:dyDescent="0.15">
      <c r="A8" s="5">
        <v>6</v>
      </c>
      <c r="B8" s="4"/>
      <c r="C8" s="4" t="s">
        <v>24</v>
      </c>
      <c r="D8" s="4" t="s">
        <v>45</v>
      </c>
      <c r="E8" s="4" t="s">
        <v>46</v>
      </c>
      <c r="F8" s="5"/>
      <c r="G8" s="5"/>
      <c r="H8" s="5"/>
      <c r="I8" s="4" t="s">
        <v>29</v>
      </c>
      <c r="J8" s="4" t="s">
        <v>277</v>
      </c>
      <c r="K8" s="5"/>
      <c r="L8" s="4" t="s">
        <v>237</v>
      </c>
      <c r="M8" s="4"/>
      <c r="N8" s="4"/>
      <c r="O8" s="12" t="s">
        <v>42</v>
      </c>
      <c r="P8" s="5"/>
      <c r="Q8" s="5"/>
      <c r="R8" s="5"/>
      <c r="S8" s="5"/>
      <c r="T8" s="5"/>
      <c r="U8" s="5"/>
      <c r="V8" s="5"/>
      <c r="W8" s="5"/>
      <c r="X8" s="174" t="s">
        <v>252</v>
      </c>
      <c r="Y8" s="186" t="s">
        <v>279</v>
      </c>
      <c r="AA8"/>
      <c r="AB8"/>
      <c r="AC8"/>
    </row>
    <row r="9" spans="1:29" s="1" customFormat="1" ht="30" customHeight="1" x14ac:dyDescent="0.15">
      <c r="A9" s="5">
        <v>7</v>
      </c>
      <c r="B9" s="4"/>
      <c r="C9" s="4" t="s">
        <v>24</v>
      </c>
      <c r="D9" s="4" t="s">
        <v>36</v>
      </c>
      <c r="E9" s="4" t="s">
        <v>47</v>
      </c>
      <c r="F9" s="5"/>
      <c r="G9" s="5"/>
      <c r="H9" s="5"/>
      <c r="I9" s="4"/>
      <c r="J9" s="4" t="s">
        <v>48</v>
      </c>
      <c r="K9" s="5"/>
      <c r="L9" s="4" t="s">
        <v>284</v>
      </c>
      <c r="M9" s="4"/>
      <c r="N9" s="4"/>
      <c r="O9" s="12" t="s">
        <v>34</v>
      </c>
      <c r="P9" s="5"/>
      <c r="Q9" s="5"/>
      <c r="R9" s="5"/>
      <c r="S9" s="5"/>
      <c r="T9" s="5"/>
      <c r="U9" s="5"/>
      <c r="V9" s="5"/>
      <c r="W9" s="5"/>
      <c r="X9" s="174" t="s">
        <v>253</v>
      </c>
      <c r="Y9" s="186" t="s">
        <v>279</v>
      </c>
      <c r="AA9"/>
      <c r="AB9"/>
      <c r="AC9"/>
    </row>
    <row r="10" spans="1:29" s="1" customFormat="1" ht="30" customHeight="1" x14ac:dyDescent="0.15">
      <c r="A10" s="5">
        <v>8</v>
      </c>
      <c r="B10" s="4"/>
      <c r="C10" s="4" t="s">
        <v>24</v>
      </c>
      <c r="D10" s="4" t="s">
        <v>49</v>
      </c>
      <c r="E10" s="4" t="s">
        <v>50</v>
      </c>
      <c r="F10" s="5"/>
      <c r="G10" s="5"/>
      <c r="H10" s="5"/>
      <c r="I10" s="4"/>
      <c r="J10" s="4" t="s">
        <v>48</v>
      </c>
      <c r="K10" s="5"/>
      <c r="L10" s="4" t="s">
        <v>284</v>
      </c>
      <c r="M10" s="4"/>
      <c r="N10" s="4"/>
      <c r="O10" s="12" t="s">
        <v>34</v>
      </c>
      <c r="P10" s="5"/>
      <c r="Q10" s="5"/>
      <c r="R10" s="5"/>
      <c r="S10" s="5"/>
      <c r="T10" s="5"/>
      <c r="U10" s="5"/>
      <c r="V10" s="5"/>
      <c r="W10" s="5"/>
      <c r="X10" s="174" t="s">
        <v>254</v>
      </c>
      <c r="Y10" s="186" t="s">
        <v>279</v>
      </c>
      <c r="AA10"/>
      <c r="AB10"/>
      <c r="AC10"/>
    </row>
    <row r="11" spans="1:29" s="1" customFormat="1" ht="30" customHeight="1" x14ac:dyDescent="0.15">
      <c r="A11" s="5">
        <v>9</v>
      </c>
      <c r="B11" s="5"/>
      <c r="C11" s="4" t="s">
        <v>24</v>
      </c>
      <c r="D11" s="4" t="s">
        <v>153</v>
      </c>
      <c r="E11" s="4" t="s">
        <v>154</v>
      </c>
      <c r="F11" s="5"/>
      <c r="G11" s="5"/>
      <c r="H11" s="5"/>
      <c r="I11" s="4" t="s">
        <v>152</v>
      </c>
      <c r="J11" s="4" t="s">
        <v>169</v>
      </c>
      <c r="K11" s="5"/>
      <c r="L11" s="4" t="s">
        <v>155</v>
      </c>
      <c r="M11" s="4"/>
      <c r="N11" s="4"/>
      <c r="O11" s="12" t="s">
        <v>34</v>
      </c>
      <c r="P11" s="5"/>
      <c r="Q11" s="5"/>
      <c r="R11" s="5"/>
      <c r="S11" s="5"/>
      <c r="T11" s="5"/>
      <c r="U11" s="5"/>
      <c r="V11" s="5"/>
      <c r="W11" s="5"/>
      <c r="X11" s="174" t="s">
        <v>255</v>
      </c>
      <c r="Y11" s="185" t="s">
        <v>285</v>
      </c>
      <c r="AA11"/>
      <c r="AB11"/>
      <c r="AC11"/>
    </row>
    <row r="12" spans="1:29" s="1" customFormat="1" ht="30" customHeight="1" x14ac:dyDescent="0.15">
      <c r="A12" s="5">
        <v>10</v>
      </c>
      <c r="B12" s="5"/>
      <c r="C12" s="4" t="s">
        <v>24</v>
      </c>
      <c r="D12" s="4" t="s">
        <v>150</v>
      </c>
      <c r="E12" s="4" t="s">
        <v>151</v>
      </c>
      <c r="F12" s="5"/>
      <c r="G12" s="5"/>
      <c r="H12" s="5"/>
      <c r="I12" s="4" t="s">
        <v>152</v>
      </c>
      <c r="J12" s="4" t="s">
        <v>169</v>
      </c>
      <c r="K12" s="5"/>
      <c r="L12" s="4" t="s">
        <v>286</v>
      </c>
      <c r="M12" s="4"/>
      <c r="N12" s="4"/>
      <c r="O12" s="12" t="s">
        <v>34</v>
      </c>
      <c r="P12" s="5"/>
      <c r="Q12" s="5"/>
      <c r="R12" s="5"/>
      <c r="S12" s="5"/>
      <c r="T12" s="5"/>
      <c r="U12" s="5"/>
      <c r="V12" s="5"/>
      <c r="W12" s="5"/>
      <c r="X12" s="174" t="s">
        <v>256</v>
      </c>
      <c r="Y12" s="186" t="s">
        <v>281</v>
      </c>
      <c r="AA12"/>
      <c r="AB12"/>
      <c r="AC12"/>
    </row>
    <row r="13" spans="1:29" s="1" customFormat="1" ht="30" customHeight="1" x14ac:dyDescent="0.15">
      <c r="A13" s="5">
        <v>11</v>
      </c>
      <c r="B13" s="5"/>
      <c r="C13" s="4" t="s">
        <v>24</v>
      </c>
      <c r="D13" s="4" t="s">
        <v>156</v>
      </c>
      <c r="E13" s="4" t="s">
        <v>157</v>
      </c>
      <c r="F13" s="5"/>
      <c r="G13" s="5"/>
      <c r="H13" s="5"/>
      <c r="I13" s="4" t="s">
        <v>152</v>
      </c>
      <c r="J13" s="4" t="s">
        <v>169</v>
      </c>
      <c r="K13" s="5"/>
      <c r="L13" s="4" t="s">
        <v>158</v>
      </c>
      <c r="M13" s="4"/>
      <c r="N13" s="5"/>
      <c r="O13" s="12" t="s">
        <v>34</v>
      </c>
      <c r="P13" s="5"/>
      <c r="Q13" s="5"/>
      <c r="R13" s="5"/>
      <c r="S13" s="5"/>
      <c r="T13" s="5"/>
      <c r="U13" s="5"/>
      <c r="V13" s="5"/>
      <c r="W13" s="5"/>
      <c r="X13" s="174" t="s">
        <v>257</v>
      </c>
      <c r="Y13" s="186" t="s">
        <v>279</v>
      </c>
      <c r="AA13"/>
      <c r="AB13"/>
      <c r="AC13"/>
    </row>
    <row r="14" spans="1:29" s="1" customFormat="1" ht="30" customHeight="1" x14ac:dyDescent="0.15">
      <c r="A14" s="5">
        <v>12</v>
      </c>
      <c r="B14" s="5"/>
      <c r="C14" s="4" t="s">
        <v>24</v>
      </c>
      <c r="D14" s="4" t="s">
        <v>28</v>
      </c>
      <c r="E14" s="4" t="s">
        <v>159</v>
      </c>
      <c r="F14" s="5"/>
      <c r="G14" s="5"/>
      <c r="H14" s="5"/>
      <c r="I14" s="4" t="s">
        <v>152</v>
      </c>
      <c r="J14" s="4" t="s">
        <v>169</v>
      </c>
      <c r="K14" s="5"/>
      <c r="L14" s="4" t="s">
        <v>160</v>
      </c>
      <c r="M14" s="4"/>
      <c r="N14" s="4"/>
      <c r="O14" s="12" t="s">
        <v>34</v>
      </c>
      <c r="P14" s="5"/>
      <c r="Q14" s="5"/>
      <c r="R14" s="5"/>
      <c r="S14" s="5"/>
      <c r="T14" s="5"/>
      <c r="U14" s="5"/>
      <c r="V14" s="5"/>
      <c r="W14" s="5"/>
      <c r="X14" s="174" t="s">
        <v>255</v>
      </c>
      <c r="Y14" s="186" t="s">
        <v>281</v>
      </c>
      <c r="AA14"/>
      <c r="AB14"/>
      <c r="AC14"/>
    </row>
    <row r="15" spans="1:29" s="1" customFormat="1" ht="30" customHeight="1" x14ac:dyDescent="0.15">
      <c r="A15" s="5">
        <v>13</v>
      </c>
      <c r="B15" s="5"/>
      <c r="C15" s="4" t="s">
        <v>161</v>
      </c>
      <c r="D15" s="4" t="s">
        <v>162</v>
      </c>
      <c r="E15" s="4" t="s">
        <v>163</v>
      </c>
      <c r="F15" s="5"/>
      <c r="G15" s="5"/>
      <c r="H15" s="5"/>
      <c r="I15" s="4" t="s">
        <v>152</v>
      </c>
      <c r="J15" s="4" t="s">
        <v>169</v>
      </c>
      <c r="K15" s="5"/>
      <c r="L15" s="4" t="s">
        <v>164</v>
      </c>
      <c r="M15" s="4"/>
      <c r="N15" s="8"/>
      <c r="O15" s="12" t="s">
        <v>34</v>
      </c>
      <c r="P15" s="5"/>
      <c r="Q15" s="5"/>
      <c r="R15" s="5"/>
      <c r="S15" s="5"/>
      <c r="T15" s="5"/>
      <c r="U15" s="5"/>
      <c r="V15" s="5"/>
      <c r="W15" s="5"/>
      <c r="X15" s="174" t="s">
        <v>258</v>
      </c>
      <c r="Y15" s="186" t="s">
        <v>281</v>
      </c>
      <c r="AA15"/>
      <c r="AB15"/>
      <c r="AC15"/>
    </row>
    <row r="16" spans="1:29" s="1" customFormat="1" ht="30" customHeight="1" x14ac:dyDescent="0.15">
      <c r="A16" s="5">
        <v>14</v>
      </c>
      <c r="B16" s="5"/>
      <c r="C16" s="4" t="s">
        <v>165</v>
      </c>
      <c r="D16" s="4" t="s">
        <v>166</v>
      </c>
      <c r="E16" s="4" t="s">
        <v>167</v>
      </c>
      <c r="F16" s="5"/>
      <c r="G16" s="5"/>
      <c r="H16" s="5"/>
      <c r="I16" s="4" t="s">
        <v>165</v>
      </c>
      <c r="J16" s="4" t="s">
        <v>168</v>
      </c>
      <c r="K16" s="5"/>
      <c r="L16" s="4" t="s">
        <v>170</v>
      </c>
      <c r="M16" s="4"/>
      <c r="N16" s="4"/>
      <c r="O16" s="4" t="s">
        <v>174</v>
      </c>
      <c r="P16" s="5"/>
      <c r="Q16" s="5"/>
      <c r="R16" s="5"/>
      <c r="S16" s="5"/>
      <c r="T16" s="5"/>
      <c r="U16" s="5"/>
      <c r="V16" s="5"/>
      <c r="W16" s="5"/>
      <c r="X16" s="174" t="s">
        <v>259</v>
      </c>
      <c r="Y16" s="186" t="s">
        <v>281</v>
      </c>
      <c r="AA16"/>
      <c r="AB16"/>
      <c r="AC16"/>
    </row>
    <row r="17" spans="1:29" s="1" customFormat="1" ht="30" customHeight="1" x14ac:dyDescent="0.15">
      <c r="A17" s="5">
        <v>15</v>
      </c>
      <c r="B17" s="5"/>
      <c r="C17" s="4" t="s">
        <v>165</v>
      </c>
      <c r="D17" s="4" t="s">
        <v>171</v>
      </c>
      <c r="E17" s="4" t="s">
        <v>172</v>
      </c>
      <c r="F17" s="5"/>
      <c r="G17" s="5"/>
      <c r="H17" s="5"/>
      <c r="I17" s="4" t="s">
        <v>165</v>
      </c>
      <c r="J17" s="4" t="s">
        <v>168</v>
      </c>
      <c r="K17" s="5"/>
      <c r="L17" s="4" t="s">
        <v>173</v>
      </c>
      <c r="M17" s="4"/>
      <c r="N17" s="4"/>
      <c r="O17" s="12" t="s">
        <v>42</v>
      </c>
      <c r="P17" s="5"/>
      <c r="Q17" s="5"/>
      <c r="R17" s="5"/>
      <c r="S17" s="5"/>
      <c r="T17" s="5"/>
      <c r="U17" s="5"/>
      <c r="V17" s="5"/>
      <c r="W17" s="5"/>
      <c r="X17" s="174" t="s">
        <v>260</v>
      </c>
      <c r="Y17" s="185" t="s">
        <v>301</v>
      </c>
      <c r="AA17"/>
      <c r="AB17"/>
      <c r="AC17"/>
    </row>
    <row r="18" spans="1:29" s="1" customFormat="1" ht="30" customHeight="1" x14ac:dyDescent="0.15">
      <c r="A18" s="5">
        <v>16</v>
      </c>
      <c r="B18" s="5"/>
      <c r="C18" s="4" t="s">
        <v>175</v>
      </c>
      <c r="D18" s="4" t="s">
        <v>176</v>
      </c>
      <c r="E18" s="4" t="s">
        <v>177</v>
      </c>
      <c r="F18" s="5"/>
      <c r="G18" s="5"/>
      <c r="H18" s="5"/>
      <c r="I18" s="4" t="s">
        <v>178</v>
      </c>
      <c r="J18" s="4" t="s">
        <v>179</v>
      </c>
      <c r="K18" s="5"/>
      <c r="L18" s="4" t="s">
        <v>180</v>
      </c>
      <c r="M18" s="4"/>
      <c r="N18" s="4"/>
      <c r="O18" s="10" t="s">
        <v>181</v>
      </c>
      <c r="P18" s="5"/>
      <c r="Q18" s="5"/>
      <c r="R18" s="5"/>
      <c r="S18" s="5"/>
      <c r="T18" s="5"/>
      <c r="U18" s="5"/>
      <c r="V18" s="5"/>
      <c r="W18" s="5"/>
      <c r="Y18" s="186" t="s">
        <v>281</v>
      </c>
      <c r="AA18"/>
      <c r="AB18"/>
      <c r="AC18"/>
    </row>
    <row r="19" spans="1:29" s="1" customFormat="1" ht="30" customHeight="1" x14ac:dyDescent="0.15">
      <c r="A19" s="5">
        <v>17</v>
      </c>
      <c r="B19" s="5"/>
      <c r="C19" s="4" t="s">
        <v>175</v>
      </c>
      <c r="D19" s="4" t="s">
        <v>182</v>
      </c>
      <c r="E19" s="4" t="s">
        <v>183</v>
      </c>
      <c r="F19" s="5"/>
      <c r="G19" s="5"/>
      <c r="H19" s="5"/>
      <c r="I19" s="4" t="s">
        <v>178</v>
      </c>
      <c r="J19" s="4" t="s">
        <v>179</v>
      </c>
      <c r="K19" s="5"/>
      <c r="L19" s="4" t="s">
        <v>184</v>
      </c>
      <c r="M19" s="5"/>
      <c r="N19" s="8"/>
      <c r="O19" s="12" t="s">
        <v>34</v>
      </c>
      <c r="P19" s="5"/>
      <c r="Q19" s="5"/>
      <c r="R19" s="5"/>
      <c r="S19" s="5"/>
      <c r="T19" s="5"/>
      <c r="U19" s="5"/>
      <c r="V19" s="5"/>
      <c r="W19" s="5"/>
      <c r="Y19" s="186" t="s">
        <v>281</v>
      </c>
      <c r="AA19"/>
      <c r="AB19"/>
      <c r="AC19"/>
    </row>
    <row r="20" spans="1:29" s="1" customFormat="1" ht="30" customHeight="1" x14ac:dyDescent="0.15">
      <c r="A20" s="5">
        <v>18</v>
      </c>
      <c r="B20" s="5"/>
      <c r="C20" s="4" t="s">
        <v>175</v>
      </c>
      <c r="D20" s="4" t="s">
        <v>182</v>
      </c>
      <c r="E20" s="4" t="s">
        <v>185</v>
      </c>
      <c r="F20" s="5"/>
      <c r="G20" s="5"/>
      <c r="H20" s="5"/>
      <c r="I20" s="4" t="s">
        <v>178</v>
      </c>
      <c r="J20" s="4" t="s">
        <v>179</v>
      </c>
      <c r="K20" s="5"/>
      <c r="L20" s="4" t="s">
        <v>186</v>
      </c>
      <c r="M20" s="4"/>
      <c r="N20" s="8"/>
      <c r="O20" s="10" t="s">
        <v>181</v>
      </c>
      <c r="P20" s="5"/>
      <c r="Q20" s="5"/>
      <c r="R20" s="5"/>
      <c r="S20" s="5"/>
      <c r="T20" s="5"/>
      <c r="U20" s="5"/>
      <c r="V20" s="5"/>
      <c r="W20" s="5"/>
      <c r="X20" s="174" t="s">
        <v>261</v>
      </c>
      <c r="Y20" s="186" t="s">
        <v>281</v>
      </c>
    </row>
    <row r="21" spans="1:29" s="1" customFormat="1" ht="30" customHeight="1" x14ac:dyDescent="0.15">
      <c r="A21" s="5">
        <v>19</v>
      </c>
      <c r="B21" s="5"/>
      <c r="C21" s="4" t="s">
        <v>175</v>
      </c>
      <c r="D21" s="4" t="s">
        <v>187</v>
      </c>
      <c r="E21" s="4" t="s">
        <v>188</v>
      </c>
      <c r="F21" s="5"/>
      <c r="G21" s="5"/>
      <c r="H21" s="5"/>
      <c r="I21" s="4" t="s">
        <v>178</v>
      </c>
      <c r="J21" s="4" t="s">
        <v>179</v>
      </c>
      <c r="K21" s="5"/>
      <c r="L21" s="4" t="s">
        <v>189</v>
      </c>
      <c r="M21" s="4"/>
      <c r="N21" s="4"/>
      <c r="O21" s="12" t="s">
        <v>34</v>
      </c>
      <c r="P21" s="5"/>
      <c r="Q21" s="5"/>
      <c r="R21" s="5"/>
      <c r="S21" s="5"/>
      <c r="T21" s="5"/>
      <c r="U21" s="5"/>
      <c r="V21" s="5"/>
      <c r="W21" s="5"/>
      <c r="X21" s="174" t="s">
        <v>262</v>
      </c>
      <c r="Y21" s="186" t="s">
        <v>281</v>
      </c>
    </row>
    <row r="22" spans="1:29" s="1" customFormat="1" ht="30" customHeight="1" x14ac:dyDescent="0.15">
      <c r="A22" s="5">
        <v>20</v>
      </c>
      <c r="B22" s="5"/>
      <c r="C22" s="4" t="s">
        <v>175</v>
      </c>
      <c r="D22" s="4" t="s">
        <v>214</v>
      </c>
      <c r="E22" s="4" t="s">
        <v>215</v>
      </c>
      <c r="F22" s="5"/>
      <c r="G22" s="5"/>
      <c r="H22" s="5"/>
      <c r="I22" s="4"/>
      <c r="J22" s="4" t="s">
        <v>236</v>
      </c>
      <c r="K22" s="5"/>
      <c r="L22" s="4" t="s">
        <v>216</v>
      </c>
      <c r="M22" s="4"/>
      <c r="N22" s="4"/>
      <c r="O22" s="12" t="s">
        <v>217</v>
      </c>
      <c r="P22" s="5"/>
      <c r="Q22" s="5"/>
      <c r="R22" s="5"/>
      <c r="S22" s="5"/>
      <c r="T22" s="5"/>
      <c r="U22" s="5"/>
      <c r="V22" s="5"/>
      <c r="W22" s="5"/>
      <c r="X22" s="174" t="s">
        <v>263</v>
      </c>
      <c r="Y22" s="186" t="s">
        <v>281</v>
      </c>
    </row>
    <row r="23" spans="1:29" s="1" customFormat="1" ht="30" customHeight="1" x14ac:dyDescent="0.15">
      <c r="A23" s="5">
        <v>21</v>
      </c>
      <c r="B23" s="5"/>
      <c r="C23" s="4" t="s">
        <v>24</v>
      </c>
      <c r="D23" s="4" t="s">
        <v>190</v>
      </c>
      <c r="E23" s="4" t="s">
        <v>191</v>
      </c>
      <c r="F23" s="5"/>
      <c r="G23" s="5"/>
      <c r="H23" s="5"/>
      <c r="I23" s="4" t="s">
        <v>24</v>
      </c>
      <c r="J23" s="4" t="s">
        <v>192</v>
      </c>
      <c r="K23" s="5"/>
      <c r="L23" s="4" t="s">
        <v>287</v>
      </c>
      <c r="M23" s="8"/>
      <c r="N23" s="8"/>
      <c r="O23" s="12" t="s">
        <v>34</v>
      </c>
      <c r="P23" s="5"/>
      <c r="Q23" s="5"/>
      <c r="R23" s="5"/>
      <c r="S23" s="5"/>
      <c r="T23" s="5"/>
      <c r="U23" s="5"/>
      <c r="V23" s="5"/>
      <c r="W23" s="5"/>
      <c r="X23" s="174" t="s">
        <v>264</v>
      </c>
      <c r="Y23" s="186" t="s">
        <v>281</v>
      </c>
    </row>
    <row r="24" spans="1:29" s="1" customFormat="1" ht="30" customHeight="1" x14ac:dyDescent="0.15">
      <c r="A24" s="5">
        <v>22</v>
      </c>
      <c r="B24" s="5"/>
      <c r="C24" s="4" t="s">
        <v>165</v>
      </c>
      <c r="D24" s="4" t="s">
        <v>197</v>
      </c>
      <c r="E24" s="4" t="s">
        <v>194</v>
      </c>
      <c r="F24" s="5"/>
      <c r="G24" s="5"/>
      <c r="H24" s="5"/>
      <c r="I24" s="4" t="s">
        <v>195</v>
      </c>
      <c r="J24" s="4" t="s">
        <v>196</v>
      </c>
      <c r="K24" s="5"/>
      <c r="L24" s="4" t="s">
        <v>288</v>
      </c>
      <c r="M24" s="4"/>
      <c r="N24" s="4"/>
      <c r="O24" s="12" t="s">
        <v>34</v>
      </c>
      <c r="P24" s="5"/>
      <c r="Q24" s="5"/>
      <c r="R24" s="5"/>
      <c r="S24" s="5"/>
      <c r="T24" s="5"/>
      <c r="U24" s="5"/>
      <c r="V24" s="5"/>
      <c r="W24" s="5"/>
      <c r="X24" s="174" t="s">
        <v>252</v>
      </c>
      <c r="Y24" s="186" t="s">
        <v>279</v>
      </c>
    </row>
    <row r="25" spans="1:29" s="1" customFormat="1" ht="30" customHeight="1" x14ac:dyDescent="0.15">
      <c r="A25" s="5">
        <v>23</v>
      </c>
      <c r="B25" s="5"/>
      <c r="C25" s="4" t="s">
        <v>165</v>
      </c>
      <c r="D25" s="4" t="s">
        <v>193</v>
      </c>
      <c r="E25" s="4" t="s">
        <v>289</v>
      </c>
      <c r="F25" s="5"/>
      <c r="G25" s="5"/>
      <c r="H25" s="5"/>
      <c r="I25" s="4" t="s">
        <v>195</v>
      </c>
      <c r="J25" s="4" t="s">
        <v>196</v>
      </c>
      <c r="K25" s="5"/>
      <c r="L25" s="4" t="s">
        <v>290</v>
      </c>
      <c r="M25" s="8"/>
      <c r="N25" s="8"/>
      <c r="O25" s="12" t="s">
        <v>34</v>
      </c>
      <c r="P25" s="5"/>
      <c r="Q25" s="5"/>
      <c r="R25" s="5"/>
      <c r="S25" s="5"/>
      <c r="T25" s="5"/>
      <c r="U25" s="5"/>
      <c r="V25" s="5"/>
      <c r="W25" s="5"/>
      <c r="X25" s="174" t="s">
        <v>265</v>
      </c>
      <c r="Y25" s="186" t="s">
        <v>279</v>
      </c>
    </row>
    <row r="26" spans="1:29" s="1" customFormat="1" ht="30" customHeight="1" x14ac:dyDescent="0.15">
      <c r="A26" s="5">
        <v>24</v>
      </c>
      <c r="B26" s="5"/>
      <c r="C26" s="4" t="s">
        <v>24</v>
      </c>
      <c r="D26" s="4" t="s">
        <v>198</v>
      </c>
      <c r="E26" s="4" t="s">
        <v>199</v>
      </c>
      <c r="F26" s="5"/>
      <c r="G26" s="5"/>
      <c r="H26" s="5"/>
      <c r="I26" s="4" t="s">
        <v>195</v>
      </c>
      <c r="J26" s="4" t="s">
        <v>196</v>
      </c>
      <c r="K26" s="5"/>
      <c r="L26" s="6" t="s">
        <v>200</v>
      </c>
      <c r="M26" s="4"/>
      <c r="N26" s="5"/>
      <c r="O26" s="12" t="s">
        <v>34</v>
      </c>
      <c r="P26" s="5"/>
      <c r="Q26" s="5"/>
      <c r="R26" s="5"/>
      <c r="S26" s="5"/>
      <c r="T26" s="5"/>
      <c r="U26" s="5"/>
      <c r="V26" s="5"/>
      <c r="W26" s="5"/>
      <c r="X26" s="174" t="s">
        <v>266</v>
      </c>
      <c r="Y26" s="186" t="s">
        <v>279</v>
      </c>
    </row>
    <row r="27" spans="1:29" s="1" customFormat="1" ht="30" customHeight="1" x14ac:dyDescent="0.15">
      <c r="A27" s="5">
        <v>25</v>
      </c>
      <c r="B27" s="5"/>
      <c r="C27" s="4" t="s">
        <v>201</v>
      </c>
      <c r="D27" s="4" t="s">
        <v>20</v>
      </c>
      <c r="E27" s="4" t="s">
        <v>202</v>
      </c>
      <c r="F27" s="5"/>
      <c r="G27" s="5"/>
      <c r="H27" s="5"/>
      <c r="I27" s="4" t="s">
        <v>203</v>
      </c>
      <c r="J27" s="4" t="s">
        <v>204</v>
      </c>
      <c r="K27" s="5"/>
      <c r="L27" s="4" t="s">
        <v>205</v>
      </c>
      <c r="M27" s="4"/>
      <c r="N27" s="4"/>
      <c r="O27" s="10" t="s">
        <v>181</v>
      </c>
      <c r="P27" s="5"/>
      <c r="Q27" s="5"/>
      <c r="R27" s="5"/>
      <c r="S27" s="5"/>
      <c r="T27" s="5"/>
      <c r="U27" s="5"/>
      <c r="V27" s="5"/>
      <c r="W27" s="5"/>
      <c r="X27" s="174" t="s">
        <v>291</v>
      </c>
      <c r="Y27" s="186" t="s">
        <v>281</v>
      </c>
    </row>
    <row r="28" spans="1:29" s="1" customFormat="1" ht="30" customHeight="1" x14ac:dyDescent="0.15">
      <c r="A28" s="5">
        <v>26</v>
      </c>
      <c r="B28" s="5"/>
      <c r="C28" s="4" t="s">
        <v>201</v>
      </c>
      <c r="D28" s="4" t="s">
        <v>206</v>
      </c>
      <c r="E28" s="4" t="s">
        <v>207</v>
      </c>
      <c r="F28" s="5"/>
      <c r="G28" s="5"/>
      <c r="H28" s="5"/>
      <c r="I28" s="5"/>
      <c r="J28" s="4" t="s">
        <v>48</v>
      </c>
      <c r="K28" s="5"/>
      <c r="L28" s="4" t="s">
        <v>208</v>
      </c>
      <c r="M28" s="4"/>
      <c r="N28" s="4"/>
      <c r="O28" s="12" t="s">
        <v>209</v>
      </c>
      <c r="P28" s="5"/>
      <c r="Q28" s="5"/>
      <c r="R28" s="5"/>
      <c r="S28" s="5"/>
      <c r="T28" s="5"/>
      <c r="U28" s="5"/>
      <c r="V28" s="5"/>
      <c r="W28" s="5"/>
      <c r="X28" s="174" t="s">
        <v>267</v>
      </c>
      <c r="Y28" s="186" t="s">
        <v>279</v>
      </c>
    </row>
    <row r="29" spans="1:29" s="1" customFormat="1" ht="30" customHeight="1" x14ac:dyDescent="0.15">
      <c r="A29" s="5">
        <v>27</v>
      </c>
      <c r="B29" s="5"/>
      <c r="C29" s="4" t="s">
        <v>21</v>
      </c>
      <c r="D29" s="4" t="s">
        <v>210</v>
      </c>
      <c r="E29" s="4" t="s">
        <v>211</v>
      </c>
      <c r="F29" s="5"/>
      <c r="G29" s="5"/>
      <c r="H29" s="5"/>
      <c r="I29" s="4" t="s">
        <v>212</v>
      </c>
      <c r="J29" s="4" t="s">
        <v>213</v>
      </c>
      <c r="K29" s="5"/>
      <c r="L29" s="4" t="s">
        <v>292</v>
      </c>
      <c r="M29" s="4"/>
      <c r="N29" s="4"/>
      <c r="O29" s="173" t="s">
        <v>34</v>
      </c>
      <c r="P29" s="7"/>
      <c r="Q29" s="7"/>
      <c r="R29" s="7"/>
      <c r="S29" s="5"/>
      <c r="T29" s="5"/>
      <c r="U29" s="5"/>
      <c r="V29" s="5"/>
      <c r="W29" s="5"/>
      <c r="X29" s="174" t="s">
        <v>268</v>
      </c>
      <c r="Y29" s="186" t="s">
        <v>279</v>
      </c>
    </row>
    <row r="30" spans="1:29" s="1" customFormat="1" ht="30" customHeight="1" x14ac:dyDescent="0.15">
      <c r="A30" s="5">
        <v>28</v>
      </c>
      <c r="B30" s="5"/>
      <c r="C30" s="4" t="s">
        <v>21</v>
      </c>
      <c r="D30" s="4" t="s">
        <v>201</v>
      </c>
      <c r="E30" s="4" t="s">
        <v>218</v>
      </c>
      <c r="F30" s="5"/>
      <c r="G30" s="5"/>
      <c r="H30" s="5"/>
      <c r="I30" s="4" t="s">
        <v>212</v>
      </c>
      <c r="J30" s="4" t="s">
        <v>213</v>
      </c>
      <c r="K30" s="5"/>
      <c r="L30" s="4" t="s">
        <v>219</v>
      </c>
      <c r="M30" s="4"/>
      <c r="N30" s="4"/>
      <c r="O30" s="12" t="s">
        <v>220</v>
      </c>
      <c r="P30" s="5"/>
      <c r="Q30" s="5"/>
      <c r="R30" s="5"/>
      <c r="S30" s="5"/>
      <c r="T30" s="5"/>
      <c r="U30" s="5"/>
      <c r="V30" s="5"/>
      <c r="W30" s="5"/>
      <c r="X30" s="174" t="s">
        <v>255</v>
      </c>
      <c r="Y30" s="186" t="s">
        <v>281</v>
      </c>
    </row>
    <row r="31" spans="1:29" s="1" customFormat="1" ht="30" customHeight="1" x14ac:dyDescent="0.15">
      <c r="A31" s="5">
        <v>29</v>
      </c>
      <c r="B31" s="5"/>
      <c r="C31" s="4" t="s">
        <v>21</v>
      </c>
      <c r="D31" s="4" t="s">
        <v>222</v>
      </c>
      <c r="E31" s="174" t="s">
        <v>223</v>
      </c>
      <c r="F31" s="5"/>
      <c r="G31" s="5"/>
      <c r="H31" s="5"/>
      <c r="I31" s="4" t="s">
        <v>212</v>
      </c>
      <c r="J31" s="4" t="s">
        <v>213</v>
      </c>
      <c r="K31" s="5"/>
      <c r="L31" s="4" t="s">
        <v>221</v>
      </c>
      <c r="M31" s="4"/>
      <c r="N31" s="4"/>
      <c r="O31" s="173" t="s">
        <v>34</v>
      </c>
      <c r="P31" s="5"/>
      <c r="Q31" s="5"/>
      <c r="R31" s="5"/>
      <c r="S31" s="5"/>
      <c r="T31" s="5"/>
      <c r="U31" s="5"/>
      <c r="V31" s="5"/>
      <c r="W31" s="5"/>
      <c r="X31" s="174" t="s">
        <v>269</v>
      </c>
      <c r="Y31" s="186" t="s">
        <v>279</v>
      </c>
    </row>
    <row r="32" spans="1:29" s="1" customFormat="1" ht="30" customHeight="1" x14ac:dyDescent="0.15">
      <c r="A32" s="5">
        <v>30</v>
      </c>
      <c r="B32" s="5"/>
      <c r="C32" s="4" t="s">
        <v>22</v>
      </c>
      <c r="D32" s="4" t="s">
        <v>23</v>
      </c>
      <c r="E32" s="4" t="s">
        <v>224</v>
      </c>
      <c r="F32" s="5"/>
      <c r="G32" s="5"/>
      <c r="H32" s="5"/>
      <c r="I32" s="4" t="s">
        <v>212</v>
      </c>
      <c r="J32" s="4" t="s">
        <v>213</v>
      </c>
      <c r="K32" s="5"/>
      <c r="L32" s="4" t="s">
        <v>225</v>
      </c>
      <c r="M32" s="4"/>
      <c r="N32" s="4"/>
      <c r="O32" s="12" t="s">
        <v>34</v>
      </c>
      <c r="P32" s="5"/>
      <c r="Q32" s="5"/>
      <c r="R32" s="5"/>
      <c r="S32" s="5"/>
      <c r="T32" s="5"/>
      <c r="U32" s="5"/>
      <c r="V32" s="5"/>
      <c r="W32" s="5"/>
      <c r="X32" s="174" t="s">
        <v>254</v>
      </c>
      <c r="Y32" s="186" t="s">
        <v>279</v>
      </c>
    </row>
    <row r="33" spans="1:25" s="1" customFormat="1" ht="30" customHeight="1" x14ac:dyDescent="0.15">
      <c r="A33" s="5">
        <v>31</v>
      </c>
      <c r="B33" s="5"/>
      <c r="C33" s="4" t="s">
        <v>21</v>
      </c>
      <c r="D33" s="4" t="s">
        <v>226</v>
      </c>
      <c r="E33" s="4" t="s">
        <v>227</v>
      </c>
      <c r="F33" s="5"/>
      <c r="G33" s="5"/>
      <c r="H33" s="5"/>
      <c r="I33" s="4" t="s">
        <v>212</v>
      </c>
      <c r="J33" s="4" t="s">
        <v>213</v>
      </c>
      <c r="K33" s="5"/>
      <c r="L33" s="4" t="s">
        <v>228</v>
      </c>
      <c r="M33" s="4"/>
      <c r="N33" s="4"/>
      <c r="O33" s="12" t="s">
        <v>34</v>
      </c>
      <c r="P33" s="5"/>
      <c r="Q33" s="5"/>
      <c r="R33" s="5"/>
      <c r="S33" s="5"/>
      <c r="T33" s="5"/>
      <c r="U33" s="5"/>
      <c r="V33" s="5"/>
      <c r="W33" s="5"/>
      <c r="X33" s="174" t="s">
        <v>270</v>
      </c>
      <c r="Y33" s="186" t="s">
        <v>281</v>
      </c>
    </row>
    <row r="34" spans="1:25" s="1" customFormat="1" ht="30" customHeight="1" x14ac:dyDescent="0.15">
      <c r="A34" s="5">
        <v>32</v>
      </c>
      <c r="B34" s="5"/>
      <c r="C34" s="4" t="s">
        <v>229</v>
      </c>
      <c r="D34" s="4" t="s">
        <v>230</v>
      </c>
      <c r="E34" s="4" t="s">
        <v>231</v>
      </c>
      <c r="F34" s="5"/>
      <c r="G34" s="5"/>
      <c r="H34" s="5"/>
      <c r="I34" s="4" t="s">
        <v>212</v>
      </c>
      <c r="J34" s="4" t="s">
        <v>213</v>
      </c>
      <c r="K34" s="5"/>
      <c r="L34" s="4" t="s">
        <v>232</v>
      </c>
      <c r="M34" s="5"/>
      <c r="N34" s="5"/>
      <c r="O34" s="12" t="s">
        <v>34</v>
      </c>
      <c r="P34" s="5"/>
      <c r="Q34" s="5"/>
      <c r="R34" s="5"/>
      <c r="S34" s="5"/>
      <c r="T34" s="5"/>
      <c r="U34" s="5"/>
      <c r="V34" s="5"/>
      <c r="W34" s="5"/>
      <c r="X34" s="174" t="s">
        <v>293</v>
      </c>
      <c r="Y34" s="186" t="s">
        <v>279</v>
      </c>
    </row>
    <row r="35" spans="1:25" s="1" customFormat="1" ht="30" customHeight="1" x14ac:dyDescent="0.15">
      <c r="A35" s="5">
        <v>33</v>
      </c>
      <c r="B35" s="5"/>
      <c r="C35" s="4" t="s">
        <v>233</v>
      </c>
      <c r="D35" s="4" t="s">
        <v>234</v>
      </c>
      <c r="E35" s="4" t="s">
        <v>235</v>
      </c>
      <c r="F35" s="5"/>
      <c r="G35" s="5"/>
      <c r="H35" s="5"/>
      <c r="I35" s="5"/>
      <c r="J35" s="4" t="s">
        <v>48</v>
      </c>
      <c r="K35" s="5"/>
      <c r="L35" s="4" t="s">
        <v>294</v>
      </c>
      <c r="M35" s="5"/>
      <c r="N35" s="5"/>
      <c r="O35" s="12" t="s">
        <v>34</v>
      </c>
      <c r="P35" s="5"/>
      <c r="Q35" s="5"/>
      <c r="R35" s="5"/>
      <c r="S35" s="5"/>
      <c r="T35" s="5"/>
      <c r="U35" s="5"/>
      <c r="V35" s="5"/>
      <c r="W35" s="5"/>
      <c r="X35" s="174" t="s">
        <v>295</v>
      </c>
      <c r="Y35" s="186" t="s">
        <v>281</v>
      </c>
    </row>
    <row r="36" spans="1:25" s="1" customFormat="1" ht="30" customHeight="1" x14ac:dyDescent="0.15">
      <c r="A36" s="5">
        <v>34</v>
      </c>
      <c r="B36" s="5"/>
      <c r="C36" s="4" t="s">
        <v>238</v>
      </c>
      <c r="D36" s="4" t="s">
        <v>239</v>
      </c>
      <c r="E36" s="4" t="s">
        <v>240</v>
      </c>
      <c r="F36" s="5"/>
      <c r="G36" s="5"/>
      <c r="H36" s="5"/>
      <c r="I36" s="4" t="s">
        <v>241</v>
      </c>
      <c r="J36" s="4" t="s">
        <v>196</v>
      </c>
      <c r="K36" s="5"/>
      <c r="L36" s="4" t="s">
        <v>296</v>
      </c>
      <c r="M36" s="5"/>
      <c r="N36" s="5"/>
      <c r="O36" s="12" t="s">
        <v>242</v>
      </c>
      <c r="P36" s="5"/>
      <c r="Q36" s="5"/>
      <c r="R36" s="5"/>
      <c r="S36" s="5"/>
      <c r="T36" s="5"/>
      <c r="U36" s="5"/>
      <c r="V36" s="5"/>
      <c r="W36" s="5"/>
      <c r="X36" s="174" t="s">
        <v>271</v>
      </c>
      <c r="Y36" s="186" t="s">
        <v>281</v>
      </c>
    </row>
    <row r="37" spans="1:25" s="1" customFormat="1" ht="30" customHeight="1" x14ac:dyDescent="0.15">
      <c r="A37" s="5">
        <v>35</v>
      </c>
      <c r="B37" s="5"/>
      <c r="C37" s="4" t="s">
        <v>243</v>
      </c>
      <c r="D37" s="4" t="s">
        <v>244</v>
      </c>
      <c r="E37" s="4" t="s">
        <v>245</v>
      </c>
      <c r="F37" s="5"/>
      <c r="G37" s="5"/>
      <c r="H37" s="5"/>
      <c r="I37" s="4" t="s">
        <v>212</v>
      </c>
      <c r="J37" s="4" t="s">
        <v>213</v>
      </c>
      <c r="K37" s="5"/>
      <c r="L37" s="4" t="s">
        <v>246</v>
      </c>
      <c r="M37" s="5"/>
      <c r="N37" s="5"/>
      <c r="O37" s="12" t="s">
        <v>247</v>
      </c>
      <c r="P37" s="5"/>
      <c r="Q37" s="5"/>
      <c r="R37" s="5"/>
      <c r="S37" s="5"/>
      <c r="T37" s="5"/>
      <c r="U37" s="5"/>
      <c r="V37" s="5"/>
      <c r="W37" s="5"/>
      <c r="X37" s="174" t="s">
        <v>275</v>
      </c>
      <c r="Y37" s="186" t="s">
        <v>279</v>
      </c>
    </row>
    <row r="38" spans="1:25" s="1" customFormat="1" ht="30" customHeight="1" x14ac:dyDescent="0.15">
      <c r="A38" s="5">
        <v>35</v>
      </c>
      <c r="B38" s="5"/>
      <c r="C38" s="4" t="s">
        <v>272</v>
      </c>
      <c r="D38" s="4" t="s">
        <v>273</v>
      </c>
      <c r="E38" s="4" t="s">
        <v>274</v>
      </c>
      <c r="F38" s="5"/>
      <c r="G38" s="5"/>
      <c r="H38" s="5"/>
      <c r="I38" s="5"/>
      <c r="J38" s="5"/>
      <c r="K38" s="5"/>
      <c r="L38" s="4" t="s">
        <v>297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174" t="s">
        <v>276</v>
      </c>
      <c r="Y38" s="187" t="s">
        <v>282</v>
      </c>
    </row>
    <row r="39" spans="1:25" s="1" customFormat="1" x14ac:dyDescent="0.15">
      <c r="Y39" s="178"/>
    </row>
    <row r="40" spans="1:25" s="1" customFormat="1" x14ac:dyDescent="0.15">
      <c r="Y40" s="178"/>
    </row>
    <row r="41" spans="1:25" s="1" customFormat="1" x14ac:dyDescent="0.15">
      <c r="Y41" s="178"/>
    </row>
    <row r="42" spans="1:25" s="1" customFormat="1" x14ac:dyDescent="0.15">
      <c r="Y42" s="178"/>
    </row>
    <row r="43" spans="1:25" s="1" customFormat="1" x14ac:dyDescent="0.15">
      <c r="Y43" s="178"/>
    </row>
    <row r="44" spans="1:25" s="1" customFormat="1" x14ac:dyDescent="0.15">
      <c r="Y44" s="178"/>
    </row>
    <row r="45" spans="1:25" s="1" customFormat="1" x14ac:dyDescent="0.15">
      <c r="Y45" s="178"/>
    </row>
    <row r="46" spans="1:25" s="1" customFormat="1" x14ac:dyDescent="0.15">
      <c r="Y46" s="178"/>
    </row>
    <row r="47" spans="1:25" s="1" customFormat="1" x14ac:dyDescent="0.15">
      <c r="Y47" s="178"/>
    </row>
    <row r="48" spans="1:25" s="1" customFormat="1" x14ac:dyDescent="0.15">
      <c r="Y48" s="178"/>
    </row>
    <row r="49" spans="25:25" s="1" customFormat="1" x14ac:dyDescent="0.15">
      <c r="Y49" s="178"/>
    </row>
    <row r="50" spans="25:25" s="1" customFormat="1" x14ac:dyDescent="0.15">
      <c r="Y50" s="178"/>
    </row>
    <row r="51" spans="25:25" s="1" customFormat="1" x14ac:dyDescent="0.15">
      <c r="Y51" s="178"/>
    </row>
    <row r="52" spans="25:25" s="1" customFormat="1" x14ac:dyDescent="0.15">
      <c r="Y52" s="178"/>
    </row>
    <row r="53" spans="25:25" s="1" customFormat="1" x14ac:dyDescent="0.15">
      <c r="Y53" s="178"/>
    </row>
    <row r="54" spans="25:25" s="1" customFormat="1" x14ac:dyDescent="0.15">
      <c r="Y54" s="178"/>
    </row>
    <row r="55" spans="25:25" s="1" customFormat="1" x14ac:dyDescent="0.15">
      <c r="Y55" s="178"/>
    </row>
  </sheetData>
  <autoFilter ref="A2:Y2" xr:uid="{00000000-0009-0000-0000-000001000000}"/>
  <mergeCells count="1">
    <mergeCell ref="B1:W1"/>
  </mergeCells>
  <phoneticPr fontId="6" type="noConversion"/>
  <pageMargins left="0.23622047244094491" right="0.15748031496062992" top="0.35433070866141736" bottom="0.35433070866141736" header="0.31496062992125984" footer="0.31496062992125984"/>
  <pageSetup paperSize="9" scale="71" fitToHeight="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50"/>
  <sheetViews>
    <sheetView showGridLines="0" zoomScale="130" zoomScaleNormal="130" workbookViewId="0">
      <selection activeCell="H9" sqref="H9"/>
    </sheetView>
  </sheetViews>
  <sheetFormatPr defaultRowHeight="10.8" x14ac:dyDescent="0.15"/>
  <cols>
    <col min="1" max="1" width="2.125" customWidth="1"/>
  </cols>
  <sheetData>
    <row r="2" spans="2:14" ht="21" x14ac:dyDescent="0.15">
      <c r="B2" s="13" t="s">
        <v>51</v>
      </c>
    </row>
    <row r="4" spans="2:14" ht="17.399999999999999" x14ac:dyDescent="0.15">
      <c r="B4" s="14" t="s">
        <v>52</v>
      </c>
    </row>
    <row r="5" spans="2:14" x14ac:dyDescent="0.15">
      <c r="B5" t="s">
        <v>53</v>
      </c>
    </row>
    <row r="6" spans="2:14" x14ac:dyDescent="0.15">
      <c r="B6" t="s">
        <v>54</v>
      </c>
    </row>
    <row r="7" spans="2:14" x14ac:dyDescent="0.15">
      <c r="B7" t="s">
        <v>55</v>
      </c>
    </row>
    <row r="8" spans="2:14" x14ac:dyDescent="0.15">
      <c r="B8" t="s">
        <v>56</v>
      </c>
    </row>
    <row r="9" spans="2:14" x14ac:dyDescent="0.15">
      <c r="B9" t="s">
        <v>57</v>
      </c>
    </row>
    <row r="11" spans="2:14" ht="17.399999999999999" x14ac:dyDescent="0.15">
      <c r="B11" s="14" t="s">
        <v>58</v>
      </c>
    </row>
    <row r="12" spans="2:14" x14ac:dyDescent="0.15">
      <c r="B12" t="s">
        <v>59</v>
      </c>
    </row>
    <row r="13" spans="2:14" x14ac:dyDescent="0.15">
      <c r="B13" t="s">
        <v>60</v>
      </c>
    </row>
    <row r="14" spans="2:14" x14ac:dyDescent="0.15">
      <c r="B14" t="s">
        <v>61</v>
      </c>
    </row>
    <row r="16" spans="2:14" x14ac:dyDescent="0.15">
      <c r="N16" t="s">
        <v>62</v>
      </c>
    </row>
    <row r="27" spans="2:2" x14ac:dyDescent="0.15">
      <c r="B27" t="s">
        <v>63</v>
      </c>
    </row>
    <row r="28" spans="2:2" x14ac:dyDescent="0.15">
      <c r="B28" t="s">
        <v>64</v>
      </c>
    </row>
    <row r="29" spans="2:2" x14ac:dyDescent="0.15">
      <c r="B29" t="s">
        <v>65</v>
      </c>
    </row>
    <row r="30" spans="2:2" x14ac:dyDescent="0.15">
      <c r="B30" t="s">
        <v>66</v>
      </c>
    </row>
    <row r="40" spans="2:5" x14ac:dyDescent="0.15">
      <c r="B40" t="s">
        <v>67</v>
      </c>
    </row>
    <row r="42" spans="2:5" x14ac:dyDescent="0.15">
      <c r="B42" t="s">
        <v>68</v>
      </c>
    </row>
    <row r="44" spans="2:5" x14ac:dyDescent="0.15">
      <c r="B44" t="s">
        <v>69</v>
      </c>
    </row>
    <row r="46" spans="2:5" ht="17.399999999999999" x14ac:dyDescent="0.15">
      <c r="B46" s="15" t="s">
        <v>70</v>
      </c>
      <c r="C46" s="15"/>
      <c r="D46" s="15"/>
      <c r="E46" s="15"/>
    </row>
    <row r="48" spans="2:5" ht="17.399999999999999" x14ac:dyDescent="0.15">
      <c r="B48" s="15" t="s">
        <v>71</v>
      </c>
    </row>
    <row r="50" spans="2:2" x14ac:dyDescent="0.15">
      <c r="B50" t="s">
        <v>72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"/>
  <sheetViews>
    <sheetView topLeftCell="I1" workbookViewId="0">
      <pane ySplit="5" topLeftCell="A6" activePane="bottomLeft" state="frozen"/>
      <selection pane="bottomLeft" activeCell="O14" sqref="O14"/>
    </sheetView>
  </sheetViews>
  <sheetFormatPr defaultRowHeight="10.8" x14ac:dyDescent="0.15"/>
  <cols>
    <col min="4" max="4" width="15.375" customWidth="1"/>
    <col min="10" max="10" width="47.125" bestFit="1" customWidth="1"/>
    <col min="16" max="16" width="14.125" bestFit="1" customWidth="1"/>
    <col min="31" max="31" width="22.5" bestFit="1" customWidth="1"/>
    <col min="32" max="32" width="83.375" bestFit="1" customWidth="1"/>
  </cols>
  <sheetData>
    <row r="1" spans="1:33" s="31" customFormat="1" ht="6.75" customHeight="1" x14ac:dyDescent="0.15">
      <c r="A1" s="16"/>
      <c r="B1" s="16"/>
      <c r="C1" s="17"/>
      <c r="D1" s="18"/>
      <c r="E1" s="18"/>
      <c r="F1" s="19"/>
      <c r="G1" s="20"/>
      <c r="H1" s="19"/>
      <c r="I1" s="19"/>
      <c r="J1" s="21"/>
      <c r="K1" s="19"/>
      <c r="L1" s="19"/>
      <c r="M1" s="22"/>
      <c r="N1" s="23"/>
      <c r="O1" s="24"/>
      <c r="P1" s="25"/>
      <c r="Q1" s="26"/>
      <c r="R1" s="26"/>
      <c r="S1" s="26"/>
      <c r="T1" s="27"/>
      <c r="U1" s="27"/>
      <c r="V1" s="27"/>
      <c r="W1" s="27"/>
      <c r="X1" s="27"/>
      <c r="Y1" s="28"/>
      <c r="Z1" s="19"/>
      <c r="AA1" s="19"/>
      <c r="AB1" s="19"/>
      <c r="AC1" s="19"/>
      <c r="AD1" s="23"/>
      <c r="AE1" s="29"/>
      <c r="AF1" s="23"/>
      <c r="AG1" s="30"/>
    </row>
    <row r="2" spans="1:33" s="31" customFormat="1" ht="21.75" customHeight="1" x14ac:dyDescent="0.15">
      <c r="C2" s="32"/>
      <c r="D2" s="33"/>
      <c r="E2" s="33"/>
      <c r="F2" s="21"/>
      <c r="G2" s="21"/>
      <c r="H2" s="21"/>
      <c r="I2" s="21"/>
      <c r="J2" s="21"/>
      <c r="K2" s="34"/>
      <c r="L2" s="34"/>
      <c r="M2" s="21"/>
      <c r="N2" s="35"/>
      <c r="T2" s="36"/>
      <c r="Y2" s="35"/>
      <c r="Z2" s="21"/>
      <c r="AA2" s="21"/>
      <c r="AB2" s="21"/>
      <c r="AC2" s="21"/>
      <c r="AE2" s="37">
        <v>46034.801136111113</v>
      </c>
      <c r="AF2" s="38"/>
      <c r="AG2" s="30"/>
    </row>
    <row r="3" spans="1:33" s="31" customFormat="1" ht="15" customHeight="1" x14ac:dyDescent="0.15">
      <c r="C3" s="32"/>
      <c r="D3" s="33"/>
      <c r="E3" s="33"/>
      <c r="F3" s="21"/>
      <c r="G3" s="21"/>
      <c r="H3" s="21"/>
      <c r="I3" s="21"/>
      <c r="J3" s="21"/>
      <c r="K3" s="34"/>
      <c r="L3" s="34"/>
      <c r="M3" s="21"/>
      <c r="N3" s="35"/>
      <c r="Y3" s="35"/>
      <c r="Z3" s="21"/>
      <c r="AA3" s="21"/>
      <c r="AB3" s="21"/>
      <c r="AC3" s="21"/>
      <c r="AE3" s="37"/>
      <c r="AF3" s="39"/>
      <c r="AG3" s="30"/>
    </row>
    <row r="4" spans="1:33" s="31" customFormat="1" ht="15" customHeight="1" x14ac:dyDescent="0.15">
      <c r="A4" s="40"/>
      <c r="B4" s="41"/>
      <c r="C4" s="41"/>
      <c r="D4" s="42"/>
      <c r="E4" s="42"/>
      <c r="F4" s="43"/>
      <c r="G4" s="43"/>
      <c r="H4" s="43"/>
      <c r="I4" s="43"/>
      <c r="J4" s="44"/>
      <c r="K4" s="45"/>
      <c r="L4" s="46"/>
      <c r="M4" s="43"/>
      <c r="N4" s="47"/>
      <c r="O4" s="48"/>
      <c r="P4" s="49"/>
      <c r="Q4" s="50" t="s">
        <v>73</v>
      </c>
      <c r="R4" s="51"/>
      <c r="S4" s="51"/>
      <c r="T4" s="51"/>
      <c r="U4" s="51"/>
      <c r="V4" s="51"/>
      <c r="W4" s="51"/>
      <c r="X4" s="52"/>
      <c r="Y4" s="47"/>
      <c r="Z4" s="43"/>
      <c r="AA4" s="43"/>
      <c r="AB4" s="43"/>
      <c r="AC4" s="43"/>
      <c r="AD4" s="47"/>
      <c r="AE4" s="41"/>
      <c r="AF4" s="53"/>
      <c r="AG4" s="30"/>
    </row>
    <row r="5" spans="1:33" s="31" customFormat="1" ht="22.5" customHeight="1" thickBot="1" x14ac:dyDescent="0.2">
      <c r="A5" s="40"/>
      <c r="B5" s="54" t="s">
        <v>74</v>
      </c>
      <c r="C5" s="54" t="s">
        <v>75</v>
      </c>
      <c r="D5" s="55" t="s">
        <v>76</v>
      </c>
      <c r="E5" s="55"/>
      <c r="F5" s="56" t="s">
        <v>77</v>
      </c>
      <c r="G5" s="56" t="s">
        <v>78</v>
      </c>
      <c r="H5" s="56" t="s">
        <v>79</v>
      </c>
      <c r="I5" s="56" t="s">
        <v>80</v>
      </c>
      <c r="J5" s="56" t="s">
        <v>81</v>
      </c>
      <c r="K5" s="56" t="s">
        <v>82</v>
      </c>
      <c r="L5" s="56" t="s">
        <v>83</v>
      </c>
      <c r="M5" s="56" t="s">
        <v>84</v>
      </c>
      <c r="N5" s="57" t="s">
        <v>85</v>
      </c>
      <c r="O5" s="58" t="s">
        <v>86</v>
      </c>
      <c r="P5" s="59" t="s">
        <v>87</v>
      </c>
      <c r="Q5" s="60" t="s">
        <v>88</v>
      </c>
      <c r="R5" s="60" t="s">
        <v>89</v>
      </c>
      <c r="S5" s="60" t="s">
        <v>90</v>
      </c>
      <c r="T5" s="60" t="s">
        <v>91</v>
      </c>
      <c r="U5" s="61" t="s">
        <v>92</v>
      </c>
      <c r="V5" s="61" t="s">
        <v>93</v>
      </c>
      <c r="W5" s="62" t="s">
        <v>94</v>
      </c>
      <c r="X5" s="61" t="s">
        <v>95</v>
      </c>
      <c r="Y5" s="63" t="s">
        <v>96</v>
      </c>
      <c r="Z5" s="56" t="s">
        <v>97</v>
      </c>
      <c r="AA5" s="56" t="s">
        <v>98</v>
      </c>
      <c r="AB5" s="56" t="s">
        <v>99</v>
      </c>
      <c r="AC5" s="56" t="s">
        <v>100</v>
      </c>
      <c r="AD5" s="57" t="s">
        <v>101</v>
      </c>
      <c r="AE5" s="54" t="s">
        <v>102</v>
      </c>
      <c r="AF5" s="57" t="s">
        <v>103</v>
      </c>
      <c r="AG5" s="30"/>
    </row>
    <row r="6" spans="1:33" ht="16.5" customHeight="1" x14ac:dyDescent="0.15">
      <c r="B6" s="64" t="s">
        <v>104</v>
      </c>
      <c r="C6" s="65" t="s">
        <v>105</v>
      </c>
      <c r="D6" s="66">
        <v>20251229011</v>
      </c>
      <c r="E6" s="66" t="s">
        <v>106</v>
      </c>
      <c r="F6" s="67" t="s">
        <v>107</v>
      </c>
      <c r="G6" s="68" t="s">
        <v>108</v>
      </c>
      <c r="H6" s="68" t="s">
        <v>109</v>
      </c>
      <c r="I6" s="68" t="s">
        <v>110</v>
      </c>
      <c r="J6" s="69" t="s">
        <v>111</v>
      </c>
      <c r="K6" s="70"/>
      <c r="L6" s="68"/>
      <c r="M6" s="70"/>
      <c r="N6" s="71">
        <v>52</v>
      </c>
      <c r="O6" s="72"/>
      <c r="P6" s="73">
        <v>46029</v>
      </c>
      <c r="Q6" s="74"/>
      <c r="R6" s="74" t="s">
        <v>112</v>
      </c>
      <c r="S6" s="75"/>
      <c r="T6" s="75"/>
      <c r="U6" s="75"/>
      <c r="V6" s="75"/>
      <c r="W6" s="75"/>
      <c r="X6" s="75"/>
      <c r="Y6" s="76">
        <v>80</v>
      </c>
      <c r="Z6" s="77" t="s">
        <v>113</v>
      </c>
      <c r="AA6" s="77" t="s">
        <v>113</v>
      </c>
      <c r="AB6" s="77"/>
      <c r="AC6" s="77" t="s">
        <v>114</v>
      </c>
      <c r="AD6" s="78"/>
      <c r="AE6" s="79"/>
      <c r="AF6" s="80" t="s">
        <v>115</v>
      </c>
      <c r="AG6" t="e">
        <v>#N/A</v>
      </c>
    </row>
    <row r="7" spans="1:33" ht="16.5" customHeight="1" x14ac:dyDescent="0.15">
      <c r="B7" s="81" t="s">
        <v>104</v>
      </c>
      <c r="C7" s="82" t="s">
        <v>105</v>
      </c>
      <c r="D7" s="83">
        <v>20251229011</v>
      </c>
      <c r="E7" s="83" t="s">
        <v>116</v>
      </c>
      <c r="F7" s="84" t="s">
        <v>107</v>
      </c>
      <c r="G7" s="85" t="s">
        <v>117</v>
      </c>
      <c r="H7" s="85" t="s">
        <v>109</v>
      </c>
      <c r="I7" s="85" t="s">
        <v>110</v>
      </c>
      <c r="J7" s="86" t="s">
        <v>118</v>
      </c>
      <c r="K7" s="87" t="s">
        <v>119</v>
      </c>
      <c r="L7" s="85" t="s">
        <v>120</v>
      </c>
      <c r="M7" s="87" t="s">
        <v>121</v>
      </c>
      <c r="N7" s="88">
        <v>13</v>
      </c>
      <c r="O7" s="89"/>
      <c r="P7" s="90">
        <v>46029</v>
      </c>
      <c r="Q7" s="91">
        <v>46020</v>
      </c>
      <c r="R7" s="91" t="s">
        <v>112</v>
      </c>
      <c r="S7" s="92">
        <v>46021</v>
      </c>
      <c r="T7" s="92">
        <v>46021</v>
      </c>
      <c r="U7" s="92">
        <v>46021</v>
      </c>
      <c r="V7" s="92">
        <v>46027</v>
      </c>
      <c r="W7" s="92"/>
      <c r="X7" s="92"/>
      <c r="Y7" s="93"/>
      <c r="Z7" s="94"/>
      <c r="AA7" s="94"/>
      <c r="AB7" s="94"/>
      <c r="AC7" s="94"/>
      <c r="AD7" s="95"/>
      <c r="AE7" s="96"/>
      <c r="AF7" s="97"/>
      <c r="AG7" t="e">
        <v>#N/A</v>
      </c>
    </row>
    <row r="8" spans="1:33" ht="16.5" customHeight="1" x14ac:dyDescent="0.15">
      <c r="B8" s="81" t="s">
        <v>104</v>
      </c>
      <c r="C8" s="82" t="s">
        <v>105</v>
      </c>
      <c r="D8" s="83">
        <v>20251229011</v>
      </c>
      <c r="E8" s="83" t="s">
        <v>116</v>
      </c>
      <c r="F8" s="84" t="s">
        <v>107</v>
      </c>
      <c r="G8" s="85" t="s">
        <v>117</v>
      </c>
      <c r="H8" s="85" t="s">
        <v>109</v>
      </c>
      <c r="I8" s="85" t="s">
        <v>110</v>
      </c>
      <c r="J8" s="86" t="s">
        <v>122</v>
      </c>
      <c r="K8" s="87" t="s">
        <v>119</v>
      </c>
      <c r="L8" s="85" t="s">
        <v>123</v>
      </c>
      <c r="M8" s="87" t="s">
        <v>121</v>
      </c>
      <c r="N8" s="88">
        <v>13</v>
      </c>
      <c r="O8" s="89"/>
      <c r="P8" s="90">
        <v>46029</v>
      </c>
      <c r="Q8" s="91">
        <v>46020</v>
      </c>
      <c r="R8" s="91" t="s">
        <v>112</v>
      </c>
      <c r="S8" s="92">
        <v>46021</v>
      </c>
      <c r="T8" s="92">
        <v>46021</v>
      </c>
      <c r="U8" s="92">
        <v>46021</v>
      </c>
      <c r="V8" s="92">
        <v>46022</v>
      </c>
      <c r="W8" s="92"/>
      <c r="X8" s="92"/>
      <c r="Y8" s="93"/>
      <c r="Z8" s="94"/>
      <c r="AA8" s="94"/>
      <c r="AB8" s="94"/>
      <c r="AC8" s="94"/>
      <c r="AD8" s="95"/>
      <c r="AE8" s="96"/>
      <c r="AF8" s="97"/>
      <c r="AG8" t="e">
        <v>#N/A</v>
      </c>
    </row>
    <row r="9" spans="1:33" ht="16.5" customHeight="1" x14ac:dyDescent="0.15">
      <c r="B9" s="81" t="s">
        <v>104</v>
      </c>
      <c r="C9" s="82" t="s">
        <v>105</v>
      </c>
      <c r="D9" s="83">
        <v>20251229011</v>
      </c>
      <c r="E9" s="83" t="s">
        <v>116</v>
      </c>
      <c r="F9" s="84" t="s">
        <v>107</v>
      </c>
      <c r="G9" s="85" t="s">
        <v>117</v>
      </c>
      <c r="H9" s="85" t="s">
        <v>109</v>
      </c>
      <c r="I9" s="85" t="s">
        <v>110</v>
      </c>
      <c r="J9" s="86" t="s">
        <v>124</v>
      </c>
      <c r="K9" s="87" t="s">
        <v>119</v>
      </c>
      <c r="L9" s="85" t="s">
        <v>125</v>
      </c>
      <c r="M9" s="87" t="s">
        <v>121</v>
      </c>
      <c r="N9" s="88">
        <v>13</v>
      </c>
      <c r="O9" s="89"/>
      <c r="P9" s="90">
        <v>46029</v>
      </c>
      <c r="Q9" s="91">
        <v>46020</v>
      </c>
      <c r="R9" s="91" t="s">
        <v>112</v>
      </c>
      <c r="S9" s="92">
        <v>46021</v>
      </c>
      <c r="T9" s="92">
        <v>46021</v>
      </c>
      <c r="U9" s="92">
        <v>46021</v>
      </c>
      <c r="V9" s="92">
        <v>46022</v>
      </c>
      <c r="W9" s="92"/>
      <c r="X9" s="92"/>
      <c r="Y9" s="93"/>
      <c r="Z9" s="94"/>
      <c r="AA9" s="94"/>
      <c r="AB9" s="94"/>
      <c r="AC9" s="94"/>
      <c r="AD9" s="95"/>
      <c r="AE9" s="96"/>
      <c r="AF9" s="97"/>
      <c r="AG9" t="e">
        <v>#N/A</v>
      </c>
    </row>
    <row r="10" spans="1:33" ht="16.5" customHeight="1" x14ac:dyDescent="0.15">
      <c r="B10" s="81" t="s">
        <v>104</v>
      </c>
      <c r="C10" s="82" t="s">
        <v>105</v>
      </c>
      <c r="D10" s="83">
        <v>20251229011</v>
      </c>
      <c r="E10" s="83" t="s">
        <v>116</v>
      </c>
      <c r="F10" s="84" t="s">
        <v>107</v>
      </c>
      <c r="G10" s="85" t="s">
        <v>117</v>
      </c>
      <c r="H10" s="85" t="s">
        <v>109</v>
      </c>
      <c r="I10" s="85" t="s">
        <v>110</v>
      </c>
      <c r="J10" s="86" t="s">
        <v>126</v>
      </c>
      <c r="K10" s="87" t="s">
        <v>119</v>
      </c>
      <c r="L10" s="85" t="s">
        <v>127</v>
      </c>
      <c r="M10" s="87" t="s">
        <v>121</v>
      </c>
      <c r="N10" s="88">
        <v>13</v>
      </c>
      <c r="O10" s="89"/>
      <c r="P10" s="90">
        <v>46029</v>
      </c>
      <c r="Q10" s="91">
        <v>46020</v>
      </c>
      <c r="R10" s="91" t="s">
        <v>112</v>
      </c>
      <c r="S10" s="92">
        <v>46021</v>
      </c>
      <c r="T10" s="92">
        <v>46021</v>
      </c>
      <c r="U10" s="92">
        <v>46021</v>
      </c>
      <c r="V10" s="92">
        <v>46022</v>
      </c>
      <c r="W10" s="92"/>
      <c r="X10" s="92"/>
      <c r="Y10" s="93"/>
      <c r="Z10" s="94"/>
      <c r="AA10" s="94"/>
      <c r="AB10" s="94"/>
      <c r="AC10" s="94"/>
      <c r="AD10" s="95"/>
      <c r="AE10" s="96"/>
      <c r="AF10" s="97"/>
      <c r="AG10" t="e">
        <v>#N/A</v>
      </c>
    </row>
    <row r="11" spans="1:33" ht="16.5" customHeight="1" x14ac:dyDescent="0.15">
      <c r="B11" s="98" t="s">
        <v>104</v>
      </c>
      <c r="C11" s="99" t="s">
        <v>130</v>
      </c>
      <c r="D11" s="100"/>
      <c r="E11" s="100" t="s">
        <v>106</v>
      </c>
      <c r="F11" s="101" t="s">
        <v>128</v>
      </c>
      <c r="G11" s="102"/>
      <c r="H11" s="102" t="s">
        <v>136</v>
      </c>
      <c r="I11" s="102" t="s">
        <v>129</v>
      </c>
      <c r="J11" s="103" t="s">
        <v>137</v>
      </c>
      <c r="K11" s="104"/>
      <c r="L11" s="102"/>
      <c r="M11" s="104"/>
      <c r="N11" s="105">
        <v>2</v>
      </c>
      <c r="O11" s="106"/>
      <c r="P11" s="107">
        <v>46062</v>
      </c>
      <c r="Q11" s="108"/>
      <c r="R11" s="108" t="s">
        <v>112</v>
      </c>
      <c r="S11" s="108"/>
      <c r="T11" s="108"/>
      <c r="U11" s="108"/>
      <c r="V11" s="108"/>
      <c r="W11" s="109"/>
      <c r="X11" s="109"/>
      <c r="Y11" s="110"/>
      <c r="Z11" s="111"/>
      <c r="AA11" s="111"/>
      <c r="AB11" s="111"/>
      <c r="AC11" s="111"/>
      <c r="AD11" s="112"/>
      <c r="AE11" s="113"/>
      <c r="AF11" s="132">
        <v>20260209001</v>
      </c>
      <c r="AG11" t="e">
        <v>#N/A</v>
      </c>
    </row>
    <row r="12" spans="1:33" ht="16.5" customHeight="1" x14ac:dyDescent="0.15">
      <c r="B12" s="81" t="s">
        <v>104</v>
      </c>
      <c r="C12" s="82" t="s">
        <v>130</v>
      </c>
      <c r="D12" s="83"/>
      <c r="E12" s="83" t="s">
        <v>116</v>
      </c>
      <c r="F12" s="84" t="s">
        <v>128</v>
      </c>
      <c r="G12" s="85"/>
      <c r="H12" s="85" t="s">
        <v>136</v>
      </c>
      <c r="I12" s="85" t="s">
        <v>129</v>
      </c>
      <c r="J12" s="86" t="s">
        <v>138</v>
      </c>
      <c r="K12" s="87"/>
      <c r="L12" s="85"/>
      <c r="M12" s="87"/>
      <c r="N12" s="88">
        <v>1</v>
      </c>
      <c r="O12" s="89"/>
      <c r="P12" s="90">
        <v>46062</v>
      </c>
      <c r="Q12" s="91">
        <v>46027</v>
      </c>
      <c r="R12" s="91" t="s">
        <v>112</v>
      </c>
      <c r="S12" s="91"/>
      <c r="T12" s="91"/>
      <c r="U12" s="91"/>
      <c r="V12" s="91"/>
      <c r="W12" s="92"/>
      <c r="X12" s="92"/>
      <c r="Y12" s="93"/>
      <c r="Z12" s="94"/>
      <c r="AA12" s="94"/>
      <c r="AB12" s="94"/>
      <c r="AC12" s="94"/>
      <c r="AD12" s="95"/>
      <c r="AE12" s="96"/>
      <c r="AF12" s="131" t="s">
        <v>141</v>
      </c>
      <c r="AG12" t="e">
        <v>#N/A</v>
      </c>
    </row>
    <row r="13" spans="1:33" ht="16.5" customHeight="1" x14ac:dyDescent="0.15">
      <c r="B13" s="114" t="s">
        <v>104</v>
      </c>
      <c r="C13" s="115" t="s">
        <v>130</v>
      </c>
      <c r="D13" s="116"/>
      <c r="E13" s="116" t="s">
        <v>116</v>
      </c>
      <c r="F13" s="117" t="s">
        <v>128</v>
      </c>
      <c r="G13" s="118"/>
      <c r="H13" s="118" t="s">
        <v>136</v>
      </c>
      <c r="I13" s="118" t="s">
        <v>129</v>
      </c>
      <c r="J13" s="119" t="s">
        <v>139</v>
      </c>
      <c r="K13" s="120"/>
      <c r="L13" s="118"/>
      <c r="M13" s="120"/>
      <c r="N13" s="121">
        <v>1</v>
      </c>
      <c r="O13" s="122"/>
      <c r="P13" s="123">
        <v>46062</v>
      </c>
      <c r="Q13" s="124">
        <v>46027</v>
      </c>
      <c r="R13" s="124" t="s">
        <v>112</v>
      </c>
      <c r="S13" s="124"/>
      <c r="T13" s="124"/>
      <c r="U13" s="124"/>
      <c r="V13" s="124"/>
      <c r="W13" s="125"/>
      <c r="X13" s="125"/>
      <c r="Y13" s="126"/>
      <c r="Z13" s="127"/>
      <c r="AA13" s="127"/>
      <c r="AB13" s="127"/>
      <c r="AC13" s="127"/>
      <c r="AD13" s="128"/>
      <c r="AE13" s="129"/>
      <c r="AF13" s="133" t="s">
        <v>142</v>
      </c>
      <c r="AG13" t="e">
        <v>#N/A</v>
      </c>
    </row>
    <row r="14" spans="1:33" ht="16.5" customHeight="1" thickBot="1" x14ac:dyDescent="0.2">
      <c r="B14" s="151" t="s">
        <v>104</v>
      </c>
      <c r="C14" s="152"/>
      <c r="D14" s="153"/>
      <c r="E14" s="153" t="s">
        <v>112</v>
      </c>
      <c r="F14" s="154" t="s">
        <v>128</v>
      </c>
      <c r="G14" s="155"/>
      <c r="H14" s="155"/>
      <c r="I14" s="155"/>
      <c r="J14" s="156"/>
      <c r="K14" s="157"/>
      <c r="L14" s="155"/>
      <c r="M14" s="157"/>
      <c r="N14" s="158"/>
      <c r="O14" s="159"/>
      <c r="P14" s="160">
        <v>46062</v>
      </c>
      <c r="Q14" s="161"/>
      <c r="R14" s="161" t="s">
        <v>112</v>
      </c>
      <c r="S14" s="162"/>
      <c r="T14" s="162"/>
      <c r="U14" s="162"/>
      <c r="V14" s="162"/>
      <c r="W14" s="162"/>
      <c r="X14" s="162"/>
      <c r="Y14" s="163"/>
      <c r="Z14" s="164"/>
      <c r="AA14" s="164"/>
      <c r="AB14" s="164"/>
      <c r="AC14" s="164"/>
      <c r="AD14" s="165"/>
      <c r="AE14" s="166"/>
      <c r="AF14" s="167"/>
      <c r="AG14" t="e">
        <v>#N/A</v>
      </c>
    </row>
    <row r="15" spans="1:33" ht="16.5" customHeight="1" x14ac:dyDescent="0.15">
      <c r="B15" s="98" t="s">
        <v>104</v>
      </c>
      <c r="C15" s="99" t="s">
        <v>130</v>
      </c>
      <c r="D15" s="100"/>
      <c r="E15" s="100" t="s">
        <v>106</v>
      </c>
      <c r="F15" s="101" t="s">
        <v>128</v>
      </c>
      <c r="G15" s="102"/>
      <c r="H15" s="102" t="s">
        <v>136</v>
      </c>
      <c r="I15" s="102" t="s">
        <v>129</v>
      </c>
      <c r="J15" s="103" t="s">
        <v>137</v>
      </c>
      <c r="K15" s="104"/>
      <c r="L15" s="102"/>
      <c r="M15" s="104"/>
      <c r="N15" s="105">
        <v>2</v>
      </c>
      <c r="O15" s="106"/>
      <c r="P15" s="107">
        <v>46063</v>
      </c>
      <c r="Q15" s="108"/>
      <c r="R15" s="108" t="s">
        <v>112</v>
      </c>
      <c r="S15" s="108"/>
      <c r="T15" s="108"/>
      <c r="U15" s="108"/>
      <c r="V15" s="108"/>
      <c r="W15" s="109"/>
      <c r="X15" s="109"/>
      <c r="Y15" s="110"/>
      <c r="Z15" s="111"/>
      <c r="AA15" s="111"/>
      <c r="AB15" s="111"/>
      <c r="AC15" s="111"/>
      <c r="AD15" s="112"/>
      <c r="AE15" s="113"/>
      <c r="AF15" s="132">
        <v>20260210020</v>
      </c>
      <c r="AG15" t="e">
        <v>#N/A</v>
      </c>
    </row>
    <row r="16" spans="1:33" ht="16.5" customHeight="1" x14ac:dyDescent="0.15">
      <c r="B16" s="81" t="s">
        <v>104</v>
      </c>
      <c r="C16" s="82" t="s">
        <v>130</v>
      </c>
      <c r="D16" s="83"/>
      <c r="E16" s="83" t="s">
        <v>116</v>
      </c>
      <c r="F16" s="84" t="s">
        <v>128</v>
      </c>
      <c r="G16" s="85"/>
      <c r="H16" s="85" t="s">
        <v>136</v>
      </c>
      <c r="I16" s="85" t="s">
        <v>129</v>
      </c>
      <c r="J16" s="86" t="s">
        <v>138</v>
      </c>
      <c r="K16" s="87"/>
      <c r="L16" s="85"/>
      <c r="M16" s="87"/>
      <c r="N16" s="88">
        <v>1</v>
      </c>
      <c r="O16" s="89"/>
      <c r="P16" s="90">
        <v>46063</v>
      </c>
      <c r="Q16" s="91">
        <v>46027</v>
      </c>
      <c r="R16" s="91" t="s">
        <v>112</v>
      </c>
      <c r="S16" s="91"/>
      <c r="T16" s="91"/>
      <c r="U16" s="91"/>
      <c r="V16" s="91"/>
      <c r="W16" s="92"/>
      <c r="X16" s="92"/>
      <c r="Y16" s="93"/>
      <c r="Z16" s="94"/>
      <c r="AA16" s="94"/>
      <c r="AB16" s="94"/>
      <c r="AC16" s="94"/>
      <c r="AD16" s="95"/>
      <c r="AE16" s="96"/>
      <c r="AF16" s="131" t="s">
        <v>143</v>
      </c>
      <c r="AG16" t="e">
        <v>#N/A</v>
      </c>
    </row>
    <row r="17" spans="2:33" ht="16.5" customHeight="1" x14ac:dyDescent="0.15">
      <c r="B17" s="114" t="s">
        <v>104</v>
      </c>
      <c r="C17" s="115" t="s">
        <v>130</v>
      </c>
      <c r="D17" s="116"/>
      <c r="E17" s="116" t="s">
        <v>116</v>
      </c>
      <c r="F17" s="117" t="s">
        <v>128</v>
      </c>
      <c r="G17" s="118"/>
      <c r="H17" s="118" t="s">
        <v>136</v>
      </c>
      <c r="I17" s="118" t="s">
        <v>129</v>
      </c>
      <c r="J17" s="119" t="s">
        <v>139</v>
      </c>
      <c r="K17" s="120"/>
      <c r="L17" s="118"/>
      <c r="M17" s="120"/>
      <c r="N17" s="121">
        <v>1</v>
      </c>
      <c r="O17" s="122"/>
      <c r="P17" s="123">
        <v>46063</v>
      </c>
      <c r="Q17" s="124">
        <v>46027</v>
      </c>
      <c r="R17" s="124" t="s">
        <v>112</v>
      </c>
      <c r="S17" s="124"/>
      <c r="T17" s="124"/>
      <c r="U17" s="124"/>
      <c r="V17" s="124"/>
      <c r="W17" s="125"/>
      <c r="X17" s="125"/>
      <c r="Y17" s="126"/>
      <c r="Z17" s="127"/>
      <c r="AA17" s="127"/>
      <c r="AB17" s="127"/>
      <c r="AC17" s="127"/>
      <c r="AD17" s="128"/>
      <c r="AE17" s="129"/>
      <c r="AF17" s="133" t="s">
        <v>144</v>
      </c>
      <c r="AG17" t="e">
        <v>#N/A</v>
      </c>
    </row>
    <row r="18" spans="2:33" ht="16.5" customHeight="1" thickBot="1" x14ac:dyDescent="0.2">
      <c r="B18" s="151" t="s">
        <v>104</v>
      </c>
      <c r="C18" s="152"/>
      <c r="D18" s="153"/>
      <c r="E18" s="153" t="s">
        <v>112</v>
      </c>
      <c r="F18" s="154" t="s">
        <v>128</v>
      </c>
      <c r="G18" s="155"/>
      <c r="H18" s="155"/>
      <c r="I18" s="155"/>
      <c r="J18" s="156"/>
      <c r="K18" s="157"/>
      <c r="L18" s="155"/>
      <c r="M18" s="157"/>
      <c r="N18" s="158"/>
      <c r="O18" s="159"/>
      <c r="P18" s="160">
        <v>46063</v>
      </c>
      <c r="Q18" s="161"/>
      <c r="R18" s="161" t="s">
        <v>112</v>
      </c>
      <c r="S18" s="162"/>
      <c r="T18" s="162"/>
      <c r="U18" s="162"/>
      <c r="V18" s="162"/>
      <c r="W18" s="162"/>
      <c r="X18" s="162"/>
      <c r="Y18" s="163"/>
      <c r="Z18" s="164"/>
      <c r="AA18" s="164"/>
      <c r="AB18" s="164"/>
      <c r="AC18" s="164"/>
      <c r="AD18" s="165"/>
      <c r="AE18" s="166"/>
      <c r="AF18" s="167"/>
      <c r="AG18" t="e">
        <v>#N/A</v>
      </c>
    </row>
    <row r="19" spans="2:33" ht="16.5" customHeight="1" x14ac:dyDescent="0.15">
      <c r="B19" s="98" t="s">
        <v>104</v>
      </c>
      <c r="C19" s="99" t="s">
        <v>130</v>
      </c>
      <c r="D19" s="100"/>
      <c r="E19" s="100" t="s">
        <v>106</v>
      </c>
      <c r="F19" s="101" t="s">
        <v>128</v>
      </c>
      <c r="G19" s="102"/>
      <c r="H19" s="102" t="s">
        <v>136</v>
      </c>
      <c r="I19" s="102" t="s">
        <v>129</v>
      </c>
      <c r="J19" s="103" t="s">
        <v>137</v>
      </c>
      <c r="K19" s="104"/>
      <c r="L19" s="102"/>
      <c r="M19" s="104"/>
      <c r="N19" s="105">
        <v>2</v>
      </c>
      <c r="O19" s="106"/>
      <c r="P19" s="107">
        <v>46065</v>
      </c>
      <c r="Q19" s="108"/>
      <c r="R19" s="108" t="s">
        <v>112</v>
      </c>
      <c r="S19" s="108"/>
      <c r="T19" s="108"/>
      <c r="U19" s="108"/>
      <c r="V19" s="108"/>
      <c r="W19" s="109"/>
      <c r="X19" s="109"/>
      <c r="Y19" s="110"/>
      <c r="Z19" s="111"/>
      <c r="AA19" s="111"/>
      <c r="AB19" s="111"/>
      <c r="AC19" s="111"/>
      <c r="AD19" s="112"/>
      <c r="AE19" s="113"/>
      <c r="AF19" s="132">
        <v>20260212002</v>
      </c>
      <c r="AG19" t="e">
        <v>#N/A</v>
      </c>
    </row>
    <row r="20" spans="2:33" ht="16.5" customHeight="1" x14ac:dyDescent="0.15">
      <c r="B20" s="81" t="s">
        <v>104</v>
      </c>
      <c r="C20" s="82" t="s">
        <v>130</v>
      </c>
      <c r="D20" s="83"/>
      <c r="E20" s="83" t="s">
        <v>116</v>
      </c>
      <c r="F20" s="84" t="s">
        <v>128</v>
      </c>
      <c r="G20" s="85"/>
      <c r="H20" s="85" t="s">
        <v>136</v>
      </c>
      <c r="I20" s="85" t="s">
        <v>129</v>
      </c>
      <c r="J20" s="86" t="s">
        <v>138</v>
      </c>
      <c r="K20" s="87"/>
      <c r="L20" s="85"/>
      <c r="M20" s="87"/>
      <c r="N20" s="88">
        <v>1</v>
      </c>
      <c r="O20" s="89"/>
      <c r="P20" s="90">
        <v>46065</v>
      </c>
      <c r="Q20" s="91">
        <v>46027</v>
      </c>
      <c r="R20" s="91" t="s">
        <v>112</v>
      </c>
      <c r="S20" s="91"/>
      <c r="T20" s="91"/>
      <c r="U20" s="91"/>
      <c r="V20" s="91"/>
      <c r="W20" s="92"/>
      <c r="X20" s="92"/>
      <c r="Y20" s="93"/>
      <c r="Z20" s="94"/>
      <c r="AA20" s="94"/>
      <c r="AB20" s="94"/>
      <c r="AC20" s="94"/>
      <c r="AD20" s="95"/>
      <c r="AE20" s="96"/>
      <c r="AF20" s="131" t="s">
        <v>145</v>
      </c>
      <c r="AG20" t="e">
        <v>#N/A</v>
      </c>
    </row>
    <row r="21" spans="2:33" ht="16.5" customHeight="1" x14ac:dyDescent="0.15">
      <c r="B21" s="114" t="s">
        <v>104</v>
      </c>
      <c r="C21" s="115" t="s">
        <v>130</v>
      </c>
      <c r="D21" s="116"/>
      <c r="E21" s="116" t="s">
        <v>116</v>
      </c>
      <c r="F21" s="117" t="s">
        <v>128</v>
      </c>
      <c r="G21" s="118"/>
      <c r="H21" s="118" t="s">
        <v>136</v>
      </c>
      <c r="I21" s="118" t="s">
        <v>129</v>
      </c>
      <c r="J21" s="119" t="s">
        <v>139</v>
      </c>
      <c r="K21" s="120"/>
      <c r="L21" s="118"/>
      <c r="M21" s="120"/>
      <c r="N21" s="121">
        <v>1</v>
      </c>
      <c r="O21" s="122"/>
      <c r="P21" s="123">
        <v>46065</v>
      </c>
      <c r="Q21" s="124">
        <v>46027</v>
      </c>
      <c r="R21" s="124" t="s">
        <v>112</v>
      </c>
      <c r="S21" s="124"/>
      <c r="T21" s="124"/>
      <c r="U21" s="124"/>
      <c r="V21" s="124"/>
      <c r="W21" s="125"/>
      <c r="X21" s="125"/>
      <c r="Y21" s="126"/>
      <c r="Z21" s="127"/>
      <c r="AA21" s="127"/>
      <c r="AB21" s="127"/>
      <c r="AC21" s="127"/>
      <c r="AD21" s="128"/>
      <c r="AE21" s="129"/>
      <c r="AF21" s="133" t="s">
        <v>146</v>
      </c>
      <c r="AG21" t="e">
        <v>#N/A</v>
      </c>
    </row>
    <row r="22" spans="2:33" ht="16.5" customHeight="1" x14ac:dyDescent="0.15">
      <c r="B22" s="134" t="s">
        <v>104</v>
      </c>
      <c r="C22" s="135" t="s">
        <v>130</v>
      </c>
      <c r="D22" s="136">
        <v>20251218008</v>
      </c>
      <c r="E22" s="136" t="s">
        <v>116</v>
      </c>
      <c r="F22" s="137" t="s">
        <v>140</v>
      </c>
      <c r="G22" s="138"/>
      <c r="H22" s="138" t="s">
        <v>131</v>
      </c>
      <c r="I22" s="138" t="s">
        <v>133</v>
      </c>
      <c r="J22" s="139" t="s">
        <v>134</v>
      </c>
      <c r="K22" s="140"/>
      <c r="L22" s="138"/>
      <c r="M22" s="140"/>
      <c r="N22" s="141">
        <v>100</v>
      </c>
      <c r="O22" s="142"/>
      <c r="P22" s="143">
        <v>46065</v>
      </c>
      <c r="Q22" s="144">
        <v>46009</v>
      </c>
      <c r="R22" s="144" t="s">
        <v>112</v>
      </c>
      <c r="S22" s="145"/>
      <c r="T22" s="145"/>
      <c r="U22" s="145"/>
      <c r="V22" s="145"/>
      <c r="W22" s="145"/>
      <c r="X22" s="145"/>
      <c r="Y22" s="146"/>
      <c r="Z22" s="147"/>
      <c r="AA22" s="147"/>
      <c r="AB22" s="147"/>
      <c r="AC22" s="147"/>
      <c r="AD22" s="148"/>
      <c r="AE22" s="149" t="s">
        <v>132</v>
      </c>
      <c r="AF22" s="150" t="s">
        <v>135</v>
      </c>
      <c r="AG22" t="e">
        <v>#N/A</v>
      </c>
    </row>
    <row r="23" spans="2:33" ht="16.5" customHeight="1" thickBot="1" x14ac:dyDescent="0.2">
      <c r="B23" s="151" t="s">
        <v>104</v>
      </c>
      <c r="C23" s="152"/>
      <c r="D23" s="153"/>
      <c r="E23" s="153" t="s">
        <v>112</v>
      </c>
      <c r="F23" s="154" t="s">
        <v>128</v>
      </c>
      <c r="G23" s="155"/>
      <c r="H23" s="155"/>
      <c r="I23" s="155"/>
      <c r="J23" s="156"/>
      <c r="K23" s="157"/>
      <c r="L23" s="155"/>
      <c r="M23" s="157"/>
      <c r="N23" s="158"/>
      <c r="O23" s="159"/>
      <c r="P23" s="160">
        <v>46065</v>
      </c>
      <c r="Q23" s="161"/>
      <c r="R23" s="161" t="s">
        <v>112</v>
      </c>
      <c r="S23" s="162"/>
      <c r="T23" s="162"/>
      <c r="U23" s="162"/>
      <c r="V23" s="162"/>
      <c r="W23" s="162"/>
      <c r="X23" s="162"/>
      <c r="Y23" s="163"/>
      <c r="Z23" s="164"/>
      <c r="AA23" s="164"/>
      <c r="AB23" s="164"/>
      <c r="AC23" s="164"/>
      <c r="AD23" s="165"/>
      <c r="AE23" s="166"/>
      <c r="AF23" s="167"/>
      <c r="AG23" t="e">
        <v>#N/A</v>
      </c>
    </row>
    <row r="24" spans="2:33" ht="16.5" customHeight="1" x14ac:dyDescent="0.15">
      <c r="B24" s="98" t="s">
        <v>104</v>
      </c>
      <c r="C24" s="99" t="s">
        <v>130</v>
      </c>
      <c r="D24" s="100"/>
      <c r="E24" s="100" t="s">
        <v>106</v>
      </c>
      <c r="F24" s="101" t="s">
        <v>128</v>
      </c>
      <c r="G24" s="102"/>
      <c r="H24" s="102" t="s">
        <v>136</v>
      </c>
      <c r="I24" s="102" t="s">
        <v>129</v>
      </c>
      <c r="J24" s="103" t="s">
        <v>137</v>
      </c>
      <c r="K24" s="104"/>
      <c r="L24" s="102"/>
      <c r="M24" s="104"/>
      <c r="N24" s="105">
        <v>2</v>
      </c>
      <c r="O24" s="106"/>
      <c r="P24" s="107">
        <v>46066</v>
      </c>
      <c r="Q24" s="108"/>
      <c r="R24" s="108" t="s">
        <v>112</v>
      </c>
      <c r="S24" s="108"/>
      <c r="T24" s="108"/>
      <c r="U24" s="108"/>
      <c r="V24" s="108"/>
      <c r="W24" s="109"/>
      <c r="X24" s="109"/>
      <c r="Y24" s="110"/>
      <c r="Z24" s="111"/>
      <c r="AA24" s="111"/>
      <c r="AB24" s="111"/>
      <c r="AC24" s="111"/>
      <c r="AD24" s="112"/>
      <c r="AE24" s="113"/>
      <c r="AF24" s="132">
        <v>20260213005</v>
      </c>
      <c r="AG24" t="e">
        <v>#N/A</v>
      </c>
    </row>
    <row r="25" spans="2:33" ht="16.5" customHeight="1" x14ac:dyDescent="0.15">
      <c r="B25" s="81" t="s">
        <v>104</v>
      </c>
      <c r="C25" s="82" t="s">
        <v>130</v>
      </c>
      <c r="D25" s="83"/>
      <c r="E25" s="83" t="s">
        <v>116</v>
      </c>
      <c r="F25" s="84" t="s">
        <v>128</v>
      </c>
      <c r="G25" s="85"/>
      <c r="H25" s="85" t="s">
        <v>136</v>
      </c>
      <c r="I25" s="85" t="s">
        <v>129</v>
      </c>
      <c r="J25" s="86" t="s">
        <v>138</v>
      </c>
      <c r="K25" s="87"/>
      <c r="L25" s="85"/>
      <c r="M25" s="87"/>
      <c r="N25" s="88">
        <v>1</v>
      </c>
      <c r="O25" s="89"/>
      <c r="P25" s="90">
        <v>46066</v>
      </c>
      <c r="Q25" s="91">
        <v>46027</v>
      </c>
      <c r="R25" s="91" t="s">
        <v>112</v>
      </c>
      <c r="S25" s="91"/>
      <c r="T25" s="91"/>
      <c r="U25" s="91"/>
      <c r="V25" s="91"/>
      <c r="W25" s="92"/>
      <c r="X25" s="92"/>
      <c r="Y25" s="93"/>
      <c r="Z25" s="94"/>
      <c r="AA25" s="94"/>
      <c r="AB25" s="94"/>
      <c r="AC25" s="94"/>
      <c r="AD25" s="95"/>
      <c r="AE25" s="96"/>
      <c r="AF25" s="131" t="s">
        <v>147</v>
      </c>
      <c r="AG25" t="e">
        <v>#N/A</v>
      </c>
    </row>
    <row r="26" spans="2:33" ht="16.5" customHeight="1" thickBot="1" x14ac:dyDescent="0.2">
      <c r="B26" s="151" t="s">
        <v>104</v>
      </c>
      <c r="C26" s="152" t="s">
        <v>130</v>
      </c>
      <c r="D26" s="153"/>
      <c r="E26" s="153" t="s">
        <v>116</v>
      </c>
      <c r="F26" s="154" t="s">
        <v>128</v>
      </c>
      <c r="G26" s="155"/>
      <c r="H26" s="155" t="s">
        <v>136</v>
      </c>
      <c r="I26" s="155" t="s">
        <v>129</v>
      </c>
      <c r="J26" s="156" t="s">
        <v>139</v>
      </c>
      <c r="K26" s="157"/>
      <c r="L26" s="155"/>
      <c r="M26" s="157"/>
      <c r="N26" s="158">
        <v>1</v>
      </c>
      <c r="O26" s="159"/>
      <c r="P26" s="160">
        <v>46066</v>
      </c>
      <c r="Q26" s="161">
        <v>46027</v>
      </c>
      <c r="R26" s="161" t="s">
        <v>112</v>
      </c>
      <c r="S26" s="161"/>
      <c r="T26" s="161"/>
      <c r="U26" s="161"/>
      <c r="V26" s="161"/>
      <c r="W26" s="162"/>
      <c r="X26" s="162"/>
      <c r="Y26" s="163"/>
      <c r="Z26" s="164"/>
      <c r="AA26" s="164"/>
      <c r="AB26" s="164"/>
      <c r="AC26" s="164"/>
      <c r="AD26" s="165"/>
      <c r="AE26" s="166"/>
      <c r="AF26" s="169" t="s">
        <v>148</v>
      </c>
      <c r="AG26" t="e">
        <v>#N/A</v>
      </c>
    </row>
    <row r="27" spans="2:33" ht="16.5" customHeight="1" x14ac:dyDescent="0.15">
      <c r="B27" s="114" t="s">
        <v>104</v>
      </c>
      <c r="C27" s="115" t="s">
        <v>130</v>
      </c>
      <c r="D27" s="116">
        <v>20251218008</v>
      </c>
      <c r="E27" s="116" t="s">
        <v>116</v>
      </c>
      <c r="F27" s="117" t="s">
        <v>140</v>
      </c>
      <c r="G27" s="118"/>
      <c r="H27" s="118" t="s">
        <v>131</v>
      </c>
      <c r="I27" s="118" t="s">
        <v>133</v>
      </c>
      <c r="J27" s="168" t="s">
        <v>134</v>
      </c>
      <c r="K27" s="120"/>
      <c r="L27" s="118"/>
      <c r="M27" s="120"/>
      <c r="N27" s="121">
        <v>70</v>
      </c>
      <c r="O27" s="122"/>
      <c r="P27" s="123">
        <v>46072</v>
      </c>
      <c r="Q27" s="124">
        <v>46009</v>
      </c>
      <c r="R27" s="124" t="s">
        <v>112</v>
      </c>
      <c r="S27" s="125"/>
      <c r="T27" s="125"/>
      <c r="U27" s="125"/>
      <c r="V27" s="125"/>
      <c r="W27" s="125"/>
      <c r="X27" s="125"/>
      <c r="Y27" s="126"/>
      <c r="Z27" s="127"/>
      <c r="AA27" s="127"/>
      <c r="AB27" s="127"/>
      <c r="AC27" s="127"/>
      <c r="AD27" s="128"/>
      <c r="AE27" s="129" t="s">
        <v>149</v>
      </c>
      <c r="AF27" s="130" t="s">
        <v>135</v>
      </c>
      <c r="AG27" t="e">
        <v>#N/A</v>
      </c>
    </row>
    <row r="28" spans="2:33" ht="16.5" customHeight="1" thickBot="1" x14ac:dyDescent="0.2">
      <c r="B28" s="151" t="s">
        <v>104</v>
      </c>
      <c r="C28" s="152"/>
      <c r="D28" s="153"/>
      <c r="E28" s="153" t="s">
        <v>112</v>
      </c>
      <c r="F28" s="154" t="s">
        <v>128</v>
      </c>
      <c r="G28" s="155"/>
      <c r="H28" s="155"/>
      <c r="I28" s="155"/>
      <c r="J28" s="156"/>
      <c r="K28" s="157"/>
      <c r="L28" s="155"/>
      <c r="M28" s="157"/>
      <c r="N28" s="158"/>
      <c r="O28" s="159"/>
      <c r="P28" s="160">
        <v>46072</v>
      </c>
      <c r="Q28" s="161"/>
      <c r="R28" s="161" t="s">
        <v>112</v>
      </c>
      <c r="S28" s="162"/>
      <c r="T28" s="162"/>
      <c r="U28" s="162"/>
      <c r="V28" s="162"/>
      <c r="W28" s="162"/>
      <c r="X28" s="162"/>
      <c r="Y28" s="163"/>
      <c r="Z28" s="164"/>
      <c r="AA28" s="164"/>
      <c r="AB28" s="164"/>
      <c r="AC28" s="164"/>
      <c r="AD28" s="165"/>
      <c r="AE28" s="166"/>
      <c r="AF28" s="167"/>
      <c r="AG28" t="e">
        <v>#N/A</v>
      </c>
    </row>
    <row r="29" spans="2:33" ht="16.5" customHeight="1" x14ac:dyDescent="0.15">
      <c r="C29" s="170"/>
      <c r="K29" s="171"/>
      <c r="V29" s="172"/>
      <c r="AF29" s="171"/>
    </row>
  </sheetData>
  <phoneticPr fontId="6" type="noConversion"/>
  <conditionalFormatting sqref="J6:J29">
    <cfRule type="expression" dxfId="5" priority="132">
      <formula>$F6="중단"</formula>
    </cfRule>
    <cfRule type="expression" dxfId="4" priority="133">
      <formula>$F6="외주"</formula>
    </cfRule>
    <cfRule type="expression" dxfId="3" priority="134">
      <formula>$F6="재고"</formula>
    </cfRule>
    <cfRule type="expression" dxfId="2" priority="135">
      <formula>$F6="감리"</formula>
    </cfRule>
  </conditionalFormatting>
  <conditionalFormatting sqref="Q6:V29">
    <cfRule type="expression" dxfId="1" priority="136">
      <formula>Q6&lt;&gt;""</formula>
    </cfRule>
  </conditionalFormatting>
  <conditionalFormatting sqref="S6:V29">
    <cfRule type="expression" dxfId="0" priority="131">
      <formula>$AD6&lt;&gt;""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개발요청목록_수정</vt:lpstr>
      <vt:lpstr>Sheet1</vt:lpstr>
      <vt:lpstr>Sheet2</vt:lpstr>
      <vt:lpstr>개발요청목록</vt:lpstr>
      <vt:lpstr>생관</vt:lpstr>
      <vt:lpstr>생산현황</vt:lpstr>
      <vt:lpstr>개발요청목록!Print_Titles</vt:lpstr>
      <vt:lpstr>개발요청목록_수정!Print_Titles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구매자재부</dc:creator>
  <cp:lastModifiedBy>김 명남</cp:lastModifiedBy>
  <cp:lastPrinted>2023-12-05T02:30:12Z</cp:lastPrinted>
  <dcterms:created xsi:type="dcterms:W3CDTF">2023-11-17T03:40:06Z</dcterms:created>
  <dcterms:modified xsi:type="dcterms:W3CDTF">2026-03-19T02:01:07Z</dcterms:modified>
</cp:coreProperties>
</file>